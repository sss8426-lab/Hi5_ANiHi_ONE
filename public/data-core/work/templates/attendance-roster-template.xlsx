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종합입력" sheetId="1" state="visible" r:id="rId1"/>
    <sheet xmlns:r="http://schemas.openxmlformats.org/officeDocument/2006/relationships" name="작성예시" sheetId="2" state="visible" r:id="rId2"/>
    <sheet xmlns:r="http://schemas.openxmlformats.org/officeDocument/2006/relationships" name="사용안내_주의사항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-mm-dd"/>
  </numFmts>
  <fonts count="8">
    <font>
      <name val="Carlito"/>
      <sz val="11"/>
    </font>
    <font>
      <name val="Carlito"/>
      <b val="1"/>
      <color rgb="FFFFFFFF"/>
      <sz val="18"/>
    </font>
    <font>
      <name val="Carlito"/>
      <b val="1"/>
      <color rgb="FF17365D"/>
      <sz val="10"/>
    </font>
    <font>
      <name val="Carlito"/>
      <b val="1"/>
      <color rgb="FFFFFFFF"/>
      <sz val="10"/>
    </font>
    <font>
      <name val="Carlito"/>
      <b val="1"/>
      <sz val="12"/>
    </font>
    <font>
      <name val="Carlito"/>
      <color rgb="FF17365D"/>
      <sz val="10"/>
    </font>
    <font>
      <name val="Carlito"/>
      <b val="1"/>
      <color rgb="FFFFFFFF"/>
      <sz val="16"/>
    </font>
    <font>
      <name val="Carlito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8CBAD"/>
      </patternFill>
    </fill>
    <fill>
      <patternFill patternType="solid">
        <fgColor rgb="FFFFF2CC"/>
      </patternFill>
    </fill>
  </fills>
  <borders count="64">
    <border/>
    <border/>
    <border>
      <left style="thin">
        <color rgb="FF7F8FA3"/>
      </left>
      <top style="thin">
        <color rgb="FF7F8FA3"/>
      </top>
    </border>
    <border>
      <top style="thin">
        <color rgb="FF7F8FA3"/>
      </top>
    </border>
    <border>
      <right style="thin">
        <color rgb="FF7F8FA3"/>
      </right>
      <top style="thin">
        <color rgb="FF7F8FA3"/>
      </top>
    </border>
    <border>
      <left style="thin">
        <color rgb="FF7F8FA3"/>
      </left>
      <bottom style="thin">
        <color rgb="FF7F8FA3"/>
      </bottom>
    </border>
    <border>
      <bottom style="thin">
        <color rgb="FF7F8FA3"/>
      </bottom>
    </border>
    <border>
      <right style="thin">
        <color rgb="FF7F8FA3"/>
      </right>
      <bottom style="thin">
        <color rgb="FF7F8FA3"/>
      </bottom>
    </border>
    <border>
      <left style="thin">
        <color rgb="FF7F8FA3"/>
      </left>
      <top style="thin">
        <color rgb="FF7F8FA3"/>
      </top>
    </border>
    <border>
      <top style="thin">
        <color rgb="FF7F8FA3"/>
      </top>
    </border>
    <border>
      <right style="thin">
        <color rgb="FF7F8FA3"/>
      </right>
      <top style="thin">
        <color rgb="FF7F8FA3"/>
      </top>
    </border>
    <border>
      <left style="thin">
        <color rgb="FF7F8FA3"/>
      </left>
      <bottom style="thin">
        <color rgb="FF7F8FA3"/>
      </bottom>
    </border>
    <border>
      <bottom style="thin">
        <color rgb="FF7F8FA3"/>
      </bottom>
    </border>
    <border>
      <right style="thin">
        <color rgb="FF7F8FA3"/>
      </right>
      <bottom style="thin">
        <color rgb="FF7F8FA3"/>
      </bottom>
    </border>
    <border>
      <left style="thin">
        <color rgb="FF365F7D"/>
      </left>
      <top style="thin">
        <color rgb="FF365F7D"/>
      </top>
    </border>
    <border>
      <top style="thin">
        <color rgb="FF365F7D"/>
      </top>
    </border>
    <border>
      <right style="thin">
        <color rgb="FF365F7D"/>
      </right>
      <top style="thin">
        <color rgb="FF365F7D"/>
      </top>
    </border>
    <border>
      <left style="thin">
        <color rgb="FF365F7D"/>
      </left>
      <bottom style="thin">
        <color rgb="FF365F7D"/>
      </bottom>
    </border>
    <border>
      <bottom style="thin">
        <color rgb="FF365F7D"/>
      </bottom>
    </border>
    <border>
      <right style="thin">
        <color rgb="FF365F7D"/>
      </right>
      <bottom style="thin">
        <color rgb="FF365F7D"/>
      </bottom>
    </border>
    <border>
      <left style="thin">
        <color rgb="FF365F7D"/>
      </left>
      <top style="thin">
        <color rgb="FF365F7D"/>
      </top>
    </border>
    <border>
      <top style="thin">
        <color rgb="FF365F7D"/>
      </top>
    </border>
    <border>
      <right style="thin">
        <color rgb="FF365F7D"/>
      </right>
      <top style="thin">
        <color rgb="FF365F7D"/>
      </top>
    </border>
    <border>
      <left style="thin">
        <color rgb="FF365F7D"/>
      </left>
      <bottom style="thin">
        <color rgb="FF365F7D"/>
      </bottom>
    </border>
    <border>
      <bottom style="thin">
        <color rgb="FF365F7D"/>
      </bottom>
    </border>
    <border>
      <right style="thin">
        <color rgb="FF365F7D"/>
      </right>
      <bottom style="thin">
        <color rgb="FF365F7D"/>
      </bottom>
    </border>
    <border>
      <left style="thin">
        <color rgb="FFA6A6A6"/>
      </left>
      <top style="thin">
        <color rgb="FFA6A6A6"/>
      </top>
      <bottom style="thin">
        <color rgb="FFA6A6A6"/>
      </bottom>
    </border>
    <border>
      <top style="thin">
        <color rgb="FFA6A6A6"/>
      </top>
      <bottom style="thin">
        <color rgb="FFA6A6A6"/>
      </bottom>
    </border>
    <border>
      <right style="thin">
        <color rgb="FFA6A6A6"/>
      </right>
      <top style="thin">
        <color rgb="FFA6A6A6"/>
      </top>
      <bottom style="thin">
        <color rgb="FFA6A6A6"/>
      </bottom>
    </border>
    <border>
      <left style="thin">
        <color rgb="FFA6A6A6"/>
      </left>
      <top style="thin">
        <color rgb="FFA6A6A6"/>
      </top>
      <bottom style="thin">
        <color rgb="FFA6A6A6"/>
      </bottom>
    </border>
    <border>
      <top style="thin">
        <color rgb="FFA6A6A6"/>
      </top>
      <bottom style="thin">
        <color rgb="FFA6A6A6"/>
      </bottom>
    </border>
    <border>
      <right style="thin">
        <color rgb="FFA6A6A6"/>
      </right>
      <top style="thin">
        <color rgb="FFA6A6A6"/>
      </top>
      <bottom style="thin">
        <color rgb="FFA6A6A6"/>
      </bottom>
    </border>
    <border>
      <left style="thin">
        <color rgb="FFD9E2F3"/>
      </left>
      <top style="thin">
        <color rgb="FFD9E2F3"/>
      </top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left style="thin">
        <color rgb="FFD9E2F3"/>
      </left>
    </border>
    <border>
      <right style="thin">
        <color rgb="FFD9E2F3"/>
      </right>
    </border>
    <border>
      <left style="thin">
        <color rgb="FFD9E2F3"/>
      </left>
      <bottom style="thin">
        <color rgb="FFD9E2F3"/>
      </bottom>
    </border>
    <border>
      <bottom style="thin">
        <color rgb="FFD9E2F3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top style="thin">
        <color rgb="FFD9E2F3"/>
      </top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left style="thin">
        <color rgb="FFD9E2F3"/>
      </left>
    </border>
    <border>
      <right style="thin">
        <color rgb="FFD9E2F3"/>
      </right>
    </border>
    <border>
      <left style="thin">
        <color rgb="FFD9E2F3"/>
      </left>
      <bottom style="thin">
        <color rgb="FFD9E2F3"/>
      </bottom>
    </border>
    <border>
      <bottom style="thin">
        <color rgb="FFD9E2F3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365F7D"/>
      </left>
      <top style="thin">
        <color rgb="FF365F7D"/>
      </top>
      <bottom style="thin">
        <color rgb="FF365F7D"/>
      </bottom>
    </border>
    <border>
      <right style="thin">
        <color rgb="FF365F7D"/>
      </right>
      <top style="thin">
        <color rgb="FF365F7D"/>
      </top>
      <bottom style="thin">
        <color rgb="FF365F7D"/>
      </bottom>
    </border>
    <border>
      <left style="thin">
        <color rgb="FF365F7D"/>
      </left>
      <top style="thin">
        <color rgb="FF365F7D"/>
      </top>
      <bottom style="thin">
        <color rgb="FF365F7D"/>
      </bottom>
    </border>
    <border>
      <right style="thin">
        <color rgb="FF365F7D"/>
      </right>
      <top style="thin">
        <color rgb="FF365F7D"/>
      </top>
      <bottom style="thin">
        <color rgb="FF365F7D"/>
      </bottom>
    </border>
    <border>
      <left style="thin">
        <color rgb="FF365F7D"/>
      </left>
    </border>
    <border>
      <top style="thin">
        <color rgb="FF365F7D"/>
      </top>
      <bottom style="thin">
        <color rgb="FF365F7D"/>
      </bottom>
    </border>
    <border>
      <right style="thin">
        <color rgb="FF365F7D"/>
      </right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top style="thin">
        <color rgb="FFA6A6A6"/>
      </top>
    </border>
    <border>
      <right style="thin">
        <color rgb="FFA6A6A6"/>
      </right>
      <top style="thin">
        <color rgb="FFA6A6A6"/>
      </top>
    </border>
  </borders>
  <cellStyleXfs count="1">
    <xf numFmtId="0" fontId="0" fillId="0" borderId="1"/>
  </cellStyleXfs>
  <cellXfs count="35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0" fontId="2" fillId="3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0" fillId="4" borderId="0" pivotButton="0" quotePrefix="0" xfId="0"/>
    <xf numFmtId="0" fontId="2" fillId="4" borderId="0" pivotButton="0" quotePrefix="0" xfId="0"/>
    <xf numFmtId="0" fontId="2" fillId="4" borderId="2" pivotButton="0" quotePrefix="0" xfId="0"/>
    <xf numFmtId="0" fontId="2" fillId="4" borderId="3" pivotButton="0" quotePrefix="0" xfId="0"/>
    <xf numFmtId="0" fontId="2" fillId="4" borderId="4" pivotButton="0" quotePrefix="0" xfId="0"/>
    <xf numFmtId="0" fontId="2" fillId="4" borderId="5" pivotButton="0" quotePrefix="0" xfId="0"/>
    <xf numFmtId="0" fontId="2" fillId="4" borderId="6" pivotButton="0" quotePrefix="0" xfId="0"/>
    <xf numFmtId="0" fontId="2" fillId="4" borderId="7" pivotButton="0" quotePrefix="0" xfId="0"/>
    <xf numFmtId="0" fontId="2" fillId="4" borderId="2" applyAlignment="1" pivotButton="0" quotePrefix="0" xfId="0">
      <alignment wrapText="1"/>
    </xf>
    <xf numFmtId="0" fontId="2" fillId="4" borderId="3" applyAlignment="1" pivotButton="0" quotePrefix="0" xfId="0">
      <alignment wrapText="1"/>
    </xf>
    <xf numFmtId="0" fontId="2" fillId="4" borderId="4" applyAlignment="1" pivotButton="0" quotePrefix="0" xfId="0">
      <alignment wrapText="1"/>
    </xf>
    <xf numFmtId="0" fontId="2" fillId="4" borderId="5" applyAlignment="1" pivotButton="0" quotePrefix="0" xfId="0">
      <alignment wrapText="1"/>
    </xf>
    <xf numFmtId="0" fontId="2" fillId="4" borderId="6" applyAlignment="1" pivotButton="0" quotePrefix="0" xfId="0">
      <alignment wrapText="1"/>
    </xf>
    <xf numFmtId="0" fontId="2" fillId="4" borderId="7" applyAlignment="1" pivotButton="0" quotePrefix="0" xfId="0">
      <alignment wrapText="1"/>
    </xf>
    <xf numFmtId="0" fontId="2" fillId="4" borderId="2" applyAlignment="1" pivotButton="0" quotePrefix="0" xfId="0">
      <alignment horizontal="center" wrapText="1"/>
    </xf>
    <xf numFmtId="0" fontId="2" fillId="4" borderId="3" applyAlignment="1" pivotButton="0" quotePrefix="0" xfId="0">
      <alignment horizontal="center" wrapText="1"/>
    </xf>
    <xf numFmtId="0" fontId="2" fillId="4" borderId="4" applyAlignment="1" pivotButton="0" quotePrefix="0" xfId="0">
      <alignment horizontal="center" wrapText="1"/>
    </xf>
    <xf numFmtId="0" fontId="2" fillId="4" borderId="5" applyAlignment="1" pivotButton="0" quotePrefix="0" xfId="0">
      <alignment horizontal="center" wrapText="1"/>
    </xf>
    <xf numFmtId="0" fontId="2" fillId="4" borderId="6" applyAlignment="1" pivotButton="0" quotePrefix="0" xfId="0">
      <alignment horizontal="center" wrapText="1"/>
    </xf>
    <xf numFmtId="0" fontId="2" fillId="4" borderId="7" applyAlignment="1" pivotButton="0" quotePrefix="0" xfId="0">
      <alignment horizont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3" applyAlignment="1" pivotButton="0" quotePrefix="0" xfId="0">
      <alignment horizontal="center" vertical="center" wrapText="1"/>
    </xf>
    <xf numFmtId="0" fontId="2" fillId="4" borderId="4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4" borderId="6" applyAlignment="1" pivotButton="0" quotePrefix="0" xfId="0">
      <alignment horizontal="center" vertical="center" wrapText="1"/>
    </xf>
    <xf numFmtId="0" fontId="2" fillId="4" borderId="7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4" borderId="1" pivotButton="0" quotePrefix="0" xfId="0"/>
    <xf numFmtId="0" fontId="2" fillId="4" borderId="8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11" pivotButton="0" quotePrefix="0" xfId="0"/>
    <xf numFmtId="0" fontId="2" fillId="4" borderId="12" pivotButton="0" quotePrefix="0" xfId="0"/>
    <xf numFmtId="0" fontId="2" fillId="4" borderId="13" pivotButton="0" quotePrefix="0" xfId="0"/>
    <xf numFmtId="0" fontId="2" fillId="4" borderId="8" applyAlignment="1" pivotButton="0" quotePrefix="0" xfId="0">
      <alignment wrapText="1"/>
    </xf>
    <xf numFmtId="0" fontId="2" fillId="4" borderId="9" applyAlignment="1" pivotButton="0" quotePrefix="0" xfId="0">
      <alignment wrapText="1"/>
    </xf>
    <xf numFmtId="0" fontId="2" fillId="4" borderId="10" applyAlignment="1" pivotButton="0" quotePrefix="0" xfId="0">
      <alignment wrapText="1"/>
    </xf>
    <xf numFmtId="0" fontId="2" fillId="4" borderId="11" applyAlignment="1" pivotButton="0" quotePrefix="0" xfId="0">
      <alignment wrapText="1"/>
    </xf>
    <xf numFmtId="0" fontId="2" fillId="4" borderId="12" applyAlignment="1" pivotButton="0" quotePrefix="0" xfId="0">
      <alignment wrapText="1"/>
    </xf>
    <xf numFmtId="0" fontId="2" fillId="4" borderId="13" applyAlignment="1" pivotButton="0" quotePrefix="0" xfId="0">
      <alignment wrapText="1"/>
    </xf>
    <xf numFmtId="0" fontId="2" fillId="4" borderId="8" applyAlignment="1" pivotButton="0" quotePrefix="0" xfId="0">
      <alignment horizontal="center" wrapText="1"/>
    </xf>
    <xf numFmtId="0" fontId="2" fillId="4" borderId="9" applyAlignment="1" pivotButton="0" quotePrefix="0" xfId="0">
      <alignment horizontal="center" wrapText="1"/>
    </xf>
    <xf numFmtId="0" fontId="2" fillId="4" borderId="10" applyAlignment="1" pivotButton="0" quotePrefix="0" xfId="0">
      <alignment horizontal="center" wrapText="1"/>
    </xf>
    <xf numFmtId="0" fontId="2" fillId="4" borderId="11" applyAlignment="1" pivotButton="0" quotePrefix="0" xfId="0">
      <alignment horizontal="center" wrapText="1"/>
    </xf>
    <xf numFmtId="0" fontId="2" fillId="4" borderId="12" applyAlignment="1" pivotButton="0" quotePrefix="0" xfId="0">
      <alignment horizontal="center" wrapText="1"/>
    </xf>
    <xf numFmtId="0" fontId="2" fillId="4" borderId="13" applyAlignment="1" pivotButton="0" quotePrefix="0" xfId="0">
      <alignment horizontal="center" wrapText="1"/>
    </xf>
    <xf numFmtId="0" fontId="2" fillId="4" borderId="8" applyAlignment="1" pivotButton="0" quotePrefix="0" xfId="0">
      <alignment horizontal="center" vertical="center" wrapText="1"/>
    </xf>
    <xf numFmtId="0" fontId="2" fillId="4" borderId="9" applyAlignment="1" pivotButton="0" quotePrefix="0" xfId="0">
      <alignment horizontal="center" vertical="center" wrapText="1"/>
    </xf>
    <xf numFmtId="0" fontId="2" fillId="4" borderId="10" applyAlignment="1" pivotButton="0" quotePrefix="0" xfId="0">
      <alignment horizontal="center" vertical="center" wrapText="1"/>
    </xf>
    <xf numFmtId="0" fontId="2" fillId="4" borderId="11" applyAlignment="1" pivotButton="0" quotePrefix="0" xfId="0">
      <alignment horizontal="center" vertical="center" wrapText="1"/>
    </xf>
    <xf numFmtId="0" fontId="2" fillId="4" borderId="12" applyAlignment="1" pivotButton="0" quotePrefix="0" xfId="0">
      <alignment horizontal="center" vertical="center" wrapText="1"/>
    </xf>
    <xf numFmtId="0" fontId="2" fillId="4" borderId="13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5" borderId="3" applyAlignment="1" pivotButton="0" quotePrefix="0" xfId="0">
      <alignment horizontal="center" vertical="center" wrapText="1"/>
    </xf>
    <xf numFmtId="0" fontId="2" fillId="5" borderId="5" applyAlignment="1" pivotButton="0" quotePrefix="0" xfId="0">
      <alignment horizontal="center" vertical="center" wrapText="1"/>
    </xf>
    <xf numFmtId="0" fontId="2" fillId="5" borderId="6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5" borderId="6" applyAlignment="1" pivotButton="0" quotePrefix="0" xfId="0">
      <alignment horizontal="center" vertical="center" wrapText="1"/>
    </xf>
    <xf numFmtId="0" fontId="3" fillId="5" borderId="14" applyAlignment="1" pivotButton="0" quotePrefix="0" xfId="0">
      <alignment horizontal="center" vertical="center" wrapText="1"/>
    </xf>
    <xf numFmtId="0" fontId="3" fillId="5" borderId="15" applyAlignment="1" pivotButton="0" quotePrefix="0" xfId="0">
      <alignment horizontal="center" vertical="center" wrapText="1"/>
    </xf>
    <xf numFmtId="0" fontId="3" fillId="5" borderId="16" applyAlignment="1" pivotButton="0" quotePrefix="0" xfId="0">
      <alignment horizontal="center" vertical="center" wrapText="1"/>
    </xf>
    <xf numFmtId="0" fontId="3" fillId="5" borderId="17" applyAlignment="1" pivotButton="0" quotePrefix="0" xfId="0">
      <alignment horizontal="center" vertical="center" wrapText="1"/>
    </xf>
    <xf numFmtId="0" fontId="3" fillId="5" borderId="18" applyAlignment="1" pivotButton="0" quotePrefix="0" xfId="0">
      <alignment horizontal="center" vertical="center" wrapText="1"/>
    </xf>
    <xf numFmtId="0" fontId="3" fillId="5" borderId="19" applyAlignment="1" pivotButton="0" quotePrefix="0" xfId="0">
      <alignment horizontal="center" vertical="center" wrapText="1"/>
    </xf>
    <xf numFmtId="0" fontId="2" fillId="5" borderId="8" applyAlignment="1" pivotButton="0" quotePrefix="0" xfId="0">
      <alignment horizontal="center" vertical="center" wrapText="1"/>
    </xf>
    <xf numFmtId="0" fontId="2" fillId="5" borderId="9" applyAlignment="1" pivotButton="0" quotePrefix="0" xfId="0">
      <alignment horizontal="center" vertical="center" wrapText="1"/>
    </xf>
    <xf numFmtId="0" fontId="2" fillId="5" borderId="11" applyAlignment="1" pivotButton="0" quotePrefix="0" xfId="0">
      <alignment horizontal="center" vertical="center" wrapText="1"/>
    </xf>
    <xf numFmtId="0" fontId="2" fillId="5" borderId="12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0" fontId="3" fillId="5" borderId="11" applyAlignment="1" pivotButton="0" quotePrefix="0" xfId="0">
      <alignment horizontal="center" vertical="center" wrapText="1"/>
    </xf>
    <xf numFmtId="0" fontId="3" fillId="5" borderId="12" applyAlignment="1" pivotButton="0" quotePrefix="0" xfId="0">
      <alignment horizontal="center" vertical="center" wrapText="1"/>
    </xf>
    <xf numFmtId="0" fontId="3" fillId="5" borderId="20" applyAlignment="1" pivotButton="0" quotePrefix="0" xfId="0">
      <alignment horizontal="center" vertical="center" wrapText="1"/>
    </xf>
    <xf numFmtId="0" fontId="3" fillId="5" borderId="21" applyAlignment="1" pivotButton="0" quotePrefix="0" xfId="0">
      <alignment horizontal="center" vertical="center" wrapText="1"/>
    </xf>
    <xf numFmtId="0" fontId="3" fillId="5" borderId="22" applyAlignment="1" pivotButton="0" quotePrefix="0" xfId="0">
      <alignment horizontal="center" vertical="center" wrapText="1"/>
    </xf>
    <xf numFmtId="0" fontId="3" fillId="5" borderId="23" applyAlignment="1" pivotButton="0" quotePrefix="0" xfId="0">
      <alignment horizontal="center" vertical="center" wrapText="1"/>
    </xf>
    <xf numFmtId="0" fontId="3" fillId="5" borderId="24" applyAlignment="1" pivotButton="0" quotePrefix="0" xfId="0">
      <alignment horizontal="center" vertical="center" wrapText="1"/>
    </xf>
    <xf numFmtId="0" fontId="3" fillId="5" borderId="25" applyAlignment="1" pivotButton="0" quotePrefix="0" xfId="0">
      <alignment horizontal="center" vertical="center" wrapText="1"/>
    </xf>
    <xf numFmtId="0" fontId="2" fillId="5" borderId="4" applyAlignment="1" pivotButton="0" quotePrefix="0" xfId="0">
      <alignment horizontal="center" vertical="center" wrapText="1"/>
    </xf>
    <xf numFmtId="0" fontId="2" fillId="5" borderId="7" applyAlignment="1" pivotButton="0" quotePrefix="0" xfId="0">
      <alignment horizontal="center" vertical="center" wrapText="1"/>
    </xf>
    <xf numFmtId="0" fontId="3" fillId="5" borderId="4" applyAlignment="1" pivotButton="0" quotePrefix="0" xfId="0">
      <alignment horizontal="center" vertical="center" wrapText="1"/>
    </xf>
    <xf numFmtId="0" fontId="3" fillId="5" borderId="7" applyAlignment="1" pivotButton="0" quotePrefix="0" xfId="0">
      <alignment horizontal="center" vertical="center" wrapText="1"/>
    </xf>
    <xf numFmtId="0" fontId="2" fillId="5" borderId="10" applyAlignment="1" pivotButton="0" quotePrefix="0" xfId="0">
      <alignment horizontal="center" vertical="center" wrapText="1"/>
    </xf>
    <xf numFmtId="0" fontId="2" fillId="5" borderId="13" applyAlignment="1" pivotButton="0" quotePrefix="0" xfId="0">
      <alignment horizontal="center" vertical="center" wrapText="1"/>
    </xf>
    <xf numFmtId="0" fontId="3" fillId="5" borderId="10" applyAlignment="1" pivotButton="0" quotePrefix="0" xfId="0">
      <alignment horizontal="center" vertical="center" wrapText="1"/>
    </xf>
    <xf numFmtId="0" fontId="3" fillId="5" borderId="13" applyAlignment="1" pivotButton="0" quotePrefix="0" xfId="0">
      <alignment horizontal="center" vertical="center" wrapText="1"/>
    </xf>
    <xf numFmtId="0" fontId="0" fillId="6" borderId="0" pivotButton="0" quotePrefix="0" xfId="0"/>
    <xf numFmtId="0" fontId="4" fillId="6" borderId="0" pivotButton="0" quotePrefix="0" xfId="0"/>
    <xf numFmtId="0" fontId="4" fillId="6" borderId="26" pivotButton="0" quotePrefix="0" xfId="0"/>
    <xf numFmtId="0" fontId="4" fillId="6" borderId="27" pivotButton="0" quotePrefix="0" xfId="0"/>
    <xf numFmtId="0" fontId="4" fillId="6" borderId="28" pivotButton="0" quotePrefix="0" xfId="0"/>
    <xf numFmtId="0" fontId="4" fillId="6" borderId="26" applyAlignment="1" pivotButton="0" quotePrefix="0" xfId="0">
      <alignment horizontal="center"/>
    </xf>
    <xf numFmtId="0" fontId="4" fillId="6" borderId="27" applyAlignment="1" pivotButton="0" quotePrefix="0" xfId="0">
      <alignment horizontal="center"/>
    </xf>
    <xf numFmtId="0" fontId="4" fillId="6" borderId="28" applyAlignment="1" pivotButton="0" quotePrefix="0" xfId="0">
      <alignment horizontal="center"/>
    </xf>
    <xf numFmtId="0" fontId="4" fillId="6" borderId="26" applyAlignment="1" pivotButton="0" quotePrefix="0" xfId="0">
      <alignment horizontal="center" vertical="center"/>
    </xf>
    <xf numFmtId="0" fontId="4" fillId="6" borderId="27" applyAlignment="1" pivotButton="0" quotePrefix="0" xfId="0">
      <alignment horizontal="center" vertical="center"/>
    </xf>
    <xf numFmtId="0" fontId="4" fillId="6" borderId="28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29" pivotButton="0" quotePrefix="0" xfId="0"/>
    <xf numFmtId="0" fontId="4" fillId="6" borderId="30" pivotButton="0" quotePrefix="0" xfId="0"/>
    <xf numFmtId="0" fontId="4" fillId="6" borderId="31" pivotButton="0" quotePrefix="0" xfId="0"/>
    <xf numFmtId="0" fontId="4" fillId="6" borderId="29" applyAlignment="1" pivotButton="0" quotePrefix="0" xfId="0">
      <alignment horizontal="center"/>
    </xf>
    <xf numFmtId="0" fontId="4" fillId="6" borderId="30" applyAlignment="1" pivotButton="0" quotePrefix="0" xfId="0">
      <alignment horizontal="center"/>
    </xf>
    <xf numFmtId="0" fontId="4" fillId="6" borderId="31" applyAlignment="1" pivotButton="0" quotePrefix="0" xfId="0">
      <alignment horizontal="center"/>
    </xf>
    <xf numFmtId="0" fontId="4" fillId="6" borderId="29" applyAlignment="1" pivotButton="0" quotePrefix="0" xfId="0">
      <alignment horizontal="center" vertical="center"/>
    </xf>
    <xf numFmtId="0" fontId="4" fillId="6" borderId="30" applyAlignment="1" pivotButton="0" quotePrefix="0" xfId="0">
      <alignment horizontal="center" vertical="center"/>
    </xf>
    <xf numFmtId="0" fontId="4" fillId="6" borderId="31" applyAlignment="1" pivotButton="0" quotePrefix="0" xfId="0">
      <alignment horizontal="center" vertical="center"/>
    </xf>
    <xf numFmtId="0" fontId="5" fillId="0" borderId="0" pivotButton="0" quotePrefix="0" xfId="0"/>
    <xf numFmtId="0" fontId="5" fillId="0" borderId="32" pivotButton="0" quotePrefix="0" xfId="0"/>
    <xf numFmtId="0" fontId="5" fillId="0" borderId="33" pivotButton="0" quotePrefix="0" xfId="0"/>
    <xf numFmtId="0" fontId="5" fillId="0" borderId="34" pivotButton="0" quotePrefix="0" xfId="0"/>
    <xf numFmtId="0" fontId="5" fillId="0" borderId="35" pivotButton="0" quotePrefix="0" xfId="0"/>
    <xf numFmtId="0" fontId="5" fillId="0" borderId="36" pivotButton="0" quotePrefix="0" xfId="0"/>
    <xf numFmtId="0" fontId="5" fillId="0" borderId="37" pivotButton="0" quotePrefix="0" xfId="0"/>
    <xf numFmtId="0" fontId="5" fillId="0" borderId="38" pivotButton="0" quotePrefix="0" xfId="0"/>
    <xf numFmtId="0" fontId="5" fillId="0" borderId="39" pivotButton="0" quotePrefix="0" xfId="0"/>
    <xf numFmtId="0" fontId="5" fillId="0" borderId="32" applyAlignment="1" pivotButton="0" quotePrefix="0" xfId="0">
      <alignment vertical="center"/>
    </xf>
    <xf numFmtId="0" fontId="5" fillId="0" borderId="33" applyAlignment="1" pivotButton="0" quotePrefix="0" xfId="0">
      <alignment vertical="center"/>
    </xf>
    <xf numFmtId="0" fontId="5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36" applyAlignment="1" pivotButton="0" quotePrefix="0" xfId="0">
      <alignment vertical="center"/>
    </xf>
    <xf numFmtId="0" fontId="5" fillId="0" borderId="37" applyAlignment="1" pivotButton="0" quotePrefix="0" xfId="0">
      <alignment vertical="center"/>
    </xf>
    <xf numFmtId="0" fontId="5" fillId="0" borderId="38" applyAlignment="1" pivotButton="0" quotePrefix="0" xfId="0">
      <alignment vertical="center"/>
    </xf>
    <xf numFmtId="0" fontId="5" fillId="0" borderId="39" applyAlignment="1" pivotButton="0" quotePrefix="0" xfId="0">
      <alignment vertical="center"/>
    </xf>
    <xf numFmtId="0" fontId="5" fillId="0" borderId="1" pivotButton="0" quotePrefix="0" xfId="0"/>
    <xf numFmtId="0" fontId="5" fillId="0" borderId="40" pivotButton="0" quotePrefix="0" xfId="0"/>
    <xf numFmtId="0" fontId="5" fillId="0" borderId="41" pivotButton="0" quotePrefix="0" xfId="0"/>
    <xf numFmtId="0" fontId="5" fillId="0" borderId="42" pivotButton="0" quotePrefix="0" xfId="0"/>
    <xf numFmtId="0" fontId="5" fillId="0" borderId="43" pivotButton="0" quotePrefix="0" xfId="0"/>
    <xf numFmtId="0" fontId="5" fillId="0" borderId="44" pivotButton="0" quotePrefix="0" xfId="0"/>
    <xf numFmtId="0" fontId="5" fillId="0" borderId="45" pivotButton="0" quotePrefix="0" xfId="0"/>
    <xf numFmtId="0" fontId="5" fillId="0" borderId="46" pivotButton="0" quotePrefix="0" xfId="0"/>
    <xf numFmtId="0" fontId="5" fillId="0" borderId="47" pivotButton="0" quotePrefix="0" xfId="0"/>
    <xf numFmtId="0" fontId="5" fillId="0" borderId="40" applyAlignment="1" pivotButton="0" quotePrefix="0" xfId="0">
      <alignment vertical="center"/>
    </xf>
    <xf numFmtId="0" fontId="5" fillId="0" borderId="41" applyAlignment="1" pivotButton="0" quotePrefix="0" xfId="0">
      <alignment vertical="center"/>
    </xf>
    <xf numFmtId="0" fontId="5" fillId="0" borderId="42" applyAlignment="1" pivotButton="0" quotePrefix="0" xfId="0">
      <alignment vertical="center"/>
    </xf>
    <xf numFmtId="0" fontId="5" fillId="0" borderId="43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44" applyAlignment="1" pivotButton="0" quotePrefix="0" xfId="0">
      <alignment vertical="center"/>
    </xf>
    <xf numFmtId="0" fontId="5" fillId="0" borderId="45" applyAlignment="1" pivotButton="0" quotePrefix="0" xfId="0">
      <alignment vertical="center"/>
    </xf>
    <xf numFmtId="0" fontId="5" fillId="0" borderId="46" applyAlignment="1" pivotButton="0" quotePrefix="0" xfId="0">
      <alignment vertical="center"/>
    </xf>
    <xf numFmtId="0" fontId="5" fillId="0" borderId="47" applyAlignment="1" pivotButton="0" quotePrefix="0" xfId="0">
      <alignment vertical="center"/>
    </xf>
    <xf numFmtId="0" fontId="5" fillId="0" borderId="32" applyAlignment="1" pivotButton="0" quotePrefix="0" xfId="0">
      <alignment horizontal="center" vertical="center"/>
    </xf>
    <xf numFmtId="0" fontId="5" fillId="0" borderId="33" applyAlignment="1" pivotButton="0" quotePrefix="0" xfId="0">
      <alignment horizontal="center" vertical="center"/>
    </xf>
    <xf numFmtId="0" fontId="5" fillId="0" borderId="35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37" applyAlignment="1" pivotButton="0" quotePrefix="0" xfId="0">
      <alignment horizontal="center" vertical="center"/>
    </xf>
    <xf numFmtId="0" fontId="5" fillId="0" borderId="38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5" fillId="0" borderId="4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0" fontId="5" fillId="0" borderId="46" applyAlignment="1" pivotButton="0" quotePrefix="0" xfId="0">
      <alignment horizontal="center" vertical="center"/>
    </xf>
    <xf numFmtId="0" fontId="5" fillId="0" borderId="34" applyAlignment="1" pivotButton="0" quotePrefix="0" xfId="0">
      <alignment horizontal="left" vertical="center"/>
    </xf>
    <xf numFmtId="0" fontId="5" fillId="0" borderId="36" applyAlignment="1" pivotButton="0" quotePrefix="0" xfId="0">
      <alignment horizontal="left" vertical="center"/>
    </xf>
    <xf numFmtId="0" fontId="5" fillId="0" borderId="39" applyAlignment="1" pivotButton="0" quotePrefix="0" xfId="0">
      <alignment horizontal="left" vertical="center"/>
    </xf>
    <xf numFmtId="0" fontId="5" fillId="0" borderId="42" applyAlignment="1" pivotButton="0" quotePrefix="0" xfId="0">
      <alignment horizontal="left" vertical="center"/>
    </xf>
    <xf numFmtId="0" fontId="5" fillId="0" borderId="44" applyAlignment="1" pivotButton="0" quotePrefix="0" xfId="0">
      <alignment horizontal="left" vertical="center"/>
    </xf>
    <xf numFmtId="0" fontId="5" fillId="0" borderId="47" applyAlignment="1" pivotButton="0" quotePrefix="0" xfId="0">
      <alignment horizontal="left" vertical="center"/>
    </xf>
    <xf numFmtId="49" fontId="5" fillId="0" borderId="33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49" fontId="5" fillId="0" borderId="38" applyAlignment="1" pivotButton="0" quotePrefix="0" xfId="0">
      <alignment horizontal="center" vertical="center"/>
    </xf>
    <xf numFmtId="49" fontId="5" fillId="0" borderId="4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49" fontId="5" fillId="0" borderId="46" applyAlignment="1" pivotButton="0" quotePrefix="0" xfId="0">
      <alignment horizontal="center" vertical="center"/>
    </xf>
    <xf numFmtId="164" fontId="5" fillId="0" borderId="3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164" fontId="5" fillId="0" borderId="4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0" borderId="46" applyAlignment="1" pivotButton="0" quotePrefix="0" xfId="0">
      <alignment horizontal="center" vertical="center"/>
    </xf>
    <xf numFmtId="0" fontId="5" fillId="7" borderId="33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7" borderId="38" applyAlignment="1" pivotButton="0" quotePrefix="0" xfId="0">
      <alignment horizontal="center" vertical="center"/>
    </xf>
    <xf numFmtId="0" fontId="5" fillId="7" borderId="4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7" borderId="46" applyAlignment="1" pivotButton="0" quotePrefix="0" xfId="0">
      <alignment horizontal="center" vertical="center"/>
    </xf>
    <xf numFmtId="0" fontId="5" fillId="7" borderId="33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7" borderId="38" applyAlignment="1" pivotButton="0" quotePrefix="0" xfId="0">
      <alignment horizontal="center" vertical="center" wrapText="1"/>
    </xf>
    <xf numFmtId="0" fontId="5" fillId="7" borderId="4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46" applyAlignment="1" pivotButton="0" quotePrefix="0" xfId="0">
      <alignment horizontal="center" vertical="center" wrapText="1"/>
    </xf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6" fillId="2" borderId="1" pivotButton="0" quotePrefix="0" xfId="0"/>
    <xf numFmtId="0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/>
    </xf>
    <xf numFmtId="0" fontId="2" fillId="4" borderId="3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4" borderId="6" applyAlignment="1" pivotButton="0" quotePrefix="0" xfId="0">
      <alignment horizontal="center"/>
    </xf>
    <xf numFmtId="0" fontId="2" fillId="4" borderId="7" applyAlignment="1" pivotButton="0" quotePrefix="0" xfId="0">
      <alignment horizontal="center"/>
    </xf>
    <xf numFmtId="0" fontId="2" fillId="4" borderId="2" applyAlignment="1" pivotButton="0" quotePrefix="0" xfId="0">
      <alignment horizontal="center" vertical="center"/>
    </xf>
    <xf numFmtId="0" fontId="2" fillId="4" borderId="3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/>
    </xf>
    <xf numFmtId="0" fontId="2" fillId="4" borderId="9" applyAlignment="1" pivotButton="0" quotePrefix="0" xfId="0">
      <alignment horizontal="center"/>
    </xf>
    <xf numFmtId="0" fontId="2" fillId="4" borderId="10" applyAlignment="1" pivotButton="0" quotePrefix="0" xfId="0">
      <alignment horizontal="center"/>
    </xf>
    <xf numFmtId="0" fontId="2" fillId="4" borderId="11" applyAlignment="1" pivotButton="0" quotePrefix="0" xfId="0">
      <alignment horizontal="center"/>
    </xf>
    <xf numFmtId="0" fontId="2" fillId="4" borderId="12" applyAlignment="1" pivotButton="0" quotePrefix="0" xfId="0">
      <alignment horizontal="center"/>
    </xf>
    <xf numFmtId="0" fontId="2" fillId="4" borderId="13" applyAlignment="1" pivotButton="0" quotePrefix="0" xfId="0">
      <alignment horizontal="center"/>
    </xf>
    <xf numFmtId="0" fontId="2" fillId="4" borderId="8" applyAlignment="1" pivotButton="0" quotePrefix="0" xfId="0">
      <alignment horizontal="center" vertical="center"/>
    </xf>
    <xf numFmtId="0" fontId="2" fillId="4" borderId="9" applyAlignment="1" pivotButton="0" quotePrefix="0" xfId="0">
      <alignment horizontal="center" vertical="center"/>
    </xf>
    <xf numFmtId="0" fontId="2" fillId="4" borderId="10" applyAlignment="1" pivotButton="0" quotePrefix="0" xfId="0">
      <alignment horizontal="center" vertical="center"/>
    </xf>
    <xf numFmtId="0" fontId="2" fillId="4" borderId="11" applyAlignment="1" pivotButton="0" quotePrefix="0" xfId="0">
      <alignment horizontal="center" vertical="center"/>
    </xf>
    <xf numFmtId="0" fontId="2" fillId="4" borderId="12" applyAlignment="1" pivotButton="0" quotePrefix="0" xfId="0">
      <alignment horizontal="center" vertical="center"/>
    </xf>
    <xf numFmtId="0" fontId="2" fillId="4" borderId="13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5" borderId="3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3" fillId="5" borderId="14" applyAlignment="1" pivotButton="0" quotePrefix="0" xfId="0">
      <alignment horizontal="center" vertical="center"/>
    </xf>
    <xf numFmtId="0" fontId="3" fillId="5" borderId="15" applyAlignment="1" pivotButton="0" quotePrefix="0" xfId="0">
      <alignment horizontal="center" vertical="center"/>
    </xf>
    <xf numFmtId="0" fontId="3" fillId="5" borderId="16" applyAlignment="1" pivotButton="0" quotePrefix="0" xfId="0">
      <alignment horizontal="center" vertical="center"/>
    </xf>
    <xf numFmtId="0" fontId="3" fillId="5" borderId="17" applyAlignment="1" pivotButton="0" quotePrefix="0" xfId="0">
      <alignment horizontal="center" vertical="center"/>
    </xf>
    <xf numFmtId="0" fontId="3" fillId="5" borderId="18" applyAlignment="1" pivotButton="0" quotePrefix="0" xfId="0">
      <alignment horizontal="center" vertical="center"/>
    </xf>
    <xf numFmtId="0" fontId="3" fillId="5" borderId="19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5" borderId="9" applyAlignment="1" pivotButton="0" quotePrefix="0" xfId="0">
      <alignment horizontal="center" vertical="center"/>
    </xf>
    <xf numFmtId="0" fontId="2" fillId="5" borderId="11" applyAlignment="1" pivotButton="0" quotePrefix="0" xfId="0">
      <alignment horizontal="center" vertical="center"/>
    </xf>
    <xf numFmtId="0" fontId="2" fillId="5" borderId="12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5" borderId="9" applyAlignment="1" pivotButton="0" quotePrefix="0" xfId="0">
      <alignment horizontal="center" vertical="center"/>
    </xf>
    <xf numFmtId="0" fontId="3" fillId="5" borderId="11" applyAlignment="1" pivotButton="0" quotePrefix="0" xfId="0">
      <alignment horizontal="center" vertical="center"/>
    </xf>
    <xf numFmtId="0" fontId="3" fillId="5" borderId="12" applyAlignment="1" pivotButton="0" quotePrefix="0" xfId="0">
      <alignment horizontal="center" vertical="center"/>
    </xf>
    <xf numFmtId="0" fontId="3" fillId="5" borderId="20" applyAlignment="1" pivotButton="0" quotePrefix="0" xfId="0">
      <alignment horizontal="center" vertical="center"/>
    </xf>
    <xf numFmtId="0" fontId="3" fillId="5" borderId="21" applyAlignment="1" pivotButton="0" quotePrefix="0" xfId="0">
      <alignment horizontal="center" vertical="center"/>
    </xf>
    <xf numFmtId="0" fontId="3" fillId="5" borderId="22" applyAlignment="1" pivotButton="0" quotePrefix="0" xfId="0">
      <alignment horizontal="center" vertical="center"/>
    </xf>
    <xf numFmtId="0" fontId="3" fillId="5" borderId="23" applyAlignment="1" pivotButton="0" quotePrefix="0" xfId="0">
      <alignment horizontal="center" vertical="center"/>
    </xf>
    <xf numFmtId="0" fontId="3" fillId="5" borderId="24" applyAlignment="1" pivotButton="0" quotePrefix="0" xfId="0">
      <alignment horizontal="center" vertical="center"/>
    </xf>
    <xf numFmtId="0" fontId="3" fillId="5" borderId="25" applyAlignment="1" pivotButton="0" quotePrefix="0" xfId="0">
      <alignment horizontal="center" vertical="center"/>
    </xf>
    <xf numFmtId="0" fontId="2" fillId="5" borderId="4" applyAlignment="1" pivotButton="0" quotePrefix="0" xfId="0">
      <alignment horizontal="center" vertical="center"/>
    </xf>
    <xf numFmtId="0" fontId="2" fillId="5" borderId="7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/>
    </xf>
    <xf numFmtId="0" fontId="3" fillId="5" borderId="7" applyAlignment="1" pivotButton="0" quotePrefix="0" xfId="0">
      <alignment horizontal="center" vertical="center"/>
    </xf>
    <xf numFmtId="0" fontId="2" fillId="5" borderId="10" applyAlignment="1" pivotButton="0" quotePrefix="0" xfId="0">
      <alignment horizontal="center" vertical="center"/>
    </xf>
    <xf numFmtId="0" fontId="2" fillId="5" borderId="13" applyAlignment="1" pivotButton="0" quotePrefix="0" xfId="0">
      <alignment horizontal="center" vertical="center"/>
    </xf>
    <xf numFmtId="0" fontId="3" fillId="5" borderId="10" applyAlignment="1" pivotButton="0" quotePrefix="0" xfId="0">
      <alignment horizontal="center" vertical="center"/>
    </xf>
    <xf numFmtId="0" fontId="3" fillId="5" borderId="13" applyAlignment="1" pivotButton="0" quotePrefix="0" xfId="0">
      <alignment horizontal="center" vertical="center"/>
    </xf>
    <xf numFmtId="0" fontId="5" fillId="0" borderId="48" pivotButton="0" quotePrefix="0" xfId="0"/>
    <xf numFmtId="0" fontId="5" fillId="0" borderId="49" pivotButton="0" quotePrefix="0" xfId="0"/>
    <xf numFmtId="0" fontId="5" fillId="0" borderId="50" pivotButton="0" quotePrefix="0" xfId="0"/>
    <xf numFmtId="0" fontId="5" fillId="0" borderId="51" pivotButton="0" quotePrefix="0" xfId="0"/>
    <xf numFmtId="0" fontId="5" fillId="0" borderId="52" pivotButton="0" quotePrefix="0" xfId="0"/>
    <xf numFmtId="0" fontId="5" fillId="0" borderId="53" pivotButton="0" quotePrefix="0" xfId="0"/>
    <xf numFmtId="49" fontId="5" fillId="0" borderId="49" pivotButton="0" quotePrefix="0" xfId="0"/>
    <xf numFmtId="49" fontId="5" fillId="0" borderId="52" pivotButton="0" quotePrefix="0" xfId="0"/>
    <xf numFmtId="164" fontId="5" fillId="0" borderId="49" pivotButton="0" quotePrefix="0" xfId="0"/>
    <xf numFmtId="164" fontId="5" fillId="0" borderId="52" pivotButton="0" quotePrefix="0" xfId="0"/>
    <xf numFmtId="0" fontId="5" fillId="7" borderId="49" pivotButton="0" quotePrefix="0" xfId="0"/>
    <xf numFmtId="0" fontId="5" fillId="7" borderId="52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54" pivotButton="0" quotePrefix="0" xfId="0"/>
    <xf numFmtId="0" fontId="7" fillId="5" borderId="55" pivotButton="0" quotePrefix="0" xfId="0"/>
    <xf numFmtId="0" fontId="7" fillId="5" borderId="54" applyAlignment="1" pivotButton="0" quotePrefix="0" xfId="0">
      <alignment horizontal="center"/>
    </xf>
    <xf numFmtId="0" fontId="7" fillId="5" borderId="55" applyAlignment="1" pivotButton="0" quotePrefix="0" xfId="0">
      <alignment horizontal="center"/>
    </xf>
    <xf numFmtId="0" fontId="0" fillId="5" borderId="1" pivotButton="0" quotePrefix="0" xfId="0"/>
    <xf numFmtId="0" fontId="7" fillId="5" borderId="1" pivotButton="0" quotePrefix="0" xfId="0"/>
    <xf numFmtId="0" fontId="7" fillId="5" borderId="56" pivotButton="0" quotePrefix="0" xfId="0"/>
    <xf numFmtId="0" fontId="7" fillId="5" borderId="57" pivotButton="0" quotePrefix="0" xfId="0"/>
    <xf numFmtId="0" fontId="7" fillId="5" borderId="56" applyAlignment="1" pivotButton="0" quotePrefix="0" xfId="0">
      <alignment horizontal="center"/>
    </xf>
    <xf numFmtId="0" fontId="7" fillId="5" borderId="57" applyAlignment="1" pivotButton="0" quotePrefix="0" xfId="0">
      <alignment horizontal="center"/>
    </xf>
    <xf numFmtId="0" fontId="5" fillId="0" borderId="32" applyAlignment="1" pivotButton="0" quotePrefix="0" xfId="0">
      <alignment wrapText="1"/>
    </xf>
    <xf numFmtId="0" fontId="5" fillId="0" borderId="34" applyAlignment="1" pivotButton="0" quotePrefix="0" xfId="0">
      <alignment wrapText="1"/>
    </xf>
    <xf numFmtId="0" fontId="5" fillId="0" borderId="35" applyAlignment="1" pivotButton="0" quotePrefix="0" xfId="0">
      <alignment wrapText="1"/>
    </xf>
    <xf numFmtId="0" fontId="5" fillId="0" borderId="36" applyAlignment="1" pivotButton="0" quotePrefix="0" xfId="0">
      <alignment wrapText="1"/>
    </xf>
    <xf numFmtId="0" fontId="5" fillId="0" borderId="37" applyAlignment="1" pivotButton="0" quotePrefix="0" xfId="0">
      <alignment wrapText="1"/>
    </xf>
    <xf numFmtId="0" fontId="5" fillId="0" borderId="39" applyAlignment="1" pivotButton="0" quotePrefix="0" xfId="0">
      <alignment wrapText="1"/>
    </xf>
    <xf numFmtId="0" fontId="5" fillId="0" borderId="32" applyAlignment="1" pivotButton="0" quotePrefix="0" xfId="0">
      <alignment vertical="center" wrapText="1"/>
    </xf>
    <xf numFmtId="0" fontId="5" fillId="0" borderId="34" applyAlignment="1" pivotButton="0" quotePrefix="0" xfId="0">
      <alignment vertical="center" wrapText="1"/>
    </xf>
    <xf numFmtId="0" fontId="5" fillId="0" borderId="35" applyAlignment="1" pivotButton="0" quotePrefix="0" xfId="0">
      <alignment vertical="center" wrapText="1"/>
    </xf>
    <xf numFmtId="0" fontId="5" fillId="0" borderId="36" applyAlignment="1" pivotButton="0" quotePrefix="0" xfId="0">
      <alignment vertical="center" wrapText="1"/>
    </xf>
    <xf numFmtId="0" fontId="5" fillId="0" borderId="37" applyAlignment="1" pivotButton="0" quotePrefix="0" xfId="0">
      <alignment vertical="center" wrapText="1"/>
    </xf>
    <xf numFmtId="0" fontId="5" fillId="0" borderId="39" applyAlignment="1" pivotButton="0" quotePrefix="0" xfId="0">
      <alignment vertical="center" wrapText="1"/>
    </xf>
    <xf numFmtId="0" fontId="2" fillId="3" borderId="0" applyAlignment="1" pivotButton="0" quotePrefix="0" xfId="0">
      <alignment horizontal="left" vertical="center"/>
    </xf>
    <xf numFmtId="0" fontId="4" fillId="6" borderId="26" applyAlignment="1" pivotButton="0" quotePrefix="0" xfId="0">
      <alignment horizontal="center" vertical="center"/>
    </xf>
    <xf numFmtId="0" fontId="4" fillId="6" borderId="27" applyAlignment="1" pivotButton="0" quotePrefix="0" xfId="0">
      <alignment horizontal="center" vertical="center"/>
    </xf>
    <xf numFmtId="0" fontId="4" fillId="6" borderId="28" applyAlignment="1" pivotButton="0" quotePrefix="0" xfId="0">
      <alignment horizontal="center" vertical="center"/>
    </xf>
    <xf numFmtId="0" fontId="5" fillId="0" borderId="33" applyAlignment="1" pivotButton="0" quotePrefix="0" xfId="0">
      <alignment horizontal="center" vertical="center"/>
    </xf>
    <xf numFmtId="49" fontId="5" fillId="0" borderId="33" applyAlignment="1" pivotButton="0" quotePrefix="0" xfId="0">
      <alignment horizontal="center" vertical="center"/>
    </xf>
    <xf numFmtId="164" fontId="5" fillId="0" borderId="33" applyAlignment="1" pivotButton="0" quotePrefix="0" xfId="0">
      <alignment horizontal="center" vertical="center"/>
    </xf>
    <xf numFmtId="0" fontId="5" fillId="7" borderId="33" applyAlignment="1" pivotButton="0" quotePrefix="0" xfId="0">
      <alignment horizontal="center" vertical="center" wrapText="1"/>
    </xf>
    <xf numFmtId="0" fontId="5" fillId="0" borderId="34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left" vertical="center"/>
    </xf>
    <xf numFmtId="0" fontId="5" fillId="0" borderId="38" applyAlignment="1" pivotButton="0" quotePrefix="0" xfId="0">
      <alignment horizontal="center" vertical="center"/>
    </xf>
    <xf numFmtId="49" fontId="5" fillId="0" borderId="38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0" fontId="5" fillId="7" borderId="38" applyAlignment="1" pivotButton="0" quotePrefix="0" xfId="0">
      <alignment horizontal="center" vertical="center" wrapText="1"/>
    </xf>
    <xf numFmtId="0" fontId="5" fillId="0" borderId="39" applyAlignment="1" pivotButton="0" quotePrefix="0" xfId="0">
      <alignment horizontal="left" vertical="center"/>
    </xf>
    <xf numFmtId="0" fontId="3" fillId="5" borderId="56" applyAlignment="1" pivotButton="0" quotePrefix="0" xfId="0">
      <alignment horizontal="center" vertical="center" wrapText="1"/>
    </xf>
    <xf numFmtId="0" fontId="3" fillId="5" borderId="59" applyAlignment="1" pivotButton="0" quotePrefix="0" xfId="0">
      <alignment horizontal="center" vertical="center" wrapText="1"/>
    </xf>
    <xf numFmtId="0" fontId="3" fillId="5" borderId="57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4" fillId="6" borderId="61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49" fontId="5" fillId="0" borderId="33" applyAlignment="1" pivotButton="0" quotePrefix="0" xfId="0">
      <alignment horizontal="center" vertical="center"/>
    </xf>
    <xf numFmtId="164" fontId="5" fillId="0" borderId="33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49" fontId="5" fillId="0" borderId="38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0" fontId="3" fillId="5" borderId="56" applyAlignment="1" pivotButton="0" quotePrefix="0" xfId="0">
      <alignment horizontal="center" vertical="center"/>
    </xf>
    <xf numFmtId="0" fontId="3" fillId="5" borderId="59" applyAlignment="1" pivotButton="0" quotePrefix="0" xfId="0">
      <alignment horizontal="center" vertical="center"/>
    </xf>
    <xf numFmtId="0" fontId="3" fillId="5" borderId="57" applyAlignment="1" pivotButton="0" quotePrefix="0" xfId="0">
      <alignment horizontal="center" vertical="center"/>
    </xf>
    <xf numFmtId="0" fontId="4" fillId="6" borderId="61" applyAlignment="1" pivotButton="0" quotePrefix="0" xfId="0">
      <alignment horizontal="center"/>
    </xf>
    <xf numFmtId="49" fontId="5" fillId="0" borderId="49" pivotButton="0" quotePrefix="0" xfId="0"/>
    <xf numFmtId="164" fontId="5" fillId="0" borderId="49" pivotButton="0" quotePrefix="0" xfId="0"/>
  </cellXfs>
  <cellStyles count="1">
    <cellStyle name="Normal" xfId="0"/>
  </cellStyles>
  <dxfs count="2">
    <dxf>
      <font>
        <b val="1"/>
        <color rgb="FF17365D"/>
      </font>
      <fill>
        <patternFill>
          <bgColor rgb="FFB7CCE3"/>
        </patternFill>
      </fill>
    </dxf>
    <dxf>
      <fill>
        <patternFill>
          <bgColor rgb="FFB7CCE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5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5" customWidth="1" min="3" max="3"/>
    <col width="8" customWidth="1" min="4" max="4"/>
    <col width="16" customWidth="1" min="5" max="5"/>
    <col width="19" customWidth="1" min="6" max="6"/>
    <col width="11" customWidth="1" min="7" max="7"/>
    <col width="28" customWidth="1" min="8" max="8"/>
    <col width="5.199999809265137" customWidth="1" min="9" max="9"/>
    <col width="5.199999809265137" customWidth="1" min="10" max="10"/>
    <col width="5.199999809265137" customWidth="1" min="11" max="11"/>
    <col width="5.199999809265137" customWidth="1" min="12" max="12"/>
    <col width="5.199999809265137" customWidth="1" min="13" max="13"/>
    <col width="5.199999809265137" customWidth="1" min="14" max="14"/>
    <col width="5.199999809265137" customWidth="1" min="15" max="15"/>
    <col width="5.199999809265137" customWidth="1" min="16" max="16"/>
    <col width="5.199999809265137" customWidth="1" min="17" max="17"/>
    <col width="5.199999809265137" customWidth="1" min="18" max="18"/>
    <col width="5.199999809265137" customWidth="1" min="19" max="19"/>
    <col width="5.199999809265137" customWidth="1" min="20" max="20"/>
    <col width="5.199999809265137" customWidth="1" min="21" max="21"/>
    <col width="5.199999809265137" customWidth="1" min="22" max="22"/>
    <col width="5.199999809265137" customWidth="1" min="23" max="23"/>
    <col width="5.199999809265137" customWidth="1" min="24" max="24"/>
    <col width="5.199999809265137" customWidth="1" min="25" max="25"/>
    <col width="5.199999809265137" customWidth="1" min="26" max="26"/>
    <col width="5.199999809265137" customWidth="1" min="27" max="27"/>
    <col width="5.199999809265137" customWidth="1" min="28" max="28"/>
    <col width="5.199999809265137" customWidth="1" min="29" max="29"/>
    <col width="8" customWidth="1" min="30" max="30"/>
    <col width="22" customWidth="1" min="31" max="31"/>
  </cols>
  <sheetData>
    <row r="1" ht="32" customHeight="1">
      <c r="A1" s="9" t="inlineStr">
        <is>
          <t>CORE 출석부 종합입력 기본 양식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5" customHeight="1">
      <c r="A2" s="17" t="inlineStr">
        <is>
          <t>캠퍼스: 여기에 입력하세요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9" t="inlineStr">
        <is>
          <t>수업요일 입력 예: 화1 목1 토1.2</t>
        </is>
      </c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</row>
    <row r="4" ht="22" customHeight="1">
      <c r="A4" s="329" t="inlineStr">
        <is>
          <t>No</t>
        </is>
      </c>
      <c r="B4" s="330" t="inlineStr">
        <is>
          <t>이름</t>
        </is>
      </c>
      <c r="C4" s="330" t="inlineStr">
        <is>
          <t>학교</t>
        </is>
      </c>
      <c r="D4" s="330" t="inlineStr">
        <is>
          <t>학년</t>
        </is>
      </c>
      <c r="E4" s="330" t="inlineStr">
        <is>
          <t>학생 전화번호</t>
        </is>
      </c>
      <c r="F4" s="330" t="inlineStr">
        <is>
          <t>학부모 전화번호</t>
        </is>
      </c>
      <c r="G4" s="330" t="inlineStr">
        <is>
          <t>등록일</t>
        </is>
      </c>
      <c r="H4" s="331" t="inlineStr">
        <is>
          <t>수업요일</t>
        </is>
      </c>
      <c r="I4" s="67" t="inlineStr">
        <is>
          <t>월</t>
        </is>
      </c>
      <c r="J4" s="332" t="n"/>
      <c r="K4" s="332" t="n"/>
      <c r="L4" s="67" t="inlineStr">
        <is>
          <t>화</t>
        </is>
      </c>
      <c r="M4" s="332" t="n"/>
      <c r="N4" s="332" t="n"/>
      <c r="O4" s="67" t="inlineStr">
        <is>
          <t>수</t>
        </is>
      </c>
      <c r="P4" s="332" t="n"/>
      <c r="Q4" s="332" t="n"/>
      <c r="R4" s="67" t="inlineStr">
        <is>
          <t>목</t>
        </is>
      </c>
      <c r="S4" s="332" t="n"/>
      <c r="T4" s="332" t="n"/>
      <c r="U4" s="67" t="inlineStr">
        <is>
          <t>금</t>
        </is>
      </c>
      <c r="V4" s="332" t="n"/>
      <c r="W4" s="332" t="n"/>
      <c r="X4" s="67" t="inlineStr">
        <is>
          <t>토</t>
        </is>
      </c>
      <c r="Y4" s="332" t="n"/>
      <c r="Z4" s="332" t="n"/>
      <c r="AA4" s="67" t="inlineStr">
        <is>
          <t>일</t>
        </is>
      </c>
      <c r="AB4" s="332" t="n"/>
      <c r="AC4" s="332" t="n"/>
      <c r="AD4" s="329" t="inlineStr">
        <is>
          <t>총횟수</t>
        </is>
      </c>
      <c r="AE4" s="331" t="inlineStr">
        <is>
          <t>비고</t>
        </is>
      </c>
    </row>
    <row r="5" ht="22" customHeight="1">
      <c r="A5" s="333" t="n"/>
      <c r="B5" s="334" t="n"/>
      <c r="C5" s="334" t="n"/>
      <c r="D5" s="334" t="n"/>
      <c r="E5" s="334" t="n"/>
      <c r="F5" s="334" t="n"/>
      <c r="G5" s="334" t="n"/>
      <c r="H5" s="335" t="n"/>
      <c r="I5" s="44" t="n">
        <v>1</v>
      </c>
      <c r="J5" s="44" t="n">
        <v>2</v>
      </c>
      <c r="K5" s="44" t="n">
        <v>3</v>
      </c>
      <c r="L5" s="44" t="n">
        <v>1</v>
      </c>
      <c r="M5" s="44" t="n">
        <v>2</v>
      </c>
      <c r="N5" s="44" t="n">
        <v>3</v>
      </c>
      <c r="O5" s="44" t="n">
        <v>1</v>
      </c>
      <c r="P5" s="44" t="n">
        <v>2</v>
      </c>
      <c r="Q5" s="44" t="n">
        <v>3</v>
      </c>
      <c r="R5" s="44" t="n">
        <v>1</v>
      </c>
      <c r="S5" s="44" t="n">
        <v>2</v>
      </c>
      <c r="T5" s="44" t="n">
        <v>3</v>
      </c>
      <c r="U5" s="44" t="n">
        <v>1</v>
      </c>
      <c r="V5" s="44" t="n">
        <v>2</v>
      </c>
      <c r="W5" s="44" t="n">
        <v>3</v>
      </c>
      <c r="X5" s="44" t="n">
        <v>1</v>
      </c>
      <c r="Y5" s="44" t="n">
        <v>2</v>
      </c>
      <c r="Z5" s="44" t="n">
        <v>3</v>
      </c>
      <c r="AA5" s="44" t="n">
        <v>1</v>
      </c>
      <c r="AB5" s="44" t="n">
        <v>2</v>
      </c>
      <c r="AC5" s="44" t="n">
        <v>3</v>
      </c>
      <c r="AD5" s="333" t="n"/>
      <c r="AE5" s="335" t="n"/>
    </row>
    <row r="6" ht="27" customHeight="1">
      <c r="A6" s="336" t="n"/>
      <c r="B6" s="337" t="n"/>
      <c r="C6" s="337" t="n"/>
      <c r="D6" s="337" t="n"/>
      <c r="E6" s="337" t="n"/>
      <c r="F6" s="337" t="n"/>
      <c r="G6" s="337" t="n"/>
      <c r="H6" s="337" t="n"/>
      <c r="I6" s="337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  <c r="AC6" s="337" t="n"/>
      <c r="AD6" s="337" t="n"/>
      <c r="AE6" s="338" t="n"/>
    </row>
    <row r="7" ht="24" customHeight="1">
      <c r="A7" s="166" t="n"/>
      <c r="B7" s="314" t="n"/>
      <c r="C7" s="314" t="n"/>
      <c r="D7" s="314" t="n"/>
      <c r="E7" s="339" t="n"/>
      <c r="F7" s="339" t="n"/>
      <c r="G7" s="340" t="n"/>
      <c r="H7" s="317" t="n"/>
      <c r="I7" s="314">
        <f>IF(ISNUMBER(SEARCH("월1",$H7)),1,"")</f>
        <v/>
      </c>
      <c r="J7" s="314">
        <f>IF(OR(ISNUMBER(SEARCH("월2",$H7)),ISNUMBER(SEARCH("월1.2",$H7))),1,"")</f>
        <v/>
      </c>
      <c r="K7" s="314">
        <f>IF(OR(ISNUMBER(SEARCH("월3",$H7)),ISNUMBER(SEARCH("월1.3",$H7)),ISNUMBER(SEARCH("월2.3",$H7)),ISNUMBER(SEARCH("월1.2.3",$H7))),1,"")</f>
        <v/>
      </c>
      <c r="L7" s="314">
        <f>IF(ISNUMBER(SEARCH("화1",$H7)),1,"")</f>
        <v/>
      </c>
      <c r="M7" s="314">
        <f>IF(OR(ISNUMBER(SEARCH("화2",$H7)),ISNUMBER(SEARCH("화1.2",$H7))),1,"")</f>
        <v/>
      </c>
      <c r="N7" s="314">
        <f>IF(OR(ISNUMBER(SEARCH("화3",$H7)),ISNUMBER(SEARCH("화1.3",$H7)),ISNUMBER(SEARCH("화2.3",$H7)),ISNUMBER(SEARCH("화1.2.3",$H7))),1,"")</f>
        <v/>
      </c>
      <c r="O7" s="314">
        <f>IF(ISNUMBER(SEARCH("수1",$H7)),1,"")</f>
        <v/>
      </c>
      <c r="P7" s="314">
        <f>IF(OR(ISNUMBER(SEARCH("수2",$H7)),ISNUMBER(SEARCH("수1.2",$H7))),1,"")</f>
        <v/>
      </c>
      <c r="Q7" s="314">
        <f>IF(OR(ISNUMBER(SEARCH("수3",$H7)),ISNUMBER(SEARCH("수1.3",$H7)),ISNUMBER(SEARCH("수2.3",$H7)),ISNUMBER(SEARCH("수1.2.3",$H7))),1,"")</f>
        <v/>
      </c>
      <c r="R7" s="314">
        <f>IF(ISNUMBER(SEARCH("목1",$H7)),1,"")</f>
        <v/>
      </c>
      <c r="S7" s="314">
        <f>IF(OR(ISNUMBER(SEARCH("목2",$H7)),ISNUMBER(SEARCH("목1.2",$H7))),1,"")</f>
        <v/>
      </c>
      <c r="T7" s="314">
        <f>IF(OR(ISNUMBER(SEARCH("목3",$H7)),ISNUMBER(SEARCH("목1.3",$H7)),ISNUMBER(SEARCH("목2.3",$H7)),ISNUMBER(SEARCH("목1.2.3",$H7))),1,"")</f>
        <v/>
      </c>
      <c r="U7" s="314">
        <f>IF(ISNUMBER(SEARCH("금1",$H7)),1,"")</f>
        <v/>
      </c>
      <c r="V7" s="314">
        <f>IF(OR(ISNUMBER(SEARCH("금2",$H7)),ISNUMBER(SEARCH("금1.2",$H7))),1,"")</f>
        <v/>
      </c>
      <c r="W7" s="314">
        <f>IF(OR(ISNUMBER(SEARCH("금3",$H7)),ISNUMBER(SEARCH("금1.3",$H7)),ISNUMBER(SEARCH("금2.3",$H7)),ISNUMBER(SEARCH("금1.2.3",$H7))),1,"")</f>
        <v/>
      </c>
      <c r="X7" s="314">
        <f>IF(ISNUMBER(SEARCH("토1",$H7)),1,"")</f>
        <v/>
      </c>
      <c r="Y7" s="314">
        <f>IF(OR(ISNUMBER(SEARCH("토2",$H7)),ISNUMBER(SEARCH("토1.2",$H7))),1,"")</f>
        <v/>
      </c>
      <c r="Z7" s="314">
        <f>IF(OR(ISNUMBER(SEARCH("토3",$H7)),ISNUMBER(SEARCH("토1.3",$H7)),ISNUMBER(SEARCH("토2.3",$H7)),ISNUMBER(SEARCH("토1.2.3",$H7))),1,"")</f>
        <v/>
      </c>
      <c r="AA7" s="314">
        <f>IF(ISNUMBER(SEARCH("일1",$H7)),1,"")</f>
        <v/>
      </c>
      <c r="AB7" s="314">
        <f>IF(OR(ISNUMBER(SEARCH("일2",$H7)),ISNUMBER(SEARCH("일1.2",$H7))),1,"")</f>
        <v/>
      </c>
      <c r="AC7" s="314">
        <f>IF(OR(ISNUMBER(SEARCH("일3",$H7)),ISNUMBER(SEARCH("일1.3",$H7)),ISNUMBER(SEARCH("일2.3",$H7)),ISNUMBER(SEARCH("일1.2.3",$H7))),1,"")</f>
        <v/>
      </c>
      <c r="AD7" s="314">
        <f>SUM(I7:AC7)</f>
        <v/>
      </c>
      <c r="AE7" s="318" t="n"/>
    </row>
    <row r="8" ht="24" customHeight="1">
      <c r="A8" s="168" t="n"/>
      <c r="B8" s="319" t="n"/>
      <c r="C8" s="319" t="n"/>
      <c r="D8" s="319" t="n"/>
      <c r="E8" s="341" t="n"/>
      <c r="F8" s="341" t="n"/>
      <c r="G8" s="342" t="n"/>
      <c r="H8" s="322" t="n"/>
      <c r="I8" s="319">
        <f>IF(ISNUMBER(SEARCH("월1",$H8)),1,"")</f>
        <v/>
      </c>
      <c r="J8" s="319">
        <f>IF(OR(ISNUMBER(SEARCH("월2",$H8)),ISNUMBER(SEARCH("월1.2",$H8))),1,"")</f>
        <v/>
      </c>
      <c r="K8" s="319">
        <f>IF(OR(ISNUMBER(SEARCH("월3",$H8)),ISNUMBER(SEARCH("월1.3",$H8)),ISNUMBER(SEARCH("월2.3",$H8)),ISNUMBER(SEARCH("월1.2.3",$H8))),1,"")</f>
        <v/>
      </c>
      <c r="L8" s="319">
        <f>IF(ISNUMBER(SEARCH("화1",$H8)),1,"")</f>
        <v/>
      </c>
      <c r="M8" s="319">
        <f>IF(OR(ISNUMBER(SEARCH("화2",$H8)),ISNUMBER(SEARCH("화1.2",$H8))),1,"")</f>
        <v/>
      </c>
      <c r="N8" s="319">
        <f>IF(OR(ISNUMBER(SEARCH("화3",$H8)),ISNUMBER(SEARCH("화1.3",$H8)),ISNUMBER(SEARCH("화2.3",$H8)),ISNUMBER(SEARCH("화1.2.3",$H8))),1,"")</f>
        <v/>
      </c>
      <c r="O8" s="319">
        <f>IF(ISNUMBER(SEARCH("수1",$H8)),1,"")</f>
        <v/>
      </c>
      <c r="P8" s="319">
        <f>IF(OR(ISNUMBER(SEARCH("수2",$H8)),ISNUMBER(SEARCH("수1.2",$H8))),1,"")</f>
        <v/>
      </c>
      <c r="Q8" s="319">
        <f>IF(OR(ISNUMBER(SEARCH("수3",$H8)),ISNUMBER(SEARCH("수1.3",$H8)),ISNUMBER(SEARCH("수2.3",$H8)),ISNUMBER(SEARCH("수1.2.3",$H8))),1,"")</f>
        <v/>
      </c>
      <c r="R8" s="319">
        <f>IF(ISNUMBER(SEARCH("목1",$H8)),1,"")</f>
        <v/>
      </c>
      <c r="S8" s="319">
        <f>IF(OR(ISNUMBER(SEARCH("목2",$H8)),ISNUMBER(SEARCH("목1.2",$H8))),1,"")</f>
        <v/>
      </c>
      <c r="T8" s="319">
        <f>IF(OR(ISNUMBER(SEARCH("목3",$H8)),ISNUMBER(SEARCH("목1.3",$H8)),ISNUMBER(SEARCH("목2.3",$H8)),ISNUMBER(SEARCH("목1.2.3",$H8))),1,"")</f>
        <v/>
      </c>
      <c r="U8" s="319">
        <f>IF(ISNUMBER(SEARCH("금1",$H8)),1,"")</f>
        <v/>
      </c>
      <c r="V8" s="319">
        <f>IF(OR(ISNUMBER(SEARCH("금2",$H8)),ISNUMBER(SEARCH("금1.2",$H8))),1,"")</f>
        <v/>
      </c>
      <c r="W8" s="319">
        <f>IF(OR(ISNUMBER(SEARCH("금3",$H8)),ISNUMBER(SEARCH("금1.3",$H8)),ISNUMBER(SEARCH("금2.3",$H8)),ISNUMBER(SEARCH("금1.2.3",$H8))),1,"")</f>
        <v/>
      </c>
      <c r="X8" s="319">
        <f>IF(ISNUMBER(SEARCH("토1",$H8)),1,"")</f>
        <v/>
      </c>
      <c r="Y8" s="319">
        <f>IF(OR(ISNUMBER(SEARCH("토2",$H8)),ISNUMBER(SEARCH("토1.2",$H8))),1,"")</f>
        <v/>
      </c>
      <c r="Z8" s="319">
        <f>IF(OR(ISNUMBER(SEARCH("토3",$H8)),ISNUMBER(SEARCH("토1.3",$H8)),ISNUMBER(SEARCH("토2.3",$H8)),ISNUMBER(SEARCH("토1.2.3",$H8))),1,"")</f>
        <v/>
      </c>
      <c r="AA8" s="319">
        <f>IF(ISNUMBER(SEARCH("일1",$H8)),1,"")</f>
        <v/>
      </c>
      <c r="AB8" s="319">
        <f>IF(OR(ISNUMBER(SEARCH("일2",$H8)),ISNUMBER(SEARCH("일1.2",$H8))),1,"")</f>
        <v/>
      </c>
      <c r="AC8" s="319">
        <f>IF(OR(ISNUMBER(SEARCH("일3",$H8)),ISNUMBER(SEARCH("일1.3",$H8)),ISNUMBER(SEARCH("일2.3",$H8)),ISNUMBER(SEARCH("일1.2.3",$H8))),1,"")</f>
        <v/>
      </c>
      <c r="AD8" s="319">
        <f>SUM(I8:AC8)</f>
        <v/>
      </c>
      <c r="AE8" s="323" t="n"/>
    </row>
    <row r="9" ht="24" customHeight="1">
      <c r="A9" s="168" t="n"/>
      <c r="B9" s="319" t="n"/>
      <c r="C9" s="319" t="n"/>
      <c r="D9" s="319" t="n"/>
      <c r="E9" s="341" t="n"/>
      <c r="F9" s="341" t="n"/>
      <c r="G9" s="342" t="n"/>
      <c r="H9" s="322" t="n"/>
      <c r="I9" s="319">
        <f>IF(ISNUMBER(SEARCH("월1",$H9)),1,"")</f>
        <v/>
      </c>
      <c r="J9" s="319">
        <f>IF(OR(ISNUMBER(SEARCH("월2",$H9)),ISNUMBER(SEARCH("월1.2",$H9))),1,"")</f>
        <v/>
      </c>
      <c r="K9" s="319">
        <f>IF(OR(ISNUMBER(SEARCH("월3",$H9)),ISNUMBER(SEARCH("월1.3",$H9)),ISNUMBER(SEARCH("월2.3",$H9)),ISNUMBER(SEARCH("월1.2.3",$H9))),1,"")</f>
        <v/>
      </c>
      <c r="L9" s="319">
        <f>IF(ISNUMBER(SEARCH("화1",$H9)),1,"")</f>
        <v/>
      </c>
      <c r="M9" s="319">
        <f>IF(OR(ISNUMBER(SEARCH("화2",$H9)),ISNUMBER(SEARCH("화1.2",$H9))),1,"")</f>
        <v/>
      </c>
      <c r="N9" s="319">
        <f>IF(OR(ISNUMBER(SEARCH("화3",$H9)),ISNUMBER(SEARCH("화1.3",$H9)),ISNUMBER(SEARCH("화2.3",$H9)),ISNUMBER(SEARCH("화1.2.3",$H9))),1,"")</f>
        <v/>
      </c>
      <c r="O9" s="319">
        <f>IF(ISNUMBER(SEARCH("수1",$H9)),1,"")</f>
        <v/>
      </c>
      <c r="P9" s="319">
        <f>IF(OR(ISNUMBER(SEARCH("수2",$H9)),ISNUMBER(SEARCH("수1.2",$H9))),1,"")</f>
        <v/>
      </c>
      <c r="Q9" s="319">
        <f>IF(OR(ISNUMBER(SEARCH("수3",$H9)),ISNUMBER(SEARCH("수1.3",$H9)),ISNUMBER(SEARCH("수2.3",$H9)),ISNUMBER(SEARCH("수1.2.3",$H9))),1,"")</f>
        <v/>
      </c>
      <c r="R9" s="319">
        <f>IF(ISNUMBER(SEARCH("목1",$H9)),1,"")</f>
        <v/>
      </c>
      <c r="S9" s="319">
        <f>IF(OR(ISNUMBER(SEARCH("목2",$H9)),ISNUMBER(SEARCH("목1.2",$H9))),1,"")</f>
        <v/>
      </c>
      <c r="T9" s="319">
        <f>IF(OR(ISNUMBER(SEARCH("목3",$H9)),ISNUMBER(SEARCH("목1.3",$H9)),ISNUMBER(SEARCH("목2.3",$H9)),ISNUMBER(SEARCH("목1.2.3",$H9))),1,"")</f>
        <v/>
      </c>
      <c r="U9" s="319">
        <f>IF(ISNUMBER(SEARCH("금1",$H9)),1,"")</f>
        <v/>
      </c>
      <c r="V9" s="319">
        <f>IF(OR(ISNUMBER(SEARCH("금2",$H9)),ISNUMBER(SEARCH("금1.2",$H9))),1,"")</f>
        <v/>
      </c>
      <c r="W9" s="319">
        <f>IF(OR(ISNUMBER(SEARCH("금3",$H9)),ISNUMBER(SEARCH("금1.3",$H9)),ISNUMBER(SEARCH("금2.3",$H9)),ISNUMBER(SEARCH("금1.2.3",$H9))),1,"")</f>
        <v/>
      </c>
      <c r="X9" s="319">
        <f>IF(ISNUMBER(SEARCH("토1",$H9)),1,"")</f>
        <v/>
      </c>
      <c r="Y9" s="319">
        <f>IF(OR(ISNUMBER(SEARCH("토2",$H9)),ISNUMBER(SEARCH("토1.2",$H9))),1,"")</f>
        <v/>
      </c>
      <c r="Z9" s="319">
        <f>IF(OR(ISNUMBER(SEARCH("토3",$H9)),ISNUMBER(SEARCH("토1.3",$H9)),ISNUMBER(SEARCH("토2.3",$H9)),ISNUMBER(SEARCH("토1.2.3",$H9))),1,"")</f>
        <v/>
      </c>
      <c r="AA9" s="319">
        <f>IF(ISNUMBER(SEARCH("일1",$H9)),1,"")</f>
        <v/>
      </c>
      <c r="AB9" s="319">
        <f>IF(OR(ISNUMBER(SEARCH("일2",$H9)),ISNUMBER(SEARCH("일1.2",$H9))),1,"")</f>
        <v/>
      </c>
      <c r="AC9" s="319">
        <f>IF(OR(ISNUMBER(SEARCH("일3",$H9)),ISNUMBER(SEARCH("일1.3",$H9)),ISNUMBER(SEARCH("일2.3",$H9)),ISNUMBER(SEARCH("일1.2.3",$H9))),1,"")</f>
        <v/>
      </c>
      <c r="AD9" s="319">
        <f>SUM(I9:AC9)</f>
        <v/>
      </c>
      <c r="AE9" s="323" t="n"/>
    </row>
    <row r="10" ht="24" customHeight="1">
      <c r="A10" s="168" t="n"/>
      <c r="B10" s="319" t="n"/>
      <c r="C10" s="319" t="n"/>
      <c r="D10" s="319" t="n"/>
      <c r="E10" s="341" t="n"/>
      <c r="F10" s="341" t="n"/>
      <c r="G10" s="342" t="n"/>
      <c r="H10" s="322" t="n"/>
      <c r="I10" s="319">
        <f>IF(ISNUMBER(SEARCH("월1",$H10)),1,"")</f>
        <v/>
      </c>
      <c r="J10" s="319">
        <f>IF(OR(ISNUMBER(SEARCH("월2",$H10)),ISNUMBER(SEARCH("월1.2",$H10))),1,"")</f>
        <v/>
      </c>
      <c r="K10" s="319">
        <f>IF(OR(ISNUMBER(SEARCH("월3",$H10)),ISNUMBER(SEARCH("월1.3",$H10)),ISNUMBER(SEARCH("월2.3",$H10)),ISNUMBER(SEARCH("월1.2.3",$H10))),1,"")</f>
        <v/>
      </c>
      <c r="L10" s="319">
        <f>IF(ISNUMBER(SEARCH("화1",$H10)),1,"")</f>
        <v/>
      </c>
      <c r="M10" s="319">
        <f>IF(OR(ISNUMBER(SEARCH("화2",$H10)),ISNUMBER(SEARCH("화1.2",$H10))),1,"")</f>
        <v/>
      </c>
      <c r="N10" s="319">
        <f>IF(OR(ISNUMBER(SEARCH("화3",$H10)),ISNUMBER(SEARCH("화1.3",$H10)),ISNUMBER(SEARCH("화2.3",$H10)),ISNUMBER(SEARCH("화1.2.3",$H10))),1,"")</f>
        <v/>
      </c>
      <c r="O10" s="319">
        <f>IF(ISNUMBER(SEARCH("수1",$H10)),1,"")</f>
        <v/>
      </c>
      <c r="P10" s="319">
        <f>IF(OR(ISNUMBER(SEARCH("수2",$H10)),ISNUMBER(SEARCH("수1.2",$H10))),1,"")</f>
        <v/>
      </c>
      <c r="Q10" s="319">
        <f>IF(OR(ISNUMBER(SEARCH("수3",$H10)),ISNUMBER(SEARCH("수1.3",$H10)),ISNUMBER(SEARCH("수2.3",$H10)),ISNUMBER(SEARCH("수1.2.3",$H10))),1,"")</f>
        <v/>
      </c>
      <c r="R10" s="319">
        <f>IF(ISNUMBER(SEARCH("목1",$H10)),1,"")</f>
        <v/>
      </c>
      <c r="S10" s="319">
        <f>IF(OR(ISNUMBER(SEARCH("목2",$H10)),ISNUMBER(SEARCH("목1.2",$H10))),1,"")</f>
        <v/>
      </c>
      <c r="T10" s="319">
        <f>IF(OR(ISNUMBER(SEARCH("목3",$H10)),ISNUMBER(SEARCH("목1.3",$H10)),ISNUMBER(SEARCH("목2.3",$H10)),ISNUMBER(SEARCH("목1.2.3",$H10))),1,"")</f>
        <v/>
      </c>
      <c r="U10" s="319">
        <f>IF(ISNUMBER(SEARCH("금1",$H10)),1,"")</f>
        <v/>
      </c>
      <c r="V10" s="319">
        <f>IF(OR(ISNUMBER(SEARCH("금2",$H10)),ISNUMBER(SEARCH("금1.2",$H10))),1,"")</f>
        <v/>
      </c>
      <c r="W10" s="319">
        <f>IF(OR(ISNUMBER(SEARCH("금3",$H10)),ISNUMBER(SEARCH("금1.3",$H10)),ISNUMBER(SEARCH("금2.3",$H10)),ISNUMBER(SEARCH("금1.2.3",$H10))),1,"")</f>
        <v/>
      </c>
      <c r="X10" s="319">
        <f>IF(ISNUMBER(SEARCH("토1",$H10)),1,"")</f>
        <v/>
      </c>
      <c r="Y10" s="319">
        <f>IF(OR(ISNUMBER(SEARCH("토2",$H10)),ISNUMBER(SEARCH("토1.2",$H10))),1,"")</f>
        <v/>
      </c>
      <c r="Z10" s="319">
        <f>IF(OR(ISNUMBER(SEARCH("토3",$H10)),ISNUMBER(SEARCH("토1.3",$H10)),ISNUMBER(SEARCH("토2.3",$H10)),ISNUMBER(SEARCH("토1.2.3",$H10))),1,"")</f>
        <v/>
      </c>
      <c r="AA10" s="319">
        <f>IF(ISNUMBER(SEARCH("일1",$H10)),1,"")</f>
        <v/>
      </c>
      <c r="AB10" s="319">
        <f>IF(OR(ISNUMBER(SEARCH("일2",$H10)),ISNUMBER(SEARCH("일1.2",$H10))),1,"")</f>
        <v/>
      </c>
      <c r="AC10" s="319">
        <f>IF(OR(ISNUMBER(SEARCH("일3",$H10)),ISNUMBER(SEARCH("일1.3",$H10)),ISNUMBER(SEARCH("일2.3",$H10)),ISNUMBER(SEARCH("일1.2.3",$H10))),1,"")</f>
        <v/>
      </c>
      <c r="AD10" s="319">
        <f>SUM(I10:AC10)</f>
        <v/>
      </c>
      <c r="AE10" s="323" t="n"/>
    </row>
    <row r="11" ht="24" customHeight="1">
      <c r="A11" s="168" t="n"/>
      <c r="B11" s="319" t="n"/>
      <c r="C11" s="319" t="n"/>
      <c r="D11" s="319" t="n"/>
      <c r="E11" s="341" t="n"/>
      <c r="F11" s="341" t="n"/>
      <c r="G11" s="342" t="n"/>
      <c r="H11" s="322" t="n"/>
      <c r="I11" s="319">
        <f>IF(ISNUMBER(SEARCH("월1",$H11)),1,"")</f>
        <v/>
      </c>
      <c r="J11" s="319">
        <f>IF(OR(ISNUMBER(SEARCH("월2",$H11)),ISNUMBER(SEARCH("월1.2",$H11))),1,"")</f>
        <v/>
      </c>
      <c r="K11" s="319">
        <f>IF(OR(ISNUMBER(SEARCH("월3",$H11)),ISNUMBER(SEARCH("월1.3",$H11)),ISNUMBER(SEARCH("월2.3",$H11)),ISNUMBER(SEARCH("월1.2.3",$H11))),1,"")</f>
        <v/>
      </c>
      <c r="L11" s="319">
        <f>IF(ISNUMBER(SEARCH("화1",$H11)),1,"")</f>
        <v/>
      </c>
      <c r="M11" s="319">
        <f>IF(OR(ISNUMBER(SEARCH("화2",$H11)),ISNUMBER(SEARCH("화1.2",$H11))),1,"")</f>
        <v/>
      </c>
      <c r="N11" s="319">
        <f>IF(OR(ISNUMBER(SEARCH("화3",$H11)),ISNUMBER(SEARCH("화1.3",$H11)),ISNUMBER(SEARCH("화2.3",$H11)),ISNUMBER(SEARCH("화1.2.3",$H11))),1,"")</f>
        <v/>
      </c>
      <c r="O11" s="319">
        <f>IF(ISNUMBER(SEARCH("수1",$H11)),1,"")</f>
        <v/>
      </c>
      <c r="P11" s="319">
        <f>IF(OR(ISNUMBER(SEARCH("수2",$H11)),ISNUMBER(SEARCH("수1.2",$H11))),1,"")</f>
        <v/>
      </c>
      <c r="Q11" s="319">
        <f>IF(OR(ISNUMBER(SEARCH("수3",$H11)),ISNUMBER(SEARCH("수1.3",$H11)),ISNUMBER(SEARCH("수2.3",$H11)),ISNUMBER(SEARCH("수1.2.3",$H11))),1,"")</f>
        <v/>
      </c>
      <c r="R11" s="319">
        <f>IF(ISNUMBER(SEARCH("목1",$H11)),1,"")</f>
        <v/>
      </c>
      <c r="S11" s="319">
        <f>IF(OR(ISNUMBER(SEARCH("목2",$H11)),ISNUMBER(SEARCH("목1.2",$H11))),1,"")</f>
        <v/>
      </c>
      <c r="T11" s="319">
        <f>IF(OR(ISNUMBER(SEARCH("목3",$H11)),ISNUMBER(SEARCH("목1.3",$H11)),ISNUMBER(SEARCH("목2.3",$H11)),ISNUMBER(SEARCH("목1.2.3",$H11))),1,"")</f>
        <v/>
      </c>
      <c r="U11" s="319">
        <f>IF(ISNUMBER(SEARCH("금1",$H11)),1,"")</f>
        <v/>
      </c>
      <c r="V11" s="319">
        <f>IF(OR(ISNUMBER(SEARCH("금2",$H11)),ISNUMBER(SEARCH("금1.2",$H11))),1,"")</f>
        <v/>
      </c>
      <c r="W11" s="319">
        <f>IF(OR(ISNUMBER(SEARCH("금3",$H11)),ISNUMBER(SEARCH("금1.3",$H11)),ISNUMBER(SEARCH("금2.3",$H11)),ISNUMBER(SEARCH("금1.2.3",$H11))),1,"")</f>
        <v/>
      </c>
      <c r="X11" s="319">
        <f>IF(ISNUMBER(SEARCH("토1",$H11)),1,"")</f>
        <v/>
      </c>
      <c r="Y11" s="319">
        <f>IF(OR(ISNUMBER(SEARCH("토2",$H11)),ISNUMBER(SEARCH("토1.2",$H11))),1,"")</f>
        <v/>
      </c>
      <c r="Z11" s="319">
        <f>IF(OR(ISNUMBER(SEARCH("토3",$H11)),ISNUMBER(SEARCH("토1.3",$H11)),ISNUMBER(SEARCH("토2.3",$H11)),ISNUMBER(SEARCH("토1.2.3",$H11))),1,"")</f>
        <v/>
      </c>
      <c r="AA11" s="319">
        <f>IF(ISNUMBER(SEARCH("일1",$H11)),1,"")</f>
        <v/>
      </c>
      <c r="AB11" s="319">
        <f>IF(OR(ISNUMBER(SEARCH("일2",$H11)),ISNUMBER(SEARCH("일1.2",$H11))),1,"")</f>
        <v/>
      </c>
      <c r="AC11" s="319">
        <f>IF(OR(ISNUMBER(SEARCH("일3",$H11)),ISNUMBER(SEARCH("일1.3",$H11)),ISNUMBER(SEARCH("일2.3",$H11)),ISNUMBER(SEARCH("일1.2.3",$H11))),1,"")</f>
        <v/>
      </c>
      <c r="AD11" s="319">
        <f>SUM(I11:AC11)</f>
        <v/>
      </c>
      <c r="AE11" s="323" t="n"/>
    </row>
    <row r="12" ht="24" customHeight="1">
      <c r="A12" s="168" t="n"/>
      <c r="B12" s="319" t="n"/>
      <c r="C12" s="319" t="n"/>
      <c r="D12" s="319" t="n"/>
      <c r="E12" s="341" t="n"/>
      <c r="F12" s="341" t="n"/>
      <c r="G12" s="342" t="n"/>
      <c r="H12" s="322" t="n"/>
      <c r="I12" s="319">
        <f>IF(ISNUMBER(SEARCH("월1",$H12)),1,"")</f>
        <v/>
      </c>
      <c r="J12" s="319">
        <f>IF(OR(ISNUMBER(SEARCH("월2",$H12)),ISNUMBER(SEARCH("월1.2",$H12))),1,"")</f>
        <v/>
      </c>
      <c r="K12" s="319">
        <f>IF(OR(ISNUMBER(SEARCH("월3",$H12)),ISNUMBER(SEARCH("월1.3",$H12)),ISNUMBER(SEARCH("월2.3",$H12)),ISNUMBER(SEARCH("월1.2.3",$H12))),1,"")</f>
        <v/>
      </c>
      <c r="L12" s="319">
        <f>IF(ISNUMBER(SEARCH("화1",$H12)),1,"")</f>
        <v/>
      </c>
      <c r="M12" s="319">
        <f>IF(OR(ISNUMBER(SEARCH("화2",$H12)),ISNUMBER(SEARCH("화1.2",$H12))),1,"")</f>
        <v/>
      </c>
      <c r="N12" s="319">
        <f>IF(OR(ISNUMBER(SEARCH("화3",$H12)),ISNUMBER(SEARCH("화1.3",$H12)),ISNUMBER(SEARCH("화2.3",$H12)),ISNUMBER(SEARCH("화1.2.3",$H12))),1,"")</f>
        <v/>
      </c>
      <c r="O12" s="319">
        <f>IF(ISNUMBER(SEARCH("수1",$H12)),1,"")</f>
        <v/>
      </c>
      <c r="P12" s="319">
        <f>IF(OR(ISNUMBER(SEARCH("수2",$H12)),ISNUMBER(SEARCH("수1.2",$H12))),1,"")</f>
        <v/>
      </c>
      <c r="Q12" s="319">
        <f>IF(OR(ISNUMBER(SEARCH("수3",$H12)),ISNUMBER(SEARCH("수1.3",$H12)),ISNUMBER(SEARCH("수2.3",$H12)),ISNUMBER(SEARCH("수1.2.3",$H12))),1,"")</f>
        <v/>
      </c>
      <c r="R12" s="319">
        <f>IF(ISNUMBER(SEARCH("목1",$H12)),1,"")</f>
        <v/>
      </c>
      <c r="S12" s="319">
        <f>IF(OR(ISNUMBER(SEARCH("목2",$H12)),ISNUMBER(SEARCH("목1.2",$H12))),1,"")</f>
        <v/>
      </c>
      <c r="T12" s="319">
        <f>IF(OR(ISNUMBER(SEARCH("목3",$H12)),ISNUMBER(SEARCH("목1.3",$H12)),ISNUMBER(SEARCH("목2.3",$H12)),ISNUMBER(SEARCH("목1.2.3",$H12))),1,"")</f>
        <v/>
      </c>
      <c r="U12" s="319">
        <f>IF(ISNUMBER(SEARCH("금1",$H12)),1,"")</f>
        <v/>
      </c>
      <c r="V12" s="319">
        <f>IF(OR(ISNUMBER(SEARCH("금2",$H12)),ISNUMBER(SEARCH("금1.2",$H12))),1,"")</f>
        <v/>
      </c>
      <c r="W12" s="319">
        <f>IF(OR(ISNUMBER(SEARCH("금3",$H12)),ISNUMBER(SEARCH("금1.3",$H12)),ISNUMBER(SEARCH("금2.3",$H12)),ISNUMBER(SEARCH("금1.2.3",$H12))),1,"")</f>
        <v/>
      </c>
      <c r="X12" s="319">
        <f>IF(ISNUMBER(SEARCH("토1",$H12)),1,"")</f>
        <v/>
      </c>
      <c r="Y12" s="319">
        <f>IF(OR(ISNUMBER(SEARCH("토2",$H12)),ISNUMBER(SEARCH("토1.2",$H12))),1,"")</f>
        <v/>
      </c>
      <c r="Z12" s="319">
        <f>IF(OR(ISNUMBER(SEARCH("토3",$H12)),ISNUMBER(SEARCH("토1.3",$H12)),ISNUMBER(SEARCH("토2.3",$H12)),ISNUMBER(SEARCH("토1.2.3",$H12))),1,"")</f>
        <v/>
      </c>
      <c r="AA12" s="319">
        <f>IF(ISNUMBER(SEARCH("일1",$H12)),1,"")</f>
        <v/>
      </c>
      <c r="AB12" s="319">
        <f>IF(OR(ISNUMBER(SEARCH("일2",$H12)),ISNUMBER(SEARCH("일1.2",$H12))),1,"")</f>
        <v/>
      </c>
      <c r="AC12" s="319">
        <f>IF(OR(ISNUMBER(SEARCH("일3",$H12)),ISNUMBER(SEARCH("일1.3",$H12)),ISNUMBER(SEARCH("일2.3",$H12)),ISNUMBER(SEARCH("일1.2.3",$H12))),1,"")</f>
        <v/>
      </c>
      <c r="AD12" s="319">
        <f>SUM(I12:AC12)</f>
        <v/>
      </c>
      <c r="AE12" s="323" t="n"/>
    </row>
    <row r="13" ht="24" customHeight="1">
      <c r="A13" s="168" t="n"/>
      <c r="B13" s="319" t="n"/>
      <c r="C13" s="319" t="n"/>
      <c r="D13" s="319" t="n"/>
      <c r="E13" s="341" t="n"/>
      <c r="F13" s="341" t="n"/>
      <c r="G13" s="342" t="n"/>
      <c r="H13" s="322" t="n"/>
      <c r="I13" s="319">
        <f>IF(ISNUMBER(SEARCH("월1",$H13)),1,"")</f>
        <v/>
      </c>
      <c r="J13" s="319">
        <f>IF(OR(ISNUMBER(SEARCH("월2",$H13)),ISNUMBER(SEARCH("월1.2",$H13))),1,"")</f>
        <v/>
      </c>
      <c r="K13" s="319">
        <f>IF(OR(ISNUMBER(SEARCH("월3",$H13)),ISNUMBER(SEARCH("월1.3",$H13)),ISNUMBER(SEARCH("월2.3",$H13)),ISNUMBER(SEARCH("월1.2.3",$H13))),1,"")</f>
        <v/>
      </c>
      <c r="L13" s="319">
        <f>IF(ISNUMBER(SEARCH("화1",$H13)),1,"")</f>
        <v/>
      </c>
      <c r="M13" s="319">
        <f>IF(OR(ISNUMBER(SEARCH("화2",$H13)),ISNUMBER(SEARCH("화1.2",$H13))),1,"")</f>
        <v/>
      </c>
      <c r="N13" s="319">
        <f>IF(OR(ISNUMBER(SEARCH("화3",$H13)),ISNUMBER(SEARCH("화1.3",$H13)),ISNUMBER(SEARCH("화2.3",$H13)),ISNUMBER(SEARCH("화1.2.3",$H13))),1,"")</f>
        <v/>
      </c>
      <c r="O13" s="319">
        <f>IF(ISNUMBER(SEARCH("수1",$H13)),1,"")</f>
        <v/>
      </c>
      <c r="P13" s="319">
        <f>IF(OR(ISNUMBER(SEARCH("수2",$H13)),ISNUMBER(SEARCH("수1.2",$H13))),1,"")</f>
        <v/>
      </c>
      <c r="Q13" s="319">
        <f>IF(OR(ISNUMBER(SEARCH("수3",$H13)),ISNUMBER(SEARCH("수1.3",$H13)),ISNUMBER(SEARCH("수2.3",$H13)),ISNUMBER(SEARCH("수1.2.3",$H13))),1,"")</f>
        <v/>
      </c>
      <c r="R13" s="319">
        <f>IF(ISNUMBER(SEARCH("목1",$H13)),1,"")</f>
        <v/>
      </c>
      <c r="S13" s="319">
        <f>IF(OR(ISNUMBER(SEARCH("목2",$H13)),ISNUMBER(SEARCH("목1.2",$H13))),1,"")</f>
        <v/>
      </c>
      <c r="T13" s="319">
        <f>IF(OR(ISNUMBER(SEARCH("목3",$H13)),ISNUMBER(SEARCH("목1.3",$H13)),ISNUMBER(SEARCH("목2.3",$H13)),ISNUMBER(SEARCH("목1.2.3",$H13))),1,"")</f>
        <v/>
      </c>
      <c r="U13" s="319">
        <f>IF(ISNUMBER(SEARCH("금1",$H13)),1,"")</f>
        <v/>
      </c>
      <c r="V13" s="319">
        <f>IF(OR(ISNUMBER(SEARCH("금2",$H13)),ISNUMBER(SEARCH("금1.2",$H13))),1,"")</f>
        <v/>
      </c>
      <c r="W13" s="319">
        <f>IF(OR(ISNUMBER(SEARCH("금3",$H13)),ISNUMBER(SEARCH("금1.3",$H13)),ISNUMBER(SEARCH("금2.3",$H13)),ISNUMBER(SEARCH("금1.2.3",$H13))),1,"")</f>
        <v/>
      </c>
      <c r="X13" s="319">
        <f>IF(ISNUMBER(SEARCH("토1",$H13)),1,"")</f>
        <v/>
      </c>
      <c r="Y13" s="319">
        <f>IF(OR(ISNUMBER(SEARCH("토2",$H13)),ISNUMBER(SEARCH("토1.2",$H13))),1,"")</f>
        <v/>
      </c>
      <c r="Z13" s="319">
        <f>IF(OR(ISNUMBER(SEARCH("토3",$H13)),ISNUMBER(SEARCH("토1.3",$H13)),ISNUMBER(SEARCH("토2.3",$H13)),ISNUMBER(SEARCH("토1.2.3",$H13))),1,"")</f>
        <v/>
      </c>
      <c r="AA13" s="319">
        <f>IF(ISNUMBER(SEARCH("일1",$H13)),1,"")</f>
        <v/>
      </c>
      <c r="AB13" s="319">
        <f>IF(OR(ISNUMBER(SEARCH("일2",$H13)),ISNUMBER(SEARCH("일1.2",$H13))),1,"")</f>
        <v/>
      </c>
      <c r="AC13" s="319">
        <f>IF(OR(ISNUMBER(SEARCH("일3",$H13)),ISNUMBER(SEARCH("일1.3",$H13)),ISNUMBER(SEARCH("일2.3",$H13)),ISNUMBER(SEARCH("일1.2.3",$H13))),1,"")</f>
        <v/>
      </c>
      <c r="AD13" s="319">
        <f>SUM(I13:AC13)</f>
        <v/>
      </c>
      <c r="AE13" s="323" t="n"/>
    </row>
    <row r="14" ht="24" customHeight="1">
      <c r="A14" s="168" t="n"/>
      <c r="B14" s="319" t="n"/>
      <c r="C14" s="319" t="n"/>
      <c r="D14" s="319" t="n"/>
      <c r="E14" s="341" t="n"/>
      <c r="F14" s="341" t="n"/>
      <c r="G14" s="342" t="n"/>
      <c r="H14" s="322" t="n"/>
      <c r="I14" s="319">
        <f>IF(ISNUMBER(SEARCH("월1",$H14)),1,"")</f>
        <v/>
      </c>
      <c r="J14" s="319">
        <f>IF(OR(ISNUMBER(SEARCH("월2",$H14)),ISNUMBER(SEARCH("월1.2",$H14))),1,"")</f>
        <v/>
      </c>
      <c r="K14" s="319">
        <f>IF(OR(ISNUMBER(SEARCH("월3",$H14)),ISNUMBER(SEARCH("월1.3",$H14)),ISNUMBER(SEARCH("월2.3",$H14)),ISNUMBER(SEARCH("월1.2.3",$H14))),1,"")</f>
        <v/>
      </c>
      <c r="L14" s="319">
        <f>IF(ISNUMBER(SEARCH("화1",$H14)),1,"")</f>
        <v/>
      </c>
      <c r="M14" s="319">
        <f>IF(OR(ISNUMBER(SEARCH("화2",$H14)),ISNUMBER(SEARCH("화1.2",$H14))),1,"")</f>
        <v/>
      </c>
      <c r="N14" s="319">
        <f>IF(OR(ISNUMBER(SEARCH("화3",$H14)),ISNUMBER(SEARCH("화1.3",$H14)),ISNUMBER(SEARCH("화2.3",$H14)),ISNUMBER(SEARCH("화1.2.3",$H14))),1,"")</f>
        <v/>
      </c>
      <c r="O14" s="319">
        <f>IF(ISNUMBER(SEARCH("수1",$H14)),1,"")</f>
        <v/>
      </c>
      <c r="P14" s="319">
        <f>IF(OR(ISNUMBER(SEARCH("수2",$H14)),ISNUMBER(SEARCH("수1.2",$H14))),1,"")</f>
        <v/>
      </c>
      <c r="Q14" s="319">
        <f>IF(OR(ISNUMBER(SEARCH("수3",$H14)),ISNUMBER(SEARCH("수1.3",$H14)),ISNUMBER(SEARCH("수2.3",$H14)),ISNUMBER(SEARCH("수1.2.3",$H14))),1,"")</f>
        <v/>
      </c>
      <c r="R14" s="319">
        <f>IF(ISNUMBER(SEARCH("목1",$H14)),1,"")</f>
        <v/>
      </c>
      <c r="S14" s="319">
        <f>IF(OR(ISNUMBER(SEARCH("목2",$H14)),ISNUMBER(SEARCH("목1.2",$H14))),1,"")</f>
        <v/>
      </c>
      <c r="T14" s="319">
        <f>IF(OR(ISNUMBER(SEARCH("목3",$H14)),ISNUMBER(SEARCH("목1.3",$H14)),ISNUMBER(SEARCH("목2.3",$H14)),ISNUMBER(SEARCH("목1.2.3",$H14))),1,"")</f>
        <v/>
      </c>
      <c r="U14" s="319">
        <f>IF(ISNUMBER(SEARCH("금1",$H14)),1,"")</f>
        <v/>
      </c>
      <c r="V14" s="319">
        <f>IF(OR(ISNUMBER(SEARCH("금2",$H14)),ISNUMBER(SEARCH("금1.2",$H14))),1,"")</f>
        <v/>
      </c>
      <c r="W14" s="319">
        <f>IF(OR(ISNUMBER(SEARCH("금3",$H14)),ISNUMBER(SEARCH("금1.3",$H14)),ISNUMBER(SEARCH("금2.3",$H14)),ISNUMBER(SEARCH("금1.2.3",$H14))),1,"")</f>
        <v/>
      </c>
      <c r="X14" s="319">
        <f>IF(ISNUMBER(SEARCH("토1",$H14)),1,"")</f>
        <v/>
      </c>
      <c r="Y14" s="319">
        <f>IF(OR(ISNUMBER(SEARCH("토2",$H14)),ISNUMBER(SEARCH("토1.2",$H14))),1,"")</f>
        <v/>
      </c>
      <c r="Z14" s="319">
        <f>IF(OR(ISNUMBER(SEARCH("토3",$H14)),ISNUMBER(SEARCH("토1.3",$H14)),ISNUMBER(SEARCH("토2.3",$H14)),ISNUMBER(SEARCH("토1.2.3",$H14))),1,"")</f>
        <v/>
      </c>
      <c r="AA14" s="319">
        <f>IF(ISNUMBER(SEARCH("일1",$H14)),1,"")</f>
        <v/>
      </c>
      <c r="AB14" s="319">
        <f>IF(OR(ISNUMBER(SEARCH("일2",$H14)),ISNUMBER(SEARCH("일1.2",$H14))),1,"")</f>
        <v/>
      </c>
      <c r="AC14" s="319">
        <f>IF(OR(ISNUMBER(SEARCH("일3",$H14)),ISNUMBER(SEARCH("일1.3",$H14)),ISNUMBER(SEARCH("일2.3",$H14)),ISNUMBER(SEARCH("일1.2.3",$H14))),1,"")</f>
        <v/>
      </c>
      <c r="AD14" s="319">
        <f>SUM(I14:AC14)</f>
        <v/>
      </c>
      <c r="AE14" s="323" t="n"/>
    </row>
    <row r="15" ht="24" customHeight="1">
      <c r="A15" s="168" t="n"/>
      <c r="B15" s="319" t="n"/>
      <c r="C15" s="319" t="n"/>
      <c r="D15" s="319" t="n"/>
      <c r="E15" s="341" t="n"/>
      <c r="F15" s="341" t="n"/>
      <c r="G15" s="342" t="n"/>
      <c r="H15" s="322" t="n"/>
      <c r="I15" s="319">
        <f>IF(ISNUMBER(SEARCH("월1",$H15)),1,"")</f>
        <v/>
      </c>
      <c r="J15" s="319">
        <f>IF(OR(ISNUMBER(SEARCH("월2",$H15)),ISNUMBER(SEARCH("월1.2",$H15))),1,"")</f>
        <v/>
      </c>
      <c r="K15" s="319">
        <f>IF(OR(ISNUMBER(SEARCH("월3",$H15)),ISNUMBER(SEARCH("월1.3",$H15)),ISNUMBER(SEARCH("월2.3",$H15)),ISNUMBER(SEARCH("월1.2.3",$H15))),1,"")</f>
        <v/>
      </c>
      <c r="L15" s="319">
        <f>IF(ISNUMBER(SEARCH("화1",$H15)),1,"")</f>
        <v/>
      </c>
      <c r="M15" s="319">
        <f>IF(OR(ISNUMBER(SEARCH("화2",$H15)),ISNUMBER(SEARCH("화1.2",$H15))),1,"")</f>
        <v/>
      </c>
      <c r="N15" s="319">
        <f>IF(OR(ISNUMBER(SEARCH("화3",$H15)),ISNUMBER(SEARCH("화1.3",$H15)),ISNUMBER(SEARCH("화2.3",$H15)),ISNUMBER(SEARCH("화1.2.3",$H15))),1,"")</f>
        <v/>
      </c>
      <c r="O15" s="319">
        <f>IF(ISNUMBER(SEARCH("수1",$H15)),1,"")</f>
        <v/>
      </c>
      <c r="P15" s="319">
        <f>IF(OR(ISNUMBER(SEARCH("수2",$H15)),ISNUMBER(SEARCH("수1.2",$H15))),1,"")</f>
        <v/>
      </c>
      <c r="Q15" s="319">
        <f>IF(OR(ISNUMBER(SEARCH("수3",$H15)),ISNUMBER(SEARCH("수1.3",$H15)),ISNUMBER(SEARCH("수2.3",$H15)),ISNUMBER(SEARCH("수1.2.3",$H15))),1,"")</f>
        <v/>
      </c>
      <c r="R15" s="319">
        <f>IF(ISNUMBER(SEARCH("목1",$H15)),1,"")</f>
        <v/>
      </c>
      <c r="S15" s="319">
        <f>IF(OR(ISNUMBER(SEARCH("목2",$H15)),ISNUMBER(SEARCH("목1.2",$H15))),1,"")</f>
        <v/>
      </c>
      <c r="T15" s="319">
        <f>IF(OR(ISNUMBER(SEARCH("목3",$H15)),ISNUMBER(SEARCH("목1.3",$H15)),ISNUMBER(SEARCH("목2.3",$H15)),ISNUMBER(SEARCH("목1.2.3",$H15))),1,"")</f>
        <v/>
      </c>
      <c r="U15" s="319">
        <f>IF(ISNUMBER(SEARCH("금1",$H15)),1,"")</f>
        <v/>
      </c>
      <c r="V15" s="319">
        <f>IF(OR(ISNUMBER(SEARCH("금2",$H15)),ISNUMBER(SEARCH("금1.2",$H15))),1,"")</f>
        <v/>
      </c>
      <c r="W15" s="319">
        <f>IF(OR(ISNUMBER(SEARCH("금3",$H15)),ISNUMBER(SEARCH("금1.3",$H15)),ISNUMBER(SEARCH("금2.3",$H15)),ISNUMBER(SEARCH("금1.2.3",$H15))),1,"")</f>
        <v/>
      </c>
      <c r="X15" s="319">
        <f>IF(ISNUMBER(SEARCH("토1",$H15)),1,"")</f>
        <v/>
      </c>
      <c r="Y15" s="319">
        <f>IF(OR(ISNUMBER(SEARCH("토2",$H15)),ISNUMBER(SEARCH("토1.2",$H15))),1,"")</f>
        <v/>
      </c>
      <c r="Z15" s="319">
        <f>IF(OR(ISNUMBER(SEARCH("토3",$H15)),ISNUMBER(SEARCH("토1.3",$H15)),ISNUMBER(SEARCH("토2.3",$H15)),ISNUMBER(SEARCH("토1.2.3",$H15))),1,"")</f>
        <v/>
      </c>
      <c r="AA15" s="319">
        <f>IF(ISNUMBER(SEARCH("일1",$H15)),1,"")</f>
        <v/>
      </c>
      <c r="AB15" s="319">
        <f>IF(OR(ISNUMBER(SEARCH("일2",$H15)),ISNUMBER(SEARCH("일1.2",$H15))),1,"")</f>
        <v/>
      </c>
      <c r="AC15" s="319">
        <f>IF(OR(ISNUMBER(SEARCH("일3",$H15)),ISNUMBER(SEARCH("일1.3",$H15)),ISNUMBER(SEARCH("일2.3",$H15)),ISNUMBER(SEARCH("일1.2.3",$H15))),1,"")</f>
        <v/>
      </c>
      <c r="AD15" s="319">
        <f>SUM(I15:AC15)</f>
        <v/>
      </c>
      <c r="AE15" s="323" t="n"/>
    </row>
    <row r="16" ht="24" customHeight="1">
      <c r="A16" s="168" t="n"/>
      <c r="B16" s="319" t="n"/>
      <c r="C16" s="319" t="n"/>
      <c r="D16" s="319" t="n"/>
      <c r="E16" s="341" t="n"/>
      <c r="F16" s="341" t="n"/>
      <c r="G16" s="342" t="n"/>
      <c r="H16" s="322" t="n"/>
      <c r="I16" s="319">
        <f>IF(ISNUMBER(SEARCH("월1",$H16)),1,"")</f>
        <v/>
      </c>
      <c r="J16" s="319">
        <f>IF(OR(ISNUMBER(SEARCH("월2",$H16)),ISNUMBER(SEARCH("월1.2",$H16))),1,"")</f>
        <v/>
      </c>
      <c r="K16" s="319">
        <f>IF(OR(ISNUMBER(SEARCH("월3",$H16)),ISNUMBER(SEARCH("월1.3",$H16)),ISNUMBER(SEARCH("월2.3",$H16)),ISNUMBER(SEARCH("월1.2.3",$H16))),1,"")</f>
        <v/>
      </c>
      <c r="L16" s="319">
        <f>IF(ISNUMBER(SEARCH("화1",$H16)),1,"")</f>
        <v/>
      </c>
      <c r="M16" s="319">
        <f>IF(OR(ISNUMBER(SEARCH("화2",$H16)),ISNUMBER(SEARCH("화1.2",$H16))),1,"")</f>
        <v/>
      </c>
      <c r="N16" s="319">
        <f>IF(OR(ISNUMBER(SEARCH("화3",$H16)),ISNUMBER(SEARCH("화1.3",$H16)),ISNUMBER(SEARCH("화2.3",$H16)),ISNUMBER(SEARCH("화1.2.3",$H16))),1,"")</f>
        <v/>
      </c>
      <c r="O16" s="319">
        <f>IF(ISNUMBER(SEARCH("수1",$H16)),1,"")</f>
        <v/>
      </c>
      <c r="P16" s="319">
        <f>IF(OR(ISNUMBER(SEARCH("수2",$H16)),ISNUMBER(SEARCH("수1.2",$H16))),1,"")</f>
        <v/>
      </c>
      <c r="Q16" s="319">
        <f>IF(OR(ISNUMBER(SEARCH("수3",$H16)),ISNUMBER(SEARCH("수1.3",$H16)),ISNUMBER(SEARCH("수2.3",$H16)),ISNUMBER(SEARCH("수1.2.3",$H16))),1,"")</f>
        <v/>
      </c>
      <c r="R16" s="319">
        <f>IF(ISNUMBER(SEARCH("목1",$H16)),1,"")</f>
        <v/>
      </c>
      <c r="S16" s="319">
        <f>IF(OR(ISNUMBER(SEARCH("목2",$H16)),ISNUMBER(SEARCH("목1.2",$H16))),1,"")</f>
        <v/>
      </c>
      <c r="T16" s="319">
        <f>IF(OR(ISNUMBER(SEARCH("목3",$H16)),ISNUMBER(SEARCH("목1.3",$H16)),ISNUMBER(SEARCH("목2.3",$H16)),ISNUMBER(SEARCH("목1.2.3",$H16))),1,"")</f>
        <v/>
      </c>
      <c r="U16" s="319">
        <f>IF(ISNUMBER(SEARCH("금1",$H16)),1,"")</f>
        <v/>
      </c>
      <c r="V16" s="319">
        <f>IF(OR(ISNUMBER(SEARCH("금2",$H16)),ISNUMBER(SEARCH("금1.2",$H16))),1,"")</f>
        <v/>
      </c>
      <c r="W16" s="319">
        <f>IF(OR(ISNUMBER(SEARCH("금3",$H16)),ISNUMBER(SEARCH("금1.3",$H16)),ISNUMBER(SEARCH("금2.3",$H16)),ISNUMBER(SEARCH("금1.2.3",$H16))),1,"")</f>
        <v/>
      </c>
      <c r="X16" s="319">
        <f>IF(ISNUMBER(SEARCH("토1",$H16)),1,"")</f>
        <v/>
      </c>
      <c r="Y16" s="319">
        <f>IF(OR(ISNUMBER(SEARCH("토2",$H16)),ISNUMBER(SEARCH("토1.2",$H16))),1,"")</f>
        <v/>
      </c>
      <c r="Z16" s="319">
        <f>IF(OR(ISNUMBER(SEARCH("토3",$H16)),ISNUMBER(SEARCH("토1.3",$H16)),ISNUMBER(SEARCH("토2.3",$H16)),ISNUMBER(SEARCH("토1.2.3",$H16))),1,"")</f>
        <v/>
      </c>
      <c r="AA16" s="319">
        <f>IF(ISNUMBER(SEARCH("일1",$H16)),1,"")</f>
        <v/>
      </c>
      <c r="AB16" s="319">
        <f>IF(OR(ISNUMBER(SEARCH("일2",$H16)),ISNUMBER(SEARCH("일1.2",$H16))),1,"")</f>
        <v/>
      </c>
      <c r="AC16" s="319">
        <f>IF(OR(ISNUMBER(SEARCH("일3",$H16)),ISNUMBER(SEARCH("일1.3",$H16)),ISNUMBER(SEARCH("일2.3",$H16)),ISNUMBER(SEARCH("일1.2.3",$H16))),1,"")</f>
        <v/>
      </c>
      <c r="AD16" s="319">
        <f>SUM(I16:AC16)</f>
        <v/>
      </c>
      <c r="AE16" s="323" t="n"/>
    </row>
    <row r="17" ht="24" customHeight="1">
      <c r="A17" s="168" t="n"/>
      <c r="B17" s="319" t="n"/>
      <c r="C17" s="319" t="n"/>
      <c r="D17" s="319" t="n"/>
      <c r="E17" s="341" t="n"/>
      <c r="F17" s="341" t="n"/>
      <c r="G17" s="342" t="n"/>
      <c r="H17" s="322" t="n"/>
      <c r="I17" s="319">
        <f>IF(ISNUMBER(SEARCH("월1",$H17)),1,"")</f>
        <v/>
      </c>
      <c r="J17" s="319">
        <f>IF(OR(ISNUMBER(SEARCH("월2",$H17)),ISNUMBER(SEARCH("월1.2",$H17))),1,"")</f>
        <v/>
      </c>
      <c r="K17" s="319">
        <f>IF(OR(ISNUMBER(SEARCH("월3",$H17)),ISNUMBER(SEARCH("월1.3",$H17)),ISNUMBER(SEARCH("월2.3",$H17)),ISNUMBER(SEARCH("월1.2.3",$H17))),1,"")</f>
        <v/>
      </c>
      <c r="L17" s="319">
        <f>IF(ISNUMBER(SEARCH("화1",$H17)),1,"")</f>
        <v/>
      </c>
      <c r="M17" s="319">
        <f>IF(OR(ISNUMBER(SEARCH("화2",$H17)),ISNUMBER(SEARCH("화1.2",$H17))),1,"")</f>
        <v/>
      </c>
      <c r="N17" s="319">
        <f>IF(OR(ISNUMBER(SEARCH("화3",$H17)),ISNUMBER(SEARCH("화1.3",$H17)),ISNUMBER(SEARCH("화2.3",$H17)),ISNUMBER(SEARCH("화1.2.3",$H17))),1,"")</f>
        <v/>
      </c>
      <c r="O17" s="319">
        <f>IF(ISNUMBER(SEARCH("수1",$H17)),1,"")</f>
        <v/>
      </c>
      <c r="P17" s="319">
        <f>IF(OR(ISNUMBER(SEARCH("수2",$H17)),ISNUMBER(SEARCH("수1.2",$H17))),1,"")</f>
        <v/>
      </c>
      <c r="Q17" s="319">
        <f>IF(OR(ISNUMBER(SEARCH("수3",$H17)),ISNUMBER(SEARCH("수1.3",$H17)),ISNUMBER(SEARCH("수2.3",$H17)),ISNUMBER(SEARCH("수1.2.3",$H17))),1,"")</f>
        <v/>
      </c>
      <c r="R17" s="319">
        <f>IF(ISNUMBER(SEARCH("목1",$H17)),1,"")</f>
        <v/>
      </c>
      <c r="S17" s="319">
        <f>IF(OR(ISNUMBER(SEARCH("목2",$H17)),ISNUMBER(SEARCH("목1.2",$H17))),1,"")</f>
        <v/>
      </c>
      <c r="T17" s="319">
        <f>IF(OR(ISNUMBER(SEARCH("목3",$H17)),ISNUMBER(SEARCH("목1.3",$H17)),ISNUMBER(SEARCH("목2.3",$H17)),ISNUMBER(SEARCH("목1.2.3",$H17))),1,"")</f>
        <v/>
      </c>
      <c r="U17" s="319">
        <f>IF(ISNUMBER(SEARCH("금1",$H17)),1,"")</f>
        <v/>
      </c>
      <c r="V17" s="319">
        <f>IF(OR(ISNUMBER(SEARCH("금2",$H17)),ISNUMBER(SEARCH("금1.2",$H17))),1,"")</f>
        <v/>
      </c>
      <c r="W17" s="319">
        <f>IF(OR(ISNUMBER(SEARCH("금3",$H17)),ISNUMBER(SEARCH("금1.3",$H17)),ISNUMBER(SEARCH("금2.3",$H17)),ISNUMBER(SEARCH("금1.2.3",$H17))),1,"")</f>
        <v/>
      </c>
      <c r="X17" s="319">
        <f>IF(ISNUMBER(SEARCH("토1",$H17)),1,"")</f>
        <v/>
      </c>
      <c r="Y17" s="319">
        <f>IF(OR(ISNUMBER(SEARCH("토2",$H17)),ISNUMBER(SEARCH("토1.2",$H17))),1,"")</f>
        <v/>
      </c>
      <c r="Z17" s="319">
        <f>IF(OR(ISNUMBER(SEARCH("토3",$H17)),ISNUMBER(SEARCH("토1.3",$H17)),ISNUMBER(SEARCH("토2.3",$H17)),ISNUMBER(SEARCH("토1.2.3",$H17))),1,"")</f>
        <v/>
      </c>
      <c r="AA17" s="319">
        <f>IF(ISNUMBER(SEARCH("일1",$H17)),1,"")</f>
        <v/>
      </c>
      <c r="AB17" s="319">
        <f>IF(OR(ISNUMBER(SEARCH("일2",$H17)),ISNUMBER(SEARCH("일1.2",$H17))),1,"")</f>
        <v/>
      </c>
      <c r="AC17" s="319">
        <f>IF(OR(ISNUMBER(SEARCH("일3",$H17)),ISNUMBER(SEARCH("일1.3",$H17)),ISNUMBER(SEARCH("일2.3",$H17)),ISNUMBER(SEARCH("일1.2.3",$H17))),1,"")</f>
        <v/>
      </c>
      <c r="AD17" s="319">
        <f>SUM(I17:AC17)</f>
        <v/>
      </c>
      <c r="AE17" s="323" t="n"/>
    </row>
    <row r="18" ht="24" customHeight="1">
      <c r="A18" s="168" t="n"/>
      <c r="B18" s="319" t="n"/>
      <c r="C18" s="319" t="n"/>
      <c r="D18" s="319" t="n"/>
      <c r="E18" s="341" t="n"/>
      <c r="F18" s="341" t="n"/>
      <c r="G18" s="342" t="n"/>
      <c r="H18" s="322" t="n"/>
      <c r="I18" s="319">
        <f>IF(ISNUMBER(SEARCH("월1",$H18)),1,"")</f>
        <v/>
      </c>
      <c r="J18" s="319">
        <f>IF(OR(ISNUMBER(SEARCH("월2",$H18)),ISNUMBER(SEARCH("월1.2",$H18))),1,"")</f>
        <v/>
      </c>
      <c r="K18" s="319">
        <f>IF(OR(ISNUMBER(SEARCH("월3",$H18)),ISNUMBER(SEARCH("월1.3",$H18)),ISNUMBER(SEARCH("월2.3",$H18)),ISNUMBER(SEARCH("월1.2.3",$H18))),1,"")</f>
        <v/>
      </c>
      <c r="L18" s="319">
        <f>IF(ISNUMBER(SEARCH("화1",$H18)),1,"")</f>
        <v/>
      </c>
      <c r="M18" s="319">
        <f>IF(OR(ISNUMBER(SEARCH("화2",$H18)),ISNUMBER(SEARCH("화1.2",$H18))),1,"")</f>
        <v/>
      </c>
      <c r="N18" s="319">
        <f>IF(OR(ISNUMBER(SEARCH("화3",$H18)),ISNUMBER(SEARCH("화1.3",$H18)),ISNUMBER(SEARCH("화2.3",$H18)),ISNUMBER(SEARCH("화1.2.3",$H18))),1,"")</f>
        <v/>
      </c>
      <c r="O18" s="319">
        <f>IF(ISNUMBER(SEARCH("수1",$H18)),1,"")</f>
        <v/>
      </c>
      <c r="P18" s="319">
        <f>IF(OR(ISNUMBER(SEARCH("수2",$H18)),ISNUMBER(SEARCH("수1.2",$H18))),1,"")</f>
        <v/>
      </c>
      <c r="Q18" s="319">
        <f>IF(OR(ISNUMBER(SEARCH("수3",$H18)),ISNUMBER(SEARCH("수1.3",$H18)),ISNUMBER(SEARCH("수2.3",$H18)),ISNUMBER(SEARCH("수1.2.3",$H18))),1,"")</f>
        <v/>
      </c>
      <c r="R18" s="319">
        <f>IF(ISNUMBER(SEARCH("목1",$H18)),1,"")</f>
        <v/>
      </c>
      <c r="S18" s="319">
        <f>IF(OR(ISNUMBER(SEARCH("목2",$H18)),ISNUMBER(SEARCH("목1.2",$H18))),1,"")</f>
        <v/>
      </c>
      <c r="T18" s="319">
        <f>IF(OR(ISNUMBER(SEARCH("목3",$H18)),ISNUMBER(SEARCH("목1.3",$H18)),ISNUMBER(SEARCH("목2.3",$H18)),ISNUMBER(SEARCH("목1.2.3",$H18))),1,"")</f>
        <v/>
      </c>
      <c r="U18" s="319">
        <f>IF(ISNUMBER(SEARCH("금1",$H18)),1,"")</f>
        <v/>
      </c>
      <c r="V18" s="319">
        <f>IF(OR(ISNUMBER(SEARCH("금2",$H18)),ISNUMBER(SEARCH("금1.2",$H18))),1,"")</f>
        <v/>
      </c>
      <c r="W18" s="319">
        <f>IF(OR(ISNUMBER(SEARCH("금3",$H18)),ISNUMBER(SEARCH("금1.3",$H18)),ISNUMBER(SEARCH("금2.3",$H18)),ISNUMBER(SEARCH("금1.2.3",$H18))),1,"")</f>
        <v/>
      </c>
      <c r="X18" s="319">
        <f>IF(ISNUMBER(SEARCH("토1",$H18)),1,"")</f>
        <v/>
      </c>
      <c r="Y18" s="319">
        <f>IF(OR(ISNUMBER(SEARCH("토2",$H18)),ISNUMBER(SEARCH("토1.2",$H18))),1,"")</f>
        <v/>
      </c>
      <c r="Z18" s="319">
        <f>IF(OR(ISNUMBER(SEARCH("토3",$H18)),ISNUMBER(SEARCH("토1.3",$H18)),ISNUMBER(SEARCH("토2.3",$H18)),ISNUMBER(SEARCH("토1.2.3",$H18))),1,"")</f>
        <v/>
      </c>
      <c r="AA18" s="319">
        <f>IF(ISNUMBER(SEARCH("일1",$H18)),1,"")</f>
        <v/>
      </c>
      <c r="AB18" s="319">
        <f>IF(OR(ISNUMBER(SEARCH("일2",$H18)),ISNUMBER(SEARCH("일1.2",$H18))),1,"")</f>
        <v/>
      </c>
      <c r="AC18" s="319">
        <f>IF(OR(ISNUMBER(SEARCH("일3",$H18)),ISNUMBER(SEARCH("일1.3",$H18)),ISNUMBER(SEARCH("일2.3",$H18)),ISNUMBER(SEARCH("일1.2.3",$H18))),1,"")</f>
        <v/>
      </c>
      <c r="AD18" s="319">
        <f>SUM(I18:AC18)</f>
        <v/>
      </c>
      <c r="AE18" s="323" t="n"/>
    </row>
    <row r="19" ht="24" customHeight="1">
      <c r="A19" s="168" t="n"/>
      <c r="B19" s="319" t="n"/>
      <c r="C19" s="319" t="n"/>
      <c r="D19" s="319" t="n"/>
      <c r="E19" s="341" t="n"/>
      <c r="F19" s="341" t="n"/>
      <c r="G19" s="342" t="n"/>
      <c r="H19" s="322" t="n"/>
      <c r="I19" s="319">
        <f>IF(ISNUMBER(SEARCH("월1",$H19)),1,"")</f>
        <v/>
      </c>
      <c r="J19" s="319">
        <f>IF(OR(ISNUMBER(SEARCH("월2",$H19)),ISNUMBER(SEARCH("월1.2",$H19))),1,"")</f>
        <v/>
      </c>
      <c r="K19" s="319">
        <f>IF(OR(ISNUMBER(SEARCH("월3",$H19)),ISNUMBER(SEARCH("월1.3",$H19)),ISNUMBER(SEARCH("월2.3",$H19)),ISNUMBER(SEARCH("월1.2.3",$H19))),1,"")</f>
        <v/>
      </c>
      <c r="L19" s="319">
        <f>IF(ISNUMBER(SEARCH("화1",$H19)),1,"")</f>
        <v/>
      </c>
      <c r="M19" s="319">
        <f>IF(OR(ISNUMBER(SEARCH("화2",$H19)),ISNUMBER(SEARCH("화1.2",$H19))),1,"")</f>
        <v/>
      </c>
      <c r="N19" s="319">
        <f>IF(OR(ISNUMBER(SEARCH("화3",$H19)),ISNUMBER(SEARCH("화1.3",$H19)),ISNUMBER(SEARCH("화2.3",$H19)),ISNUMBER(SEARCH("화1.2.3",$H19))),1,"")</f>
        <v/>
      </c>
      <c r="O19" s="319">
        <f>IF(ISNUMBER(SEARCH("수1",$H19)),1,"")</f>
        <v/>
      </c>
      <c r="P19" s="319">
        <f>IF(OR(ISNUMBER(SEARCH("수2",$H19)),ISNUMBER(SEARCH("수1.2",$H19))),1,"")</f>
        <v/>
      </c>
      <c r="Q19" s="319">
        <f>IF(OR(ISNUMBER(SEARCH("수3",$H19)),ISNUMBER(SEARCH("수1.3",$H19)),ISNUMBER(SEARCH("수2.3",$H19)),ISNUMBER(SEARCH("수1.2.3",$H19))),1,"")</f>
        <v/>
      </c>
      <c r="R19" s="319">
        <f>IF(ISNUMBER(SEARCH("목1",$H19)),1,"")</f>
        <v/>
      </c>
      <c r="S19" s="319">
        <f>IF(OR(ISNUMBER(SEARCH("목2",$H19)),ISNUMBER(SEARCH("목1.2",$H19))),1,"")</f>
        <v/>
      </c>
      <c r="T19" s="319">
        <f>IF(OR(ISNUMBER(SEARCH("목3",$H19)),ISNUMBER(SEARCH("목1.3",$H19)),ISNUMBER(SEARCH("목2.3",$H19)),ISNUMBER(SEARCH("목1.2.3",$H19))),1,"")</f>
        <v/>
      </c>
      <c r="U19" s="319">
        <f>IF(ISNUMBER(SEARCH("금1",$H19)),1,"")</f>
        <v/>
      </c>
      <c r="V19" s="319">
        <f>IF(OR(ISNUMBER(SEARCH("금2",$H19)),ISNUMBER(SEARCH("금1.2",$H19))),1,"")</f>
        <v/>
      </c>
      <c r="W19" s="319">
        <f>IF(OR(ISNUMBER(SEARCH("금3",$H19)),ISNUMBER(SEARCH("금1.3",$H19)),ISNUMBER(SEARCH("금2.3",$H19)),ISNUMBER(SEARCH("금1.2.3",$H19))),1,"")</f>
        <v/>
      </c>
      <c r="X19" s="319">
        <f>IF(ISNUMBER(SEARCH("토1",$H19)),1,"")</f>
        <v/>
      </c>
      <c r="Y19" s="319">
        <f>IF(OR(ISNUMBER(SEARCH("토2",$H19)),ISNUMBER(SEARCH("토1.2",$H19))),1,"")</f>
        <v/>
      </c>
      <c r="Z19" s="319">
        <f>IF(OR(ISNUMBER(SEARCH("토3",$H19)),ISNUMBER(SEARCH("토1.3",$H19)),ISNUMBER(SEARCH("토2.3",$H19)),ISNUMBER(SEARCH("토1.2.3",$H19))),1,"")</f>
        <v/>
      </c>
      <c r="AA19" s="319">
        <f>IF(ISNUMBER(SEARCH("일1",$H19)),1,"")</f>
        <v/>
      </c>
      <c r="AB19" s="319">
        <f>IF(OR(ISNUMBER(SEARCH("일2",$H19)),ISNUMBER(SEARCH("일1.2",$H19))),1,"")</f>
        <v/>
      </c>
      <c r="AC19" s="319">
        <f>IF(OR(ISNUMBER(SEARCH("일3",$H19)),ISNUMBER(SEARCH("일1.3",$H19)),ISNUMBER(SEARCH("일2.3",$H19)),ISNUMBER(SEARCH("일1.2.3",$H19))),1,"")</f>
        <v/>
      </c>
      <c r="AD19" s="319">
        <f>SUM(I19:AC19)</f>
        <v/>
      </c>
      <c r="AE19" s="323" t="n"/>
    </row>
    <row r="20" ht="24" customHeight="1">
      <c r="A20" s="168" t="n"/>
      <c r="B20" s="319" t="n"/>
      <c r="C20" s="319" t="n"/>
      <c r="D20" s="319" t="n"/>
      <c r="E20" s="341" t="n"/>
      <c r="F20" s="341" t="n"/>
      <c r="G20" s="342" t="n"/>
      <c r="H20" s="322" t="n"/>
      <c r="I20" s="319">
        <f>IF(ISNUMBER(SEARCH("월1",$H20)),1,"")</f>
        <v/>
      </c>
      <c r="J20" s="319">
        <f>IF(OR(ISNUMBER(SEARCH("월2",$H20)),ISNUMBER(SEARCH("월1.2",$H20))),1,"")</f>
        <v/>
      </c>
      <c r="K20" s="319">
        <f>IF(OR(ISNUMBER(SEARCH("월3",$H20)),ISNUMBER(SEARCH("월1.3",$H20)),ISNUMBER(SEARCH("월2.3",$H20)),ISNUMBER(SEARCH("월1.2.3",$H20))),1,"")</f>
        <v/>
      </c>
      <c r="L20" s="319">
        <f>IF(ISNUMBER(SEARCH("화1",$H20)),1,"")</f>
        <v/>
      </c>
      <c r="M20" s="319">
        <f>IF(OR(ISNUMBER(SEARCH("화2",$H20)),ISNUMBER(SEARCH("화1.2",$H20))),1,"")</f>
        <v/>
      </c>
      <c r="N20" s="319">
        <f>IF(OR(ISNUMBER(SEARCH("화3",$H20)),ISNUMBER(SEARCH("화1.3",$H20)),ISNUMBER(SEARCH("화2.3",$H20)),ISNUMBER(SEARCH("화1.2.3",$H20))),1,"")</f>
        <v/>
      </c>
      <c r="O20" s="319">
        <f>IF(ISNUMBER(SEARCH("수1",$H20)),1,"")</f>
        <v/>
      </c>
      <c r="P20" s="319">
        <f>IF(OR(ISNUMBER(SEARCH("수2",$H20)),ISNUMBER(SEARCH("수1.2",$H20))),1,"")</f>
        <v/>
      </c>
      <c r="Q20" s="319">
        <f>IF(OR(ISNUMBER(SEARCH("수3",$H20)),ISNUMBER(SEARCH("수1.3",$H20)),ISNUMBER(SEARCH("수2.3",$H20)),ISNUMBER(SEARCH("수1.2.3",$H20))),1,"")</f>
        <v/>
      </c>
      <c r="R20" s="319">
        <f>IF(ISNUMBER(SEARCH("목1",$H20)),1,"")</f>
        <v/>
      </c>
      <c r="S20" s="319">
        <f>IF(OR(ISNUMBER(SEARCH("목2",$H20)),ISNUMBER(SEARCH("목1.2",$H20))),1,"")</f>
        <v/>
      </c>
      <c r="T20" s="319">
        <f>IF(OR(ISNUMBER(SEARCH("목3",$H20)),ISNUMBER(SEARCH("목1.3",$H20)),ISNUMBER(SEARCH("목2.3",$H20)),ISNUMBER(SEARCH("목1.2.3",$H20))),1,"")</f>
        <v/>
      </c>
      <c r="U20" s="319">
        <f>IF(ISNUMBER(SEARCH("금1",$H20)),1,"")</f>
        <v/>
      </c>
      <c r="V20" s="319">
        <f>IF(OR(ISNUMBER(SEARCH("금2",$H20)),ISNUMBER(SEARCH("금1.2",$H20))),1,"")</f>
        <v/>
      </c>
      <c r="W20" s="319">
        <f>IF(OR(ISNUMBER(SEARCH("금3",$H20)),ISNUMBER(SEARCH("금1.3",$H20)),ISNUMBER(SEARCH("금2.3",$H20)),ISNUMBER(SEARCH("금1.2.3",$H20))),1,"")</f>
        <v/>
      </c>
      <c r="X20" s="319">
        <f>IF(ISNUMBER(SEARCH("토1",$H20)),1,"")</f>
        <v/>
      </c>
      <c r="Y20" s="319">
        <f>IF(OR(ISNUMBER(SEARCH("토2",$H20)),ISNUMBER(SEARCH("토1.2",$H20))),1,"")</f>
        <v/>
      </c>
      <c r="Z20" s="319">
        <f>IF(OR(ISNUMBER(SEARCH("토3",$H20)),ISNUMBER(SEARCH("토1.3",$H20)),ISNUMBER(SEARCH("토2.3",$H20)),ISNUMBER(SEARCH("토1.2.3",$H20))),1,"")</f>
        <v/>
      </c>
      <c r="AA20" s="319">
        <f>IF(ISNUMBER(SEARCH("일1",$H20)),1,"")</f>
        <v/>
      </c>
      <c r="AB20" s="319">
        <f>IF(OR(ISNUMBER(SEARCH("일2",$H20)),ISNUMBER(SEARCH("일1.2",$H20))),1,"")</f>
        <v/>
      </c>
      <c r="AC20" s="319">
        <f>IF(OR(ISNUMBER(SEARCH("일3",$H20)),ISNUMBER(SEARCH("일1.3",$H20)),ISNUMBER(SEARCH("일2.3",$H20)),ISNUMBER(SEARCH("일1.2.3",$H20))),1,"")</f>
        <v/>
      </c>
      <c r="AD20" s="319">
        <f>SUM(I20:AC20)</f>
        <v/>
      </c>
      <c r="AE20" s="323" t="n"/>
    </row>
    <row r="21" ht="24" customHeight="1">
      <c r="A21" s="168" t="n"/>
      <c r="B21" s="319" t="n"/>
      <c r="C21" s="319" t="n"/>
      <c r="D21" s="319" t="n"/>
      <c r="E21" s="341" t="n"/>
      <c r="F21" s="341" t="n"/>
      <c r="G21" s="342" t="n"/>
      <c r="H21" s="322" t="n"/>
      <c r="I21" s="319">
        <f>IF(ISNUMBER(SEARCH("월1",$H21)),1,"")</f>
        <v/>
      </c>
      <c r="J21" s="319">
        <f>IF(OR(ISNUMBER(SEARCH("월2",$H21)),ISNUMBER(SEARCH("월1.2",$H21))),1,"")</f>
        <v/>
      </c>
      <c r="K21" s="319">
        <f>IF(OR(ISNUMBER(SEARCH("월3",$H21)),ISNUMBER(SEARCH("월1.3",$H21)),ISNUMBER(SEARCH("월2.3",$H21)),ISNUMBER(SEARCH("월1.2.3",$H21))),1,"")</f>
        <v/>
      </c>
      <c r="L21" s="319">
        <f>IF(ISNUMBER(SEARCH("화1",$H21)),1,"")</f>
        <v/>
      </c>
      <c r="M21" s="319">
        <f>IF(OR(ISNUMBER(SEARCH("화2",$H21)),ISNUMBER(SEARCH("화1.2",$H21))),1,"")</f>
        <v/>
      </c>
      <c r="N21" s="319">
        <f>IF(OR(ISNUMBER(SEARCH("화3",$H21)),ISNUMBER(SEARCH("화1.3",$H21)),ISNUMBER(SEARCH("화2.3",$H21)),ISNUMBER(SEARCH("화1.2.3",$H21))),1,"")</f>
        <v/>
      </c>
      <c r="O21" s="319">
        <f>IF(ISNUMBER(SEARCH("수1",$H21)),1,"")</f>
        <v/>
      </c>
      <c r="P21" s="319">
        <f>IF(OR(ISNUMBER(SEARCH("수2",$H21)),ISNUMBER(SEARCH("수1.2",$H21))),1,"")</f>
        <v/>
      </c>
      <c r="Q21" s="319">
        <f>IF(OR(ISNUMBER(SEARCH("수3",$H21)),ISNUMBER(SEARCH("수1.3",$H21)),ISNUMBER(SEARCH("수2.3",$H21)),ISNUMBER(SEARCH("수1.2.3",$H21))),1,"")</f>
        <v/>
      </c>
      <c r="R21" s="319">
        <f>IF(ISNUMBER(SEARCH("목1",$H21)),1,"")</f>
        <v/>
      </c>
      <c r="S21" s="319">
        <f>IF(OR(ISNUMBER(SEARCH("목2",$H21)),ISNUMBER(SEARCH("목1.2",$H21))),1,"")</f>
        <v/>
      </c>
      <c r="T21" s="319">
        <f>IF(OR(ISNUMBER(SEARCH("목3",$H21)),ISNUMBER(SEARCH("목1.3",$H21)),ISNUMBER(SEARCH("목2.3",$H21)),ISNUMBER(SEARCH("목1.2.3",$H21))),1,"")</f>
        <v/>
      </c>
      <c r="U21" s="319">
        <f>IF(ISNUMBER(SEARCH("금1",$H21)),1,"")</f>
        <v/>
      </c>
      <c r="V21" s="319">
        <f>IF(OR(ISNUMBER(SEARCH("금2",$H21)),ISNUMBER(SEARCH("금1.2",$H21))),1,"")</f>
        <v/>
      </c>
      <c r="W21" s="319">
        <f>IF(OR(ISNUMBER(SEARCH("금3",$H21)),ISNUMBER(SEARCH("금1.3",$H21)),ISNUMBER(SEARCH("금2.3",$H21)),ISNUMBER(SEARCH("금1.2.3",$H21))),1,"")</f>
        <v/>
      </c>
      <c r="X21" s="319">
        <f>IF(ISNUMBER(SEARCH("토1",$H21)),1,"")</f>
        <v/>
      </c>
      <c r="Y21" s="319">
        <f>IF(OR(ISNUMBER(SEARCH("토2",$H21)),ISNUMBER(SEARCH("토1.2",$H21))),1,"")</f>
        <v/>
      </c>
      <c r="Z21" s="319">
        <f>IF(OR(ISNUMBER(SEARCH("토3",$H21)),ISNUMBER(SEARCH("토1.3",$H21)),ISNUMBER(SEARCH("토2.3",$H21)),ISNUMBER(SEARCH("토1.2.3",$H21))),1,"")</f>
        <v/>
      </c>
      <c r="AA21" s="319">
        <f>IF(ISNUMBER(SEARCH("일1",$H21)),1,"")</f>
        <v/>
      </c>
      <c r="AB21" s="319">
        <f>IF(OR(ISNUMBER(SEARCH("일2",$H21)),ISNUMBER(SEARCH("일1.2",$H21))),1,"")</f>
        <v/>
      </c>
      <c r="AC21" s="319">
        <f>IF(OR(ISNUMBER(SEARCH("일3",$H21)),ISNUMBER(SEARCH("일1.3",$H21)),ISNUMBER(SEARCH("일2.3",$H21)),ISNUMBER(SEARCH("일1.2.3",$H21))),1,"")</f>
        <v/>
      </c>
      <c r="AD21" s="319">
        <f>SUM(I21:AC21)</f>
        <v/>
      </c>
      <c r="AE21" s="323" t="n"/>
    </row>
    <row r="22" ht="24" customHeight="1">
      <c r="A22" s="168" t="n"/>
      <c r="B22" s="319" t="n"/>
      <c r="C22" s="319" t="n"/>
      <c r="D22" s="319" t="n"/>
      <c r="E22" s="341" t="n"/>
      <c r="F22" s="341" t="n"/>
      <c r="G22" s="342" t="n"/>
      <c r="H22" s="322" t="n"/>
      <c r="I22" s="319">
        <f>IF(ISNUMBER(SEARCH("월1",$H22)),1,"")</f>
        <v/>
      </c>
      <c r="J22" s="319">
        <f>IF(OR(ISNUMBER(SEARCH("월2",$H22)),ISNUMBER(SEARCH("월1.2",$H22))),1,"")</f>
        <v/>
      </c>
      <c r="K22" s="319">
        <f>IF(OR(ISNUMBER(SEARCH("월3",$H22)),ISNUMBER(SEARCH("월1.3",$H22)),ISNUMBER(SEARCH("월2.3",$H22)),ISNUMBER(SEARCH("월1.2.3",$H22))),1,"")</f>
        <v/>
      </c>
      <c r="L22" s="319">
        <f>IF(ISNUMBER(SEARCH("화1",$H22)),1,"")</f>
        <v/>
      </c>
      <c r="M22" s="319">
        <f>IF(OR(ISNUMBER(SEARCH("화2",$H22)),ISNUMBER(SEARCH("화1.2",$H22))),1,"")</f>
        <v/>
      </c>
      <c r="N22" s="319">
        <f>IF(OR(ISNUMBER(SEARCH("화3",$H22)),ISNUMBER(SEARCH("화1.3",$H22)),ISNUMBER(SEARCH("화2.3",$H22)),ISNUMBER(SEARCH("화1.2.3",$H22))),1,"")</f>
        <v/>
      </c>
      <c r="O22" s="319">
        <f>IF(ISNUMBER(SEARCH("수1",$H22)),1,"")</f>
        <v/>
      </c>
      <c r="P22" s="319">
        <f>IF(OR(ISNUMBER(SEARCH("수2",$H22)),ISNUMBER(SEARCH("수1.2",$H22))),1,"")</f>
        <v/>
      </c>
      <c r="Q22" s="319">
        <f>IF(OR(ISNUMBER(SEARCH("수3",$H22)),ISNUMBER(SEARCH("수1.3",$H22)),ISNUMBER(SEARCH("수2.3",$H22)),ISNUMBER(SEARCH("수1.2.3",$H22))),1,"")</f>
        <v/>
      </c>
      <c r="R22" s="319">
        <f>IF(ISNUMBER(SEARCH("목1",$H22)),1,"")</f>
        <v/>
      </c>
      <c r="S22" s="319">
        <f>IF(OR(ISNUMBER(SEARCH("목2",$H22)),ISNUMBER(SEARCH("목1.2",$H22))),1,"")</f>
        <v/>
      </c>
      <c r="T22" s="319">
        <f>IF(OR(ISNUMBER(SEARCH("목3",$H22)),ISNUMBER(SEARCH("목1.3",$H22)),ISNUMBER(SEARCH("목2.3",$H22)),ISNUMBER(SEARCH("목1.2.3",$H22))),1,"")</f>
        <v/>
      </c>
      <c r="U22" s="319">
        <f>IF(ISNUMBER(SEARCH("금1",$H22)),1,"")</f>
        <v/>
      </c>
      <c r="V22" s="319">
        <f>IF(OR(ISNUMBER(SEARCH("금2",$H22)),ISNUMBER(SEARCH("금1.2",$H22))),1,"")</f>
        <v/>
      </c>
      <c r="W22" s="319">
        <f>IF(OR(ISNUMBER(SEARCH("금3",$H22)),ISNUMBER(SEARCH("금1.3",$H22)),ISNUMBER(SEARCH("금2.3",$H22)),ISNUMBER(SEARCH("금1.2.3",$H22))),1,"")</f>
        <v/>
      </c>
      <c r="X22" s="319">
        <f>IF(ISNUMBER(SEARCH("토1",$H22)),1,"")</f>
        <v/>
      </c>
      <c r="Y22" s="319">
        <f>IF(OR(ISNUMBER(SEARCH("토2",$H22)),ISNUMBER(SEARCH("토1.2",$H22))),1,"")</f>
        <v/>
      </c>
      <c r="Z22" s="319">
        <f>IF(OR(ISNUMBER(SEARCH("토3",$H22)),ISNUMBER(SEARCH("토1.3",$H22)),ISNUMBER(SEARCH("토2.3",$H22)),ISNUMBER(SEARCH("토1.2.3",$H22))),1,"")</f>
        <v/>
      </c>
      <c r="AA22" s="319">
        <f>IF(ISNUMBER(SEARCH("일1",$H22)),1,"")</f>
        <v/>
      </c>
      <c r="AB22" s="319">
        <f>IF(OR(ISNUMBER(SEARCH("일2",$H22)),ISNUMBER(SEARCH("일1.2",$H22))),1,"")</f>
        <v/>
      </c>
      <c r="AC22" s="319">
        <f>IF(OR(ISNUMBER(SEARCH("일3",$H22)),ISNUMBER(SEARCH("일1.3",$H22)),ISNUMBER(SEARCH("일2.3",$H22)),ISNUMBER(SEARCH("일1.2.3",$H22))),1,"")</f>
        <v/>
      </c>
      <c r="AD22" s="319">
        <f>SUM(I22:AC22)</f>
        <v/>
      </c>
      <c r="AE22" s="323" t="n"/>
    </row>
    <row r="23" ht="24" customHeight="1">
      <c r="A23" s="168" t="n"/>
      <c r="B23" s="319" t="n"/>
      <c r="C23" s="319" t="n"/>
      <c r="D23" s="319" t="n"/>
      <c r="E23" s="341" t="n"/>
      <c r="F23" s="341" t="n"/>
      <c r="G23" s="342" t="n"/>
      <c r="H23" s="322" t="n"/>
      <c r="I23" s="319">
        <f>IF(ISNUMBER(SEARCH("월1",$H23)),1,"")</f>
        <v/>
      </c>
      <c r="J23" s="319">
        <f>IF(OR(ISNUMBER(SEARCH("월2",$H23)),ISNUMBER(SEARCH("월1.2",$H23))),1,"")</f>
        <v/>
      </c>
      <c r="K23" s="319">
        <f>IF(OR(ISNUMBER(SEARCH("월3",$H23)),ISNUMBER(SEARCH("월1.3",$H23)),ISNUMBER(SEARCH("월2.3",$H23)),ISNUMBER(SEARCH("월1.2.3",$H23))),1,"")</f>
        <v/>
      </c>
      <c r="L23" s="319">
        <f>IF(ISNUMBER(SEARCH("화1",$H23)),1,"")</f>
        <v/>
      </c>
      <c r="M23" s="319">
        <f>IF(OR(ISNUMBER(SEARCH("화2",$H23)),ISNUMBER(SEARCH("화1.2",$H23))),1,"")</f>
        <v/>
      </c>
      <c r="N23" s="319">
        <f>IF(OR(ISNUMBER(SEARCH("화3",$H23)),ISNUMBER(SEARCH("화1.3",$H23)),ISNUMBER(SEARCH("화2.3",$H23)),ISNUMBER(SEARCH("화1.2.3",$H23))),1,"")</f>
        <v/>
      </c>
      <c r="O23" s="319">
        <f>IF(ISNUMBER(SEARCH("수1",$H23)),1,"")</f>
        <v/>
      </c>
      <c r="P23" s="319">
        <f>IF(OR(ISNUMBER(SEARCH("수2",$H23)),ISNUMBER(SEARCH("수1.2",$H23))),1,"")</f>
        <v/>
      </c>
      <c r="Q23" s="319">
        <f>IF(OR(ISNUMBER(SEARCH("수3",$H23)),ISNUMBER(SEARCH("수1.3",$H23)),ISNUMBER(SEARCH("수2.3",$H23)),ISNUMBER(SEARCH("수1.2.3",$H23))),1,"")</f>
        <v/>
      </c>
      <c r="R23" s="319">
        <f>IF(ISNUMBER(SEARCH("목1",$H23)),1,"")</f>
        <v/>
      </c>
      <c r="S23" s="319">
        <f>IF(OR(ISNUMBER(SEARCH("목2",$H23)),ISNUMBER(SEARCH("목1.2",$H23))),1,"")</f>
        <v/>
      </c>
      <c r="T23" s="319">
        <f>IF(OR(ISNUMBER(SEARCH("목3",$H23)),ISNUMBER(SEARCH("목1.3",$H23)),ISNUMBER(SEARCH("목2.3",$H23)),ISNUMBER(SEARCH("목1.2.3",$H23))),1,"")</f>
        <v/>
      </c>
      <c r="U23" s="319">
        <f>IF(ISNUMBER(SEARCH("금1",$H23)),1,"")</f>
        <v/>
      </c>
      <c r="V23" s="319">
        <f>IF(OR(ISNUMBER(SEARCH("금2",$H23)),ISNUMBER(SEARCH("금1.2",$H23))),1,"")</f>
        <v/>
      </c>
      <c r="W23" s="319">
        <f>IF(OR(ISNUMBER(SEARCH("금3",$H23)),ISNUMBER(SEARCH("금1.3",$H23)),ISNUMBER(SEARCH("금2.3",$H23)),ISNUMBER(SEARCH("금1.2.3",$H23))),1,"")</f>
        <v/>
      </c>
      <c r="X23" s="319">
        <f>IF(ISNUMBER(SEARCH("토1",$H23)),1,"")</f>
        <v/>
      </c>
      <c r="Y23" s="319">
        <f>IF(OR(ISNUMBER(SEARCH("토2",$H23)),ISNUMBER(SEARCH("토1.2",$H23))),1,"")</f>
        <v/>
      </c>
      <c r="Z23" s="319">
        <f>IF(OR(ISNUMBER(SEARCH("토3",$H23)),ISNUMBER(SEARCH("토1.3",$H23)),ISNUMBER(SEARCH("토2.3",$H23)),ISNUMBER(SEARCH("토1.2.3",$H23))),1,"")</f>
        <v/>
      </c>
      <c r="AA23" s="319">
        <f>IF(ISNUMBER(SEARCH("일1",$H23)),1,"")</f>
        <v/>
      </c>
      <c r="AB23" s="319">
        <f>IF(OR(ISNUMBER(SEARCH("일2",$H23)),ISNUMBER(SEARCH("일1.2",$H23))),1,"")</f>
        <v/>
      </c>
      <c r="AC23" s="319">
        <f>IF(OR(ISNUMBER(SEARCH("일3",$H23)),ISNUMBER(SEARCH("일1.3",$H23)),ISNUMBER(SEARCH("일2.3",$H23)),ISNUMBER(SEARCH("일1.2.3",$H23))),1,"")</f>
        <v/>
      </c>
      <c r="AD23" s="319">
        <f>SUM(I23:AC23)</f>
        <v/>
      </c>
      <c r="AE23" s="323" t="n"/>
    </row>
    <row r="24" ht="24" customHeight="1">
      <c r="A24" s="168" t="n"/>
      <c r="B24" s="319" t="n"/>
      <c r="C24" s="319" t="n"/>
      <c r="D24" s="319" t="n"/>
      <c r="E24" s="341" t="n"/>
      <c r="F24" s="341" t="n"/>
      <c r="G24" s="342" t="n"/>
      <c r="H24" s="322" t="n"/>
      <c r="I24" s="319">
        <f>IF(ISNUMBER(SEARCH("월1",$H24)),1,"")</f>
        <v/>
      </c>
      <c r="J24" s="319">
        <f>IF(OR(ISNUMBER(SEARCH("월2",$H24)),ISNUMBER(SEARCH("월1.2",$H24))),1,"")</f>
        <v/>
      </c>
      <c r="K24" s="319">
        <f>IF(OR(ISNUMBER(SEARCH("월3",$H24)),ISNUMBER(SEARCH("월1.3",$H24)),ISNUMBER(SEARCH("월2.3",$H24)),ISNUMBER(SEARCH("월1.2.3",$H24))),1,"")</f>
        <v/>
      </c>
      <c r="L24" s="319">
        <f>IF(ISNUMBER(SEARCH("화1",$H24)),1,"")</f>
        <v/>
      </c>
      <c r="M24" s="319">
        <f>IF(OR(ISNUMBER(SEARCH("화2",$H24)),ISNUMBER(SEARCH("화1.2",$H24))),1,"")</f>
        <v/>
      </c>
      <c r="N24" s="319">
        <f>IF(OR(ISNUMBER(SEARCH("화3",$H24)),ISNUMBER(SEARCH("화1.3",$H24)),ISNUMBER(SEARCH("화2.3",$H24)),ISNUMBER(SEARCH("화1.2.3",$H24))),1,"")</f>
        <v/>
      </c>
      <c r="O24" s="319">
        <f>IF(ISNUMBER(SEARCH("수1",$H24)),1,"")</f>
        <v/>
      </c>
      <c r="P24" s="319">
        <f>IF(OR(ISNUMBER(SEARCH("수2",$H24)),ISNUMBER(SEARCH("수1.2",$H24))),1,"")</f>
        <v/>
      </c>
      <c r="Q24" s="319">
        <f>IF(OR(ISNUMBER(SEARCH("수3",$H24)),ISNUMBER(SEARCH("수1.3",$H24)),ISNUMBER(SEARCH("수2.3",$H24)),ISNUMBER(SEARCH("수1.2.3",$H24))),1,"")</f>
        <v/>
      </c>
      <c r="R24" s="319">
        <f>IF(ISNUMBER(SEARCH("목1",$H24)),1,"")</f>
        <v/>
      </c>
      <c r="S24" s="319">
        <f>IF(OR(ISNUMBER(SEARCH("목2",$H24)),ISNUMBER(SEARCH("목1.2",$H24))),1,"")</f>
        <v/>
      </c>
      <c r="T24" s="319">
        <f>IF(OR(ISNUMBER(SEARCH("목3",$H24)),ISNUMBER(SEARCH("목1.3",$H24)),ISNUMBER(SEARCH("목2.3",$H24)),ISNUMBER(SEARCH("목1.2.3",$H24))),1,"")</f>
        <v/>
      </c>
      <c r="U24" s="319">
        <f>IF(ISNUMBER(SEARCH("금1",$H24)),1,"")</f>
        <v/>
      </c>
      <c r="V24" s="319">
        <f>IF(OR(ISNUMBER(SEARCH("금2",$H24)),ISNUMBER(SEARCH("금1.2",$H24))),1,"")</f>
        <v/>
      </c>
      <c r="W24" s="319">
        <f>IF(OR(ISNUMBER(SEARCH("금3",$H24)),ISNUMBER(SEARCH("금1.3",$H24)),ISNUMBER(SEARCH("금2.3",$H24)),ISNUMBER(SEARCH("금1.2.3",$H24))),1,"")</f>
        <v/>
      </c>
      <c r="X24" s="319">
        <f>IF(ISNUMBER(SEARCH("토1",$H24)),1,"")</f>
        <v/>
      </c>
      <c r="Y24" s="319">
        <f>IF(OR(ISNUMBER(SEARCH("토2",$H24)),ISNUMBER(SEARCH("토1.2",$H24))),1,"")</f>
        <v/>
      </c>
      <c r="Z24" s="319">
        <f>IF(OR(ISNUMBER(SEARCH("토3",$H24)),ISNUMBER(SEARCH("토1.3",$H24)),ISNUMBER(SEARCH("토2.3",$H24)),ISNUMBER(SEARCH("토1.2.3",$H24))),1,"")</f>
        <v/>
      </c>
      <c r="AA24" s="319">
        <f>IF(ISNUMBER(SEARCH("일1",$H24)),1,"")</f>
        <v/>
      </c>
      <c r="AB24" s="319">
        <f>IF(OR(ISNUMBER(SEARCH("일2",$H24)),ISNUMBER(SEARCH("일1.2",$H24))),1,"")</f>
        <v/>
      </c>
      <c r="AC24" s="319">
        <f>IF(OR(ISNUMBER(SEARCH("일3",$H24)),ISNUMBER(SEARCH("일1.3",$H24)),ISNUMBER(SEARCH("일2.3",$H24)),ISNUMBER(SEARCH("일1.2.3",$H24))),1,"")</f>
        <v/>
      </c>
      <c r="AD24" s="319">
        <f>SUM(I24:AC24)</f>
        <v/>
      </c>
      <c r="AE24" s="323" t="n"/>
    </row>
    <row r="25" ht="24" customHeight="1">
      <c r="A25" s="168" t="n"/>
      <c r="B25" s="319" t="n"/>
      <c r="C25" s="319" t="n"/>
      <c r="D25" s="319" t="n"/>
      <c r="E25" s="341" t="n"/>
      <c r="F25" s="341" t="n"/>
      <c r="G25" s="342" t="n"/>
      <c r="H25" s="322" t="n"/>
      <c r="I25" s="319">
        <f>IF(ISNUMBER(SEARCH("월1",$H25)),1,"")</f>
        <v/>
      </c>
      <c r="J25" s="319">
        <f>IF(OR(ISNUMBER(SEARCH("월2",$H25)),ISNUMBER(SEARCH("월1.2",$H25))),1,"")</f>
        <v/>
      </c>
      <c r="K25" s="319">
        <f>IF(OR(ISNUMBER(SEARCH("월3",$H25)),ISNUMBER(SEARCH("월1.3",$H25)),ISNUMBER(SEARCH("월2.3",$H25)),ISNUMBER(SEARCH("월1.2.3",$H25))),1,"")</f>
        <v/>
      </c>
      <c r="L25" s="319">
        <f>IF(ISNUMBER(SEARCH("화1",$H25)),1,"")</f>
        <v/>
      </c>
      <c r="M25" s="319">
        <f>IF(OR(ISNUMBER(SEARCH("화2",$H25)),ISNUMBER(SEARCH("화1.2",$H25))),1,"")</f>
        <v/>
      </c>
      <c r="N25" s="319">
        <f>IF(OR(ISNUMBER(SEARCH("화3",$H25)),ISNUMBER(SEARCH("화1.3",$H25)),ISNUMBER(SEARCH("화2.3",$H25)),ISNUMBER(SEARCH("화1.2.3",$H25))),1,"")</f>
        <v/>
      </c>
      <c r="O25" s="319">
        <f>IF(ISNUMBER(SEARCH("수1",$H25)),1,"")</f>
        <v/>
      </c>
      <c r="P25" s="319">
        <f>IF(OR(ISNUMBER(SEARCH("수2",$H25)),ISNUMBER(SEARCH("수1.2",$H25))),1,"")</f>
        <v/>
      </c>
      <c r="Q25" s="319">
        <f>IF(OR(ISNUMBER(SEARCH("수3",$H25)),ISNUMBER(SEARCH("수1.3",$H25)),ISNUMBER(SEARCH("수2.3",$H25)),ISNUMBER(SEARCH("수1.2.3",$H25))),1,"")</f>
        <v/>
      </c>
      <c r="R25" s="319">
        <f>IF(ISNUMBER(SEARCH("목1",$H25)),1,"")</f>
        <v/>
      </c>
      <c r="S25" s="319">
        <f>IF(OR(ISNUMBER(SEARCH("목2",$H25)),ISNUMBER(SEARCH("목1.2",$H25))),1,"")</f>
        <v/>
      </c>
      <c r="T25" s="319">
        <f>IF(OR(ISNUMBER(SEARCH("목3",$H25)),ISNUMBER(SEARCH("목1.3",$H25)),ISNUMBER(SEARCH("목2.3",$H25)),ISNUMBER(SEARCH("목1.2.3",$H25))),1,"")</f>
        <v/>
      </c>
      <c r="U25" s="319">
        <f>IF(ISNUMBER(SEARCH("금1",$H25)),1,"")</f>
        <v/>
      </c>
      <c r="V25" s="319">
        <f>IF(OR(ISNUMBER(SEARCH("금2",$H25)),ISNUMBER(SEARCH("금1.2",$H25))),1,"")</f>
        <v/>
      </c>
      <c r="W25" s="319">
        <f>IF(OR(ISNUMBER(SEARCH("금3",$H25)),ISNUMBER(SEARCH("금1.3",$H25)),ISNUMBER(SEARCH("금2.3",$H25)),ISNUMBER(SEARCH("금1.2.3",$H25))),1,"")</f>
        <v/>
      </c>
      <c r="X25" s="319">
        <f>IF(ISNUMBER(SEARCH("토1",$H25)),1,"")</f>
        <v/>
      </c>
      <c r="Y25" s="319">
        <f>IF(OR(ISNUMBER(SEARCH("토2",$H25)),ISNUMBER(SEARCH("토1.2",$H25))),1,"")</f>
        <v/>
      </c>
      <c r="Z25" s="319">
        <f>IF(OR(ISNUMBER(SEARCH("토3",$H25)),ISNUMBER(SEARCH("토1.3",$H25)),ISNUMBER(SEARCH("토2.3",$H25)),ISNUMBER(SEARCH("토1.2.3",$H25))),1,"")</f>
        <v/>
      </c>
      <c r="AA25" s="319">
        <f>IF(ISNUMBER(SEARCH("일1",$H25)),1,"")</f>
        <v/>
      </c>
      <c r="AB25" s="319">
        <f>IF(OR(ISNUMBER(SEARCH("일2",$H25)),ISNUMBER(SEARCH("일1.2",$H25))),1,"")</f>
        <v/>
      </c>
      <c r="AC25" s="319">
        <f>IF(OR(ISNUMBER(SEARCH("일3",$H25)),ISNUMBER(SEARCH("일1.3",$H25)),ISNUMBER(SEARCH("일2.3",$H25)),ISNUMBER(SEARCH("일1.2.3",$H25))),1,"")</f>
        <v/>
      </c>
      <c r="AD25" s="319">
        <f>SUM(I25:AC25)</f>
        <v/>
      </c>
      <c r="AE25" s="323" t="n"/>
    </row>
    <row r="26" ht="24" customHeight="1">
      <c r="A26" s="168" t="n"/>
      <c r="B26" s="319" t="n"/>
      <c r="C26" s="319" t="n"/>
      <c r="D26" s="319" t="n"/>
      <c r="E26" s="341" t="n"/>
      <c r="F26" s="341" t="n"/>
      <c r="G26" s="342" t="n"/>
      <c r="H26" s="322" t="n"/>
      <c r="I26" s="319">
        <f>IF(ISNUMBER(SEARCH("월1",$H26)),1,"")</f>
        <v/>
      </c>
      <c r="J26" s="319">
        <f>IF(OR(ISNUMBER(SEARCH("월2",$H26)),ISNUMBER(SEARCH("월1.2",$H26))),1,"")</f>
        <v/>
      </c>
      <c r="K26" s="319">
        <f>IF(OR(ISNUMBER(SEARCH("월3",$H26)),ISNUMBER(SEARCH("월1.3",$H26)),ISNUMBER(SEARCH("월2.3",$H26)),ISNUMBER(SEARCH("월1.2.3",$H26))),1,"")</f>
        <v/>
      </c>
      <c r="L26" s="319">
        <f>IF(ISNUMBER(SEARCH("화1",$H26)),1,"")</f>
        <v/>
      </c>
      <c r="M26" s="319">
        <f>IF(OR(ISNUMBER(SEARCH("화2",$H26)),ISNUMBER(SEARCH("화1.2",$H26))),1,"")</f>
        <v/>
      </c>
      <c r="N26" s="319">
        <f>IF(OR(ISNUMBER(SEARCH("화3",$H26)),ISNUMBER(SEARCH("화1.3",$H26)),ISNUMBER(SEARCH("화2.3",$H26)),ISNUMBER(SEARCH("화1.2.3",$H26))),1,"")</f>
        <v/>
      </c>
      <c r="O26" s="319">
        <f>IF(ISNUMBER(SEARCH("수1",$H26)),1,"")</f>
        <v/>
      </c>
      <c r="P26" s="319">
        <f>IF(OR(ISNUMBER(SEARCH("수2",$H26)),ISNUMBER(SEARCH("수1.2",$H26))),1,"")</f>
        <v/>
      </c>
      <c r="Q26" s="319">
        <f>IF(OR(ISNUMBER(SEARCH("수3",$H26)),ISNUMBER(SEARCH("수1.3",$H26)),ISNUMBER(SEARCH("수2.3",$H26)),ISNUMBER(SEARCH("수1.2.3",$H26))),1,"")</f>
        <v/>
      </c>
      <c r="R26" s="319">
        <f>IF(ISNUMBER(SEARCH("목1",$H26)),1,"")</f>
        <v/>
      </c>
      <c r="S26" s="319">
        <f>IF(OR(ISNUMBER(SEARCH("목2",$H26)),ISNUMBER(SEARCH("목1.2",$H26))),1,"")</f>
        <v/>
      </c>
      <c r="T26" s="319">
        <f>IF(OR(ISNUMBER(SEARCH("목3",$H26)),ISNUMBER(SEARCH("목1.3",$H26)),ISNUMBER(SEARCH("목2.3",$H26)),ISNUMBER(SEARCH("목1.2.3",$H26))),1,"")</f>
        <v/>
      </c>
      <c r="U26" s="319">
        <f>IF(ISNUMBER(SEARCH("금1",$H26)),1,"")</f>
        <v/>
      </c>
      <c r="V26" s="319">
        <f>IF(OR(ISNUMBER(SEARCH("금2",$H26)),ISNUMBER(SEARCH("금1.2",$H26))),1,"")</f>
        <v/>
      </c>
      <c r="W26" s="319">
        <f>IF(OR(ISNUMBER(SEARCH("금3",$H26)),ISNUMBER(SEARCH("금1.3",$H26)),ISNUMBER(SEARCH("금2.3",$H26)),ISNUMBER(SEARCH("금1.2.3",$H26))),1,"")</f>
        <v/>
      </c>
      <c r="X26" s="319">
        <f>IF(ISNUMBER(SEARCH("토1",$H26)),1,"")</f>
        <v/>
      </c>
      <c r="Y26" s="319">
        <f>IF(OR(ISNUMBER(SEARCH("토2",$H26)),ISNUMBER(SEARCH("토1.2",$H26))),1,"")</f>
        <v/>
      </c>
      <c r="Z26" s="319">
        <f>IF(OR(ISNUMBER(SEARCH("토3",$H26)),ISNUMBER(SEARCH("토1.3",$H26)),ISNUMBER(SEARCH("토2.3",$H26)),ISNUMBER(SEARCH("토1.2.3",$H26))),1,"")</f>
        <v/>
      </c>
      <c r="AA26" s="319">
        <f>IF(ISNUMBER(SEARCH("일1",$H26)),1,"")</f>
        <v/>
      </c>
      <c r="AB26" s="319">
        <f>IF(OR(ISNUMBER(SEARCH("일2",$H26)),ISNUMBER(SEARCH("일1.2",$H26))),1,"")</f>
        <v/>
      </c>
      <c r="AC26" s="319">
        <f>IF(OR(ISNUMBER(SEARCH("일3",$H26)),ISNUMBER(SEARCH("일1.3",$H26)),ISNUMBER(SEARCH("일2.3",$H26)),ISNUMBER(SEARCH("일1.2.3",$H26))),1,"")</f>
        <v/>
      </c>
      <c r="AD26" s="319">
        <f>SUM(I26:AC26)</f>
        <v/>
      </c>
      <c r="AE26" s="323" t="n"/>
    </row>
    <row r="27" ht="24" customHeight="1">
      <c r="A27" s="168" t="n"/>
      <c r="B27" s="319" t="n"/>
      <c r="C27" s="319" t="n"/>
      <c r="D27" s="319" t="n"/>
      <c r="E27" s="341" t="n"/>
      <c r="F27" s="341" t="n"/>
      <c r="G27" s="342" t="n"/>
      <c r="H27" s="322" t="n"/>
      <c r="I27" s="319">
        <f>IF(ISNUMBER(SEARCH("월1",$H27)),1,"")</f>
        <v/>
      </c>
      <c r="J27" s="319">
        <f>IF(OR(ISNUMBER(SEARCH("월2",$H27)),ISNUMBER(SEARCH("월1.2",$H27))),1,"")</f>
        <v/>
      </c>
      <c r="K27" s="319">
        <f>IF(OR(ISNUMBER(SEARCH("월3",$H27)),ISNUMBER(SEARCH("월1.3",$H27)),ISNUMBER(SEARCH("월2.3",$H27)),ISNUMBER(SEARCH("월1.2.3",$H27))),1,"")</f>
        <v/>
      </c>
      <c r="L27" s="319">
        <f>IF(ISNUMBER(SEARCH("화1",$H27)),1,"")</f>
        <v/>
      </c>
      <c r="M27" s="319">
        <f>IF(OR(ISNUMBER(SEARCH("화2",$H27)),ISNUMBER(SEARCH("화1.2",$H27))),1,"")</f>
        <v/>
      </c>
      <c r="N27" s="319">
        <f>IF(OR(ISNUMBER(SEARCH("화3",$H27)),ISNUMBER(SEARCH("화1.3",$H27)),ISNUMBER(SEARCH("화2.3",$H27)),ISNUMBER(SEARCH("화1.2.3",$H27))),1,"")</f>
        <v/>
      </c>
      <c r="O27" s="319">
        <f>IF(ISNUMBER(SEARCH("수1",$H27)),1,"")</f>
        <v/>
      </c>
      <c r="P27" s="319">
        <f>IF(OR(ISNUMBER(SEARCH("수2",$H27)),ISNUMBER(SEARCH("수1.2",$H27))),1,"")</f>
        <v/>
      </c>
      <c r="Q27" s="319">
        <f>IF(OR(ISNUMBER(SEARCH("수3",$H27)),ISNUMBER(SEARCH("수1.3",$H27)),ISNUMBER(SEARCH("수2.3",$H27)),ISNUMBER(SEARCH("수1.2.3",$H27))),1,"")</f>
        <v/>
      </c>
      <c r="R27" s="319">
        <f>IF(ISNUMBER(SEARCH("목1",$H27)),1,"")</f>
        <v/>
      </c>
      <c r="S27" s="319">
        <f>IF(OR(ISNUMBER(SEARCH("목2",$H27)),ISNUMBER(SEARCH("목1.2",$H27))),1,"")</f>
        <v/>
      </c>
      <c r="T27" s="319">
        <f>IF(OR(ISNUMBER(SEARCH("목3",$H27)),ISNUMBER(SEARCH("목1.3",$H27)),ISNUMBER(SEARCH("목2.3",$H27)),ISNUMBER(SEARCH("목1.2.3",$H27))),1,"")</f>
        <v/>
      </c>
      <c r="U27" s="319">
        <f>IF(ISNUMBER(SEARCH("금1",$H27)),1,"")</f>
        <v/>
      </c>
      <c r="V27" s="319">
        <f>IF(OR(ISNUMBER(SEARCH("금2",$H27)),ISNUMBER(SEARCH("금1.2",$H27))),1,"")</f>
        <v/>
      </c>
      <c r="W27" s="319">
        <f>IF(OR(ISNUMBER(SEARCH("금3",$H27)),ISNUMBER(SEARCH("금1.3",$H27)),ISNUMBER(SEARCH("금2.3",$H27)),ISNUMBER(SEARCH("금1.2.3",$H27))),1,"")</f>
        <v/>
      </c>
      <c r="X27" s="319">
        <f>IF(ISNUMBER(SEARCH("토1",$H27)),1,"")</f>
        <v/>
      </c>
      <c r="Y27" s="319">
        <f>IF(OR(ISNUMBER(SEARCH("토2",$H27)),ISNUMBER(SEARCH("토1.2",$H27))),1,"")</f>
        <v/>
      </c>
      <c r="Z27" s="319">
        <f>IF(OR(ISNUMBER(SEARCH("토3",$H27)),ISNUMBER(SEARCH("토1.3",$H27)),ISNUMBER(SEARCH("토2.3",$H27)),ISNUMBER(SEARCH("토1.2.3",$H27))),1,"")</f>
        <v/>
      </c>
      <c r="AA27" s="319">
        <f>IF(ISNUMBER(SEARCH("일1",$H27)),1,"")</f>
        <v/>
      </c>
      <c r="AB27" s="319">
        <f>IF(OR(ISNUMBER(SEARCH("일2",$H27)),ISNUMBER(SEARCH("일1.2",$H27))),1,"")</f>
        <v/>
      </c>
      <c r="AC27" s="319">
        <f>IF(OR(ISNUMBER(SEARCH("일3",$H27)),ISNUMBER(SEARCH("일1.3",$H27)),ISNUMBER(SEARCH("일2.3",$H27)),ISNUMBER(SEARCH("일1.2.3",$H27))),1,"")</f>
        <v/>
      </c>
      <c r="AD27" s="319">
        <f>SUM(I27:AC27)</f>
        <v/>
      </c>
      <c r="AE27" s="323" t="n"/>
    </row>
    <row r="28" ht="24" customHeight="1">
      <c r="A28" s="168" t="n"/>
      <c r="B28" s="319" t="n"/>
      <c r="C28" s="319" t="n"/>
      <c r="D28" s="319" t="n"/>
      <c r="E28" s="341" t="n"/>
      <c r="F28" s="341" t="n"/>
      <c r="G28" s="342" t="n"/>
      <c r="H28" s="322" t="n"/>
      <c r="I28" s="319">
        <f>IF(ISNUMBER(SEARCH("월1",$H28)),1,"")</f>
        <v/>
      </c>
      <c r="J28" s="319">
        <f>IF(OR(ISNUMBER(SEARCH("월2",$H28)),ISNUMBER(SEARCH("월1.2",$H28))),1,"")</f>
        <v/>
      </c>
      <c r="K28" s="319">
        <f>IF(OR(ISNUMBER(SEARCH("월3",$H28)),ISNUMBER(SEARCH("월1.3",$H28)),ISNUMBER(SEARCH("월2.3",$H28)),ISNUMBER(SEARCH("월1.2.3",$H28))),1,"")</f>
        <v/>
      </c>
      <c r="L28" s="319">
        <f>IF(ISNUMBER(SEARCH("화1",$H28)),1,"")</f>
        <v/>
      </c>
      <c r="M28" s="319">
        <f>IF(OR(ISNUMBER(SEARCH("화2",$H28)),ISNUMBER(SEARCH("화1.2",$H28))),1,"")</f>
        <v/>
      </c>
      <c r="N28" s="319">
        <f>IF(OR(ISNUMBER(SEARCH("화3",$H28)),ISNUMBER(SEARCH("화1.3",$H28)),ISNUMBER(SEARCH("화2.3",$H28)),ISNUMBER(SEARCH("화1.2.3",$H28))),1,"")</f>
        <v/>
      </c>
      <c r="O28" s="319">
        <f>IF(ISNUMBER(SEARCH("수1",$H28)),1,"")</f>
        <v/>
      </c>
      <c r="P28" s="319">
        <f>IF(OR(ISNUMBER(SEARCH("수2",$H28)),ISNUMBER(SEARCH("수1.2",$H28))),1,"")</f>
        <v/>
      </c>
      <c r="Q28" s="319">
        <f>IF(OR(ISNUMBER(SEARCH("수3",$H28)),ISNUMBER(SEARCH("수1.3",$H28)),ISNUMBER(SEARCH("수2.3",$H28)),ISNUMBER(SEARCH("수1.2.3",$H28))),1,"")</f>
        <v/>
      </c>
      <c r="R28" s="319">
        <f>IF(ISNUMBER(SEARCH("목1",$H28)),1,"")</f>
        <v/>
      </c>
      <c r="S28" s="319">
        <f>IF(OR(ISNUMBER(SEARCH("목2",$H28)),ISNUMBER(SEARCH("목1.2",$H28))),1,"")</f>
        <v/>
      </c>
      <c r="T28" s="319">
        <f>IF(OR(ISNUMBER(SEARCH("목3",$H28)),ISNUMBER(SEARCH("목1.3",$H28)),ISNUMBER(SEARCH("목2.3",$H28)),ISNUMBER(SEARCH("목1.2.3",$H28))),1,"")</f>
        <v/>
      </c>
      <c r="U28" s="319">
        <f>IF(ISNUMBER(SEARCH("금1",$H28)),1,"")</f>
        <v/>
      </c>
      <c r="V28" s="319">
        <f>IF(OR(ISNUMBER(SEARCH("금2",$H28)),ISNUMBER(SEARCH("금1.2",$H28))),1,"")</f>
        <v/>
      </c>
      <c r="W28" s="319">
        <f>IF(OR(ISNUMBER(SEARCH("금3",$H28)),ISNUMBER(SEARCH("금1.3",$H28)),ISNUMBER(SEARCH("금2.3",$H28)),ISNUMBER(SEARCH("금1.2.3",$H28))),1,"")</f>
        <v/>
      </c>
      <c r="X28" s="319">
        <f>IF(ISNUMBER(SEARCH("토1",$H28)),1,"")</f>
        <v/>
      </c>
      <c r="Y28" s="319">
        <f>IF(OR(ISNUMBER(SEARCH("토2",$H28)),ISNUMBER(SEARCH("토1.2",$H28))),1,"")</f>
        <v/>
      </c>
      <c r="Z28" s="319">
        <f>IF(OR(ISNUMBER(SEARCH("토3",$H28)),ISNUMBER(SEARCH("토1.3",$H28)),ISNUMBER(SEARCH("토2.3",$H28)),ISNUMBER(SEARCH("토1.2.3",$H28))),1,"")</f>
        <v/>
      </c>
      <c r="AA28" s="319">
        <f>IF(ISNUMBER(SEARCH("일1",$H28)),1,"")</f>
        <v/>
      </c>
      <c r="AB28" s="319">
        <f>IF(OR(ISNUMBER(SEARCH("일2",$H28)),ISNUMBER(SEARCH("일1.2",$H28))),1,"")</f>
        <v/>
      </c>
      <c r="AC28" s="319">
        <f>IF(OR(ISNUMBER(SEARCH("일3",$H28)),ISNUMBER(SEARCH("일1.3",$H28)),ISNUMBER(SEARCH("일2.3",$H28)),ISNUMBER(SEARCH("일1.2.3",$H28))),1,"")</f>
        <v/>
      </c>
      <c r="AD28" s="319">
        <f>SUM(I28:AC28)</f>
        <v/>
      </c>
      <c r="AE28" s="323" t="n"/>
    </row>
    <row r="29" ht="24" customHeight="1">
      <c r="A29" s="168" t="n"/>
      <c r="B29" s="319" t="n"/>
      <c r="C29" s="319" t="n"/>
      <c r="D29" s="319" t="n"/>
      <c r="E29" s="341" t="n"/>
      <c r="F29" s="341" t="n"/>
      <c r="G29" s="342" t="n"/>
      <c r="H29" s="322" t="n"/>
      <c r="I29" s="319">
        <f>IF(ISNUMBER(SEARCH("월1",$H29)),1,"")</f>
        <v/>
      </c>
      <c r="J29" s="319">
        <f>IF(OR(ISNUMBER(SEARCH("월2",$H29)),ISNUMBER(SEARCH("월1.2",$H29))),1,"")</f>
        <v/>
      </c>
      <c r="K29" s="319">
        <f>IF(OR(ISNUMBER(SEARCH("월3",$H29)),ISNUMBER(SEARCH("월1.3",$H29)),ISNUMBER(SEARCH("월2.3",$H29)),ISNUMBER(SEARCH("월1.2.3",$H29))),1,"")</f>
        <v/>
      </c>
      <c r="L29" s="319">
        <f>IF(ISNUMBER(SEARCH("화1",$H29)),1,"")</f>
        <v/>
      </c>
      <c r="M29" s="319">
        <f>IF(OR(ISNUMBER(SEARCH("화2",$H29)),ISNUMBER(SEARCH("화1.2",$H29))),1,"")</f>
        <v/>
      </c>
      <c r="N29" s="319">
        <f>IF(OR(ISNUMBER(SEARCH("화3",$H29)),ISNUMBER(SEARCH("화1.3",$H29)),ISNUMBER(SEARCH("화2.3",$H29)),ISNUMBER(SEARCH("화1.2.3",$H29))),1,"")</f>
        <v/>
      </c>
      <c r="O29" s="319">
        <f>IF(ISNUMBER(SEARCH("수1",$H29)),1,"")</f>
        <v/>
      </c>
      <c r="P29" s="319">
        <f>IF(OR(ISNUMBER(SEARCH("수2",$H29)),ISNUMBER(SEARCH("수1.2",$H29))),1,"")</f>
        <v/>
      </c>
      <c r="Q29" s="319">
        <f>IF(OR(ISNUMBER(SEARCH("수3",$H29)),ISNUMBER(SEARCH("수1.3",$H29)),ISNUMBER(SEARCH("수2.3",$H29)),ISNUMBER(SEARCH("수1.2.3",$H29))),1,"")</f>
        <v/>
      </c>
      <c r="R29" s="319">
        <f>IF(ISNUMBER(SEARCH("목1",$H29)),1,"")</f>
        <v/>
      </c>
      <c r="S29" s="319">
        <f>IF(OR(ISNUMBER(SEARCH("목2",$H29)),ISNUMBER(SEARCH("목1.2",$H29))),1,"")</f>
        <v/>
      </c>
      <c r="T29" s="319">
        <f>IF(OR(ISNUMBER(SEARCH("목3",$H29)),ISNUMBER(SEARCH("목1.3",$H29)),ISNUMBER(SEARCH("목2.3",$H29)),ISNUMBER(SEARCH("목1.2.3",$H29))),1,"")</f>
        <v/>
      </c>
      <c r="U29" s="319">
        <f>IF(ISNUMBER(SEARCH("금1",$H29)),1,"")</f>
        <v/>
      </c>
      <c r="V29" s="319">
        <f>IF(OR(ISNUMBER(SEARCH("금2",$H29)),ISNUMBER(SEARCH("금1.2",$H29))),1,"")</f>
        <v/>
      </c>
      <c r="W29" s="319">
        <f>IF(OR(ISNUMBER(SEARCH("금3",$H29)),ISNUMBER(SEARCH("금1.3",$H29)),ISNUMBER(SEARCH("금2.3",$H29)),ISNUMBER(SEARCH("금1.2.3",$H29))),1,"")</f>
        <v/>
      </c>
      <c r="X29" s="319">
        <f>IF(ISNUMBER(SEARCH("토1",$H29)),1,"")</f>
        <v/>
      </c>
      <c r="Y29" s="319">
        <f>IF(OR(ISNUMBER(SEARCH("토2",$H29)),ISNUMBER(SEARCH("토1.2",$H29))),1,"")</f>
        <v/>
      </c>
      <c r="Z29" s="319">
        <f>IF(OR(ISNUMBER(SEARCH("토3",$H29)),ISNUMBER(SEARCH("토1.3",$H29)),ISNUMBER(SEARCH("토2.3",$H29)),ISNUMBER(SEARCH("토1.2.3",$H29))),1,"")</f>
        <v/>
      </c>
      <c r="AA29" s="319">
        <f>IF(ISNUMBER(SEARCH("일1",$H29)),1,"")</f>
        <v/>
      </c>
      <c r="AB29" s="319">
        <f>IF(OR(ISNUMBER(SEARCH("일2",$H29)),ISNUMBER(SEARCH("일1.2",$H29))),1,"")</f>
        <v/>
      </c>
      <c r="AC29" s="319">
        <f>IF(OR(ISNUMBER(SEARCH("일3",$H29)),ISNUMBER(SEARCH("일1.3",$H29)),ISNUMBER(SEARCH("일2.3",$H29)),ISNUMBER(SEARCH("일1.2.3",$H29))),1,"")</f>
        <v/>
      </c>
      <c r="AD29" s="319">
        <f>SUM(I29:AC29)</f>
        <v/>
      </c>
      <c r="AE29" s="323" t="n"/>
    </row>
    <row r="30" ht="24" customHeight="1">
      <c r="A30" s="168" t="n"/>
      <c r="B30" s="319" t="n"/>
      <c r="C30" s="319" t="n"/>
      <c r="D30" s="319" t="n"/>
      <c r="E30" s="341" t="n"/>
      <c r="F30" s="341" t="n"/>
      <c r="G30" s="342" t="n"/>
      <c r="H30" s="322" t="n"/>
      <c r="I30" s="319">
        <f>IF(ISNUMBER(SEARCH("월1",$H30)),1,"")</f>
        <v/>
      </c>
      <c r="J30" s="319">
        <f>IF(OR(ISNUMBER(SEARCH("월2",$H30)),ISNUMBER(SEARCH("월1.2",$H30))),1,"")</f>
        <v/>
      </c>
      <c r="K30" s="319">
        <f>IF(OR(ISNUMBER(SEARCH("월3",$H30)),ISNUMBER(SEARCH("월1.3",$H30)),ISNUMBER(SEARCH("월2.3",$H30)),ISNUMBER(SEARCH("월1.2.3",$H30))),1,"")</f>
        <v/>
      </c>
      <c r="L30" s="319">
        <f>IF(ISNUMBER(SEARCH("화1",$H30)),1,"")</f>
        <v/>
      </c>
      <c r="M30" s="319">
        <f>IF(OR(ISNUMBER(SEARCH("화2",$H30)),ISNUMBER(SEARCH("화1.2",$H30))),1,"")</f>
        <v/>
      </c>
      <c r="N30" s="319">
        <f>IF(OR(ISNUMBER(SEARCH("화3",$H30)),ISNUMBER(SEARCH("화1.3",$H30)),ISNUMBER(SEARCH("화2.3",$H30)),ISNUMBER(SEARCH("화1.2.3",$H30))),1,"")</f>
        <v/>
      </c>
      <c r="O30" s="319">
        <f>IF(ISNUMBER(SEARCH("수1",$H30)),1,"")</f>
        <v/>
      </c>
      <c r="P30" s="319">
        <f>IF(OR(ISNUMBER(SEARCH("수2",$H30)),ISNUMBER(SEARCH("수1.2",$H30))),1,"")</f>
        <v/>
      </c>
      <c r="Q30" s="319">
        <f>IF(OR(ISNUMBER(SEARCH("수3",$H30)),ISNUMBER(SEARCH("수1.3",$H30)),ISNUMBER(SEARCH("수2.3",$H30)),ISNUMBER(SEARCH("수1.2.3",$H30))),1,"")</f>
        <v/>
      </c>
      <c r="R30" s="319">
        <f>IF(ISNUMBER(SEARCH("목1",$H30)),1,"")</f>
        <v/>
      </c>
      <c r="S30" s="319">
        <f>IF(OR(ISNUMBER(SEARCH("목2",$H30)),ISNUMBER(SEARCH("목1.2",$H30))),1,"")</f>
        <v/>
      </c>
      <c r="T30" s="319">
        <f>IF(OR(ISNUMBER(SEARCH("목3",$H30)),ISNUMBER(SEARCH("목1.3",$H30)),ISNUMBER(SEARCH("목2.3",$H30)),ISNUMBER(SEARCH("목1.2.3",$H30))),1,"")</f>
        <v/>
      </c>
      <c r="U30" s="319">
        <f>IF(ISNUMBER(SEARCH("금1",$H30)),1,"")</f>
        <v/>
      </c>
      <c r="V30" s="319">
        <f>IF(OR(ISNUMBER(SEARCH("금2",$H30)),ISNUMBER(SEARCH("금1.2",$H30))),1,"")</f>
        <v/>
      </c>
      <c r="W30" s="319">
        <f>IF(OR(ISNUMBER(SEARCH("금3",$H30)),ISNUMBER(SEARCH("금1.3",$H30)),ISNUMBER(SEARCH("금2.3",$H30)),ISNUMBER(SEARCH("금1.2.3",$H30))),1,"")</f>
        <v/>
      </c>
      <c r="X30" s="319">
        <f>IF(ISNUMBER(SEARCH("토1",$H30)),1,"")</f>
        <v/>
      </c>
      <c r="Y30" s="319">
        <f>IF(OR(ISNUMBER(SEARCH("토2",$H30)),ISNUMBER(SEARCH("토1.2",$H30))),1,"")</f>
        <v/>
      </c>
      <c r="Z30" s="319">
        <f>IF(OR(ISNUMBER(SEARCH("토3",$H30)),ISNUMBER(SEARCH("토1.3",$H30)),ISNUMBER(SEARCH("토2.3",$H30)),ISNUMBER(SEARCH("토1.2.3",$H30))),1,"")</f>
        <v/>
      </c>
      <c r="AA30" s="319">
        <f>IF(ISNUMBER(SEARCH("일1",$H30)),1,"")</f>
        <v/>
      </c>
      <c r="AB30" s="319">
        <f>IF(OR(ISNUMBER(SEARCH("일2",$H30)),ISNUMBER(SEARCH("일1.2",$H30))),1,"")</f>
        <v/>
      </c>
      <c r="AC30" s="319">
        <f>IF(OR(ISNUMBER(SEARCH("일3",$H30)),ISNUMBER(SEARCH("일1.3",$H30)),ISNUMBER(SEARCH("일2.3",$H30)),ISNUMBER(SEARCH("일1.2.3",$H30))),1,"")</f>
        <v/>
      </c>
      <c r="AD30" s="319">
        <f>SUM(I30:AC30)</f>
        <v/>
      </c>
      <c r="AE30" s="323" t="n"/>
    </row>
    <row r="31" ht="24" customHeight="1">
      <c r="A31" s="168" t="n"/>
      <c r="B31" s="319" t="n"/>
      <c r="C31" s="319" t="n"/>
      <c r="D31" s="319" t="n"/>
      <c r="E31" s="341" t="n"/>
      <c r="F31" s="341" t="n"/>
      <c r="G31" s="342" t="n"/>
      <c r="H31" s="322" t="n"/>
      <c r="I31" s="319">
        <f>IF(ISNUMBER(SEARCH("월1",$H31)),1,"")</f>
        <v/>
      </c>
      <c r="J31" s="319">
        <f>IF(OR(ISNUMBER(SEARCH("월2",$H31)),ISNUMBER(SEARCH("월1.2",$H31))),1,"")</f>
        <v/>
      </c>
      <c r="K31" s="319">
        <f>IF(OR(ISNUMBER(SEARCH("월3",$H31)),ISNUMBER(SEARCH("월1.3",$H31)),ISNUMBER(SEARCH("월2.3",$H31)),ISNUMBER(SEARCH("월1.2.3",$H31))),1,"")</f>
        <v/>
      </c>
      <c r="L31" s="319">
        <f>IF(ISNUMBER(SEARCH("화1",$H31)),1,"")</f>
        <v/>
      </c>
      <c r="M31" s="319">
        <f>IF(OR(ISNUMBER(SEARCH("화2",$H31)),ISNUMBER(SEARCH("화1.2",$H31))),1,"")</f>
        <v/>
      </c>
      <c r="N31" s="319">
        <f>IF(OR(ISNUMBER(SEARCH("화3",$H31)),ISNUMBER(SEARCH("화1.3",$H31)),ISNUMBER(SEARCH("화2.3",$H31)),ISNUMBER(SEARCH("화1.2.3",$H31))),1,"")</f>
        <v/>
      </c>
      <c r="O31" s="319">
        <f>IF(ISNUMBER(SEARCH("수1",$H31)),1,"")</f>
        <v/>
      </c>
      <c r="P31" s="319">
        <f>IF(OR(ISNUMBER(SEARCH("수2",$H31)),ISNUMBER(SEARCH("수1.2",$H31))),1,"")</f>
        <v/>
      </c>
      <c r="Q31" s="319">
        <f>IF(OR(ISNUMBER(SEARCH("수3",$H31)),ISNUMBER(SEARCH("수1.3",$H31)),ISNUMBER(SEARCH("수2.3",$H31)),ISNUMBER(SEARCH("수1.2.3",$H31))),1,"")</f>
        <v/>
      </c>
      <c r="R31" s="319">
        <f>IF(ISNUMBER(SEARCH("목1",$H31)),1,"")</f>
        <v/>
      </c>
      <c r="S31" s="319">
        <f>IF(OR(ISNUMBER(SEARCH("목2",$H31)),ISNUMBER(SEARCH("목1.2",$H31))),1,"")</f>
        <v/>
      </c>
      <c r="T31" s="319">
        <f>IF(OR(ISNUMBER(SEARCH("목3",$H31)),ISNUMBER(SEARCH("목1.3",$H31)),ISNUMBER(SEARCH("목2.3",$H31)),ISNUMBER(SEARCH("목1.2.3",$H31))),1,"")</f>
        <v/>
      </c>
      <c r="U31" s="319">
        <f>IF(ISNUMBER(SEARCH("금1",$H31)),1,"")</f>
        <v/>
      </c>
      <c r="V31" s="319">
        <f>IF(OR(ISNUMBER(SEARCH("금2",$H31)),ISNUMBER(SEARCH("금1.2",$H31))),1,"")</f>
        <v/>
      </c>
      <c r="W31" s="319">
        <f>IF(OR(ISNUMBER(SEARCH("금3",$H31)),ISNUMBER(SEARCH("금1.3",$H31)),ISNUMBER(SEARCH("금2.3",$H31)),ISNUMBER(SEARCH("금1.2.3",$H31))),1,"")</f>
        <v/>
      </c>
      <c r="X31" s="319">
        <f>IF(ISNUMBER(SEARCH("토1",$H31)),1,"")</f>
        <v/>
      </c>
      <c r="Y31" s="319">
        <f>IF(OR(ISNUMBER(SEARCH("토2",$H31)),ISNUMBER(SEARCH("토1.2",$H31))),1,"")</f>
        <v/>
      </c>
      <c r="Z31" s="319">
        <f>IF(OR(ISNUMBER(SEARCH("토3",$H31)),ISNUMBER(SEARCH("토1.3",$H31)),ISNUMBER(SEARCH("토2.3",$H31)),ISNUMBER(SEARCH("토1.2.3",$H31))),1,"")</f>
        <v/>
      </c>
      <c r="AA31" s="319">
        <f>IF(ISNUMBER(SEARCH("일1",$H31)),1,"")</f>
        <v/>
      </c>
      <c r="AB31" s="319">
        <f>IF(OR(ISNUMBER(SEARCH("일2",$H31)),ISNUMBER(SEARCH("일1.2",$H31))),1,"")</f>
        <v/>
      </c>
      <c r="AC31" s="319">
        <f>IF(OR(ISNUMBER(SEARCH("일3",$H31)),ISNUMBER(SEARCH("일1.3",$H31)),ISNUMBER(SEARCH("일2.3",$H31)),ISNUMBER(SEARCH("일1.2.3",$H31))),1,"")</f>
        <v/>
      </c>
      <c r="AD31" s="319">
        <f>SUM(I31:AC31)</f>
        <v/>
      </c>
      <c r="AE31" s="323" t="n"/>
    </row>
    <row r="32" ht="24" customHeight="1">
      <c r="A32" s="168" t="n"/>
      <c r="B32" s="319" t="n"/>
      <c r="C32" s="319" t="n"/>
      <c r="D32" s="319" t="n"/>
      <c r="E32" s="341" t="n"/>
      <c r="F32" s="341" t="n"/>
      <c r="G32" s="342" t="n"/>
      <c r="H32" s="322" t="n"/>
      <c r="I32" s="319">
        <f>IF(ISNUMBER(SEARCH("월1",$H32)),1,"")</f>
        <v/>
      </c>
      <c r="J32" s="319">
        <f>IF(OR(ISNUMBER(SEARCH("월2",$H32)),ISNUMBER(SEARCH("월1.2",$H32))),1,"")</f>
        <v/>
      </c>
      <c r="K32" s="319">
        <f>IF(OR(ISNUMBER(SEARCH("월3",$H32)),ISNUMBER(SEARCH("월1.3",$H32)),ISNUMBER(SEARCH("월2.3",$H32)),ISNUMBER(SEARCH("월1.2.3",$H32))),1,"")</f>
        <v/>
      </c>
      <c r="L32" s="319">
        <f>IF(ISNUMBER(SEARCH("화1",$H32)),1,"")</f>
        <v/>
      </c>
      <c r="M32" s="319">
        <f>IF(OR(ISNUMBER(SEARCH("화2",$H32)),ISNUMBER(SEARCH("화1.2",$H32))),1,"")</f>
        <v/>
      </c>
      <c r="N32" s="319">
        <f>IF(OR(ISNUMBER(SEARCH("화3",$H32)),ISNUMBER(SEARCH("화1.3",$H32)),ISNUMBER(SEARCH("화2.3",$H32)),ISNUMBER(SEARCH("화1.2.3",$H32))),1,"")</f>
        <v/>
      </c>
      <c r="O32" s="319">
        <f>IF(ISNUMBER(SEARCH("수1",$H32)),1,"")</f>
        <v/>
      </c>
      <c r="P32" s="319">
        <f>IF(OR(ISNUMBER(SEARCH("수2",$H32)),ISNUMBER(SEARCH("수1.2",$H32))),1,"")</f>
        <v/>
      </c>
      <c r="Q32" s="319">
        <f>IF(OR(ISNUMBER(SEARCH("수3",$H32)),ISNUMBER(SEARCH("수1.3",$H32)),ISNUMBER(SEARCH("수2.3",$H32)),ISNUMBER(SEARCH("수1.2.3",$H32))),1,"")</f>
        <v/>
      </c>
      <c r="R32" s="319">
        <f>IF(ISNUMBER(SEARCH("목1",$H32)),1,"")</f>
        <v/>
      </c>
      <c r="S32" s="319">
        <f>IF(OR(ISNUMBER(SEARCH("목2",$H32)),ISNUMBER(SEARCH("목1.2",$H32))),1,"")</f>
        <v/>
      </c>
      <c r="T32" s="319">
        <f>IF(OR(ISNUMBER(SEARCH("목3",$H32)),ISNUMBER(SEARCH("목1.3",$H32)),ISNUMBER(SEARCH("목2.3",$H32)),ISNUMBER(SEARCH("목1.2.3",$H32))),1,"")</f>
        <v/>
      </c>
      <c r="U32" s="319">
        <f>IF(ISNUMBER(SEARCH("금1",$H32)),1,"")</f>
        <v/>
      </c>
      <c r="V32" s="319">
        <f>IF(OR(ISNUMBER(SEARCH("금2",$H32)),ISNUMBER(SEARCH("금1.2",$H32))),1,"")</f>
        <v/>
      </c>
      <c r="W32" s="319">
        <f>IF(OR(ISNUMBER(SEARCH("금3",$H32)),ISNUMBER(SEARCH("금1.3",$H32)),ISNUMBER(SEARCH("금2.3",$H32)),ISNUMBER(SEARCH("금1.2.3",$H32))),1,"")</f>
        <v/>
      </c>
      <c r="X32" s="319">
        <f>IF(ISNUMBER(SEARCH("토1",$H32)),1,"")</f>
        <v/>
      </c>
      <c r="Y32" s="319">
        <f>IF(OR(ISNUMBER(SEARCH("토2",$H32)),ISNUMBER(SEARCH("토1.2",$H32))),1,"")</f>
        <v/>
      </c>
      <c r="Z32" s="319">
        <f>IF(OR(ISNUMBER(SEARCH("토3",$H32)),ISNUMBER(SEARCH("토1.3",$H32)),ISNUMBER(SEARCH("토2.3",$H32)),ISNUMBER(SEARCH("토1.2.3",$H32))),1,"")</f>
        <v/>
      </c>
      <c r="AA32" s="319">
        <f>IF(ISNUMBER(SEARCH("일1",$H32)),1,"")</f>
        <v/>
      </c>
      <c r="AB32" s="319">
        <f>IF(OR(ISNUMBER(SEARCH("일2",$H32)),ISNUMBER(SEARCH("일1.2",$H32))),1,"")</f>
        <v/>
      </c>
      <c r="AC32" s="319">
        <f>IF(OR(ISNUMBER(SEARCH("일3",$H32)),ISNUMBER(SEARCH("일1.3",$H32)),ISNUMBER(SEARCH("일2.3",$H32)),ISNUMBER(SEARCH("일1.2.3",$H32))),1,"")</f>
        <v/>
      </c>
      <c r="AD32" s="319">
        <f>SUM(I32:AC32)</f>
        <v/>
      </c>
      <c r="AE32" s="323" t="n"/>
    </row>
    <row r="33" ht="24" customHeight="1">
      <c r="A33" s="168" t="n"/>
      <c r="B33" s="319" t="n"/>
      <c r="C33" s="319" t="n"/>
      <c r="D33" s="319" t="n"/>
      <c r="E33" s="341" t="n"/>
      <c r="F33" s="341" t="n"/>
      <c r="G33" s="342" t="n"/>
      <c r="H33" s="322" t="n"/>
      <c r="I33" s="319">
        <f>IF(ISNUMBER(SEARCH("월1",$H33)),1,"")</f>
        <v/>
      </c>
      <c r="J33" s="319">
        <f>IF(OR(ISNUMBER(SEARCH("월2",$H33)),ISNUMBER(SEARCH("월1.2",$H33))),1,"")</f>
        <v/>
      </c>
      <c r="K33" s="319">
        <f>IF(OR(ISNUMBER(SEARCH("월3",$H33)),ISNUMBER(SEARCH("월1.3",$H33)),ISNUMBER(SEARCH("월2.3",$H33)),ISNUMBER(SEARCH("월1.2.3",$H33))),1,"")</f>
        <v/>
      </c>
      <c r="L33" s="319">
        <f>IF(ISNUMBER(SEARCH("화1",$H33)),1,"")</f>
        <v/>
      </c>
      <c r="M33" s="319">
        <f>IF(OR(ISNUMBER(SEARCH("화2",$H33)),ISNUMBER(SEARCH("화1.2",$H33))),1,"")</f>
        <v/>
      </c>
      <c r="N33" s="319">
        <f>IF(OR(ISNUMBER(SEARCH("화3",$H33)),ISNUMBER(SEARCH("화1.3",$H33)),ISNUMBER(SEARCH("화2.3",$H33)),ISNUMBER(SEARCH("화1.2.3",$H33))),1,"")</f>
        <v/>
      </c>
      <c r="O33" s="319">
        <f>IF(ISNUMBER(SEARCH("수1",$H33)),1,"")</f>
        <v/>
      </c>
      <c r="P33" s="319">
        <f>IF(OR(ISNUMBER(SEARCH("수2",$H33)),ISNUMBER(SEARCH("수1.2",$H33))),1,"")</f>
        <v/>
      </c>
      <c r="Q33" s="319">
        <f>IF(OR(ISNUMBER(SEARCH("수3",$H33)),ISNUMBER(SEARCH("수1.3",$H33)),ISNUMBER(SEARCH("수2.3",$H33)),ISNUMBER(SEARCH("수1.2.3",$H33))),1,"")</f>
        <v/>
      </c>
      <c r="R33" s="319">
        <f>IF(ISNUMBER(SEARCH("목1",$H33)),1,"")</f>
        <v/>
      </c>
      <c r="S33" s="319">
        <f>IF(OR(ISNUMBER(SEARCH("목2",$H33)),ISNUMBER(SEARCH("목1.2",$H33))),1,"")</f>
        <v/>
      </c>
      <c r="T33" s="319">
        <f>IF(OR(ISNUMBER(SEARCH("목3",$H33)),ISNUMBER(SEARCH("목1.3",$H33)),ISNUMBER(SEARCH("목2.3",$H33)),ISNUMBER(SEARCH("목1.2.3",$H33))),1,"")</f>
        <v/>
      </c>
      <c r="U33" s="319">
        <f>IF(ISNUMBER(SEARCH("금1",$H33)),1,"")</f>
        <v/>
      </c>
      <c r="V33" s="319">
        <f>IF(OR(ISNUMBER(SEARCH("금2",$H33)),ISNUMBER(SEARCH("금1.2",$H33))),1,"")</f>
        <v/>
      </c>
      <c r="W33" s="319">
        <f>IF(OR(ISNUMBER(SEARCH("금3",$H33)),ISNUMBER(SEARCH("금1.3",$H33)),ISNUMBER(SEARCH("금2.3",$H33)),ISNUMBER(SEARCH("금1.2.3",$H33))),1,"")</f>
        <v/>
      </c>
      <c r="X33" s="319">
        <f>IF(ISNUMBER(SEARCH("토1",$H33)),1,"")</f>
        <v/>
      </c>
      <c r="Y33" s="319">
        <f>IF(OR(ISNUMBER(SEARCH("토2",$H33)),ISNUMBER(SEARCH("토1.2",$H33))),1,"")</f>
        <v/>
      </c>
      <c r="Z33" s="319">
        <f>IF(OR(ISNUMBER(SEARCH("토3",$H33)),ISNUMBER(SEARCH("토1.3",$H33)),ISNUMBER(SEARCH("토2.3",$H33)),ISNUMBER(SEARCH("토1.2.3",$H33))),1,"")</f>
        <v/>
      </c>
      <c r="AA33" s="319">
        <f>IF(ISNUMBER(SEARCH("일1",$H33)),1,"")</f>
        <v/>
      </c>
      <c r="AB33" s="319">
        <f>IF(OR(ISNUMBER(SEARCH("일2",$H33)),ISNUMBER(SEARCH("일1.2",$H33))),1,"")</f>
        <v/>
      </c>
      <c r="AC33" s="319">
        <f>IF(OR(ISNUMBER(SEARCH("일3",$H33)),ISNUMBER(SEARCH("일1.3",$H33)),ISNUMBER(SEARCH("일2.3",$H33)),ISNUMBER(SEARCH("일1.2.3",$H33))),1,"")</f>
        <v/>
      </c>
      <c r="AD33" s="319">
        <f>SUM(I33:AC33)</f>
        <v/>
      </c>
      <c r="AE33" s="323" t="n"/>
    </row>
    <row r="34" ht="24" customHeight="1">
      <c r="A34" s="168" t="n"/>
      <c r="B34" s="319" t="n"/>
      <c r="C34" s="319" t="n"/>
      <c r="D34" s="319" t="n"/>
      <c r="E34" s="341" t="n"/>
      <c r="F34" s="341" t="n"/>
      <c r="G34" s="342" t="n"/>
      <c r="H34" s="322" t="n"/>
      <c r="I34" s="319">
        <f>IF(ISNUMBER(SEARCH("월1",$H34)),1,"")</f>
        <v/>
      </c>
      <c r="J34" s="319">
        <f>IF(OR(ISNUMBER(SEARCH("월2",$H34)),ISNUMBER(SEARCH("월1.2",$H34))),1,"")</f>
        <v/>
      </c>
      <c r="K34" s="319">
        <f>IF(OR(ISNUMBER(SEARCH("월3",$H34)),ISNUMBER(SEARCH("월1.3",$H34)),ISNUMBER(SEARCH("월2.3",$H34)),ISNUMBER(SEARCH("월1.2.3",$H34))),1,"")</f>
        <v/>
      </c>
      <c r="L34" s="319">
        <f>IF(ISNUMBER(SEARCH("화1",$H34)),1,"")</f>
        <v/>
      </c>
      <c r="M34" s="319">
        <f>IF(OR(ISNUMBER(SEARCH("화2",$H34)),ISNUMBER(SEARCH("화1.2",$H34))),1,"")</f>
        <v/>
      </c>
      <c r="N34" s="319">
        <f>IF(OR(ISNUMBER(SEARCH("화3",$H34)),ISNUMBER(SEARCH("화1.3",$H34)),ISNUMBER(SEARCH("화2.3",$H34)),ISNUMBER(SEARCH("화1.2.3",$H34))),1,"")</f>
        <v/>
      </c>
      <c r="O34" s="319">
        <f>IF(ISNUMBER(SEARCH("수1",$H34)),1,"")</f>
        <v/>
      </c>
      <c r="P34" s="319">
        <f>IF(OR(ISNUMBER(SEARCH("수2",$H34)),ISNUMBER(SEARCH("수1.2",$H34))),1,"")</f>
        <v/>
      </c>
      <c r="Q34" s="319">
        <f>IF(OR(ISNUMBER(SEARCH("수3",$H34)),ISNUMBER(SEARCH("수1.3",$H34)),ISNUMBER(SEARCH("수2.3",$H34)),ISNUMBER(SEARCH("수1.2.3",$H34))),1,"")</f>
        <v/>
      </c>
      <c r="R34" s="319">
        <f>IF(ISNUMBER(SEARCH("목1",$H34)),1,"")</f>
        <v/>
      </c>
      <c r="S34" s="319">
        <f>IF(OR(ISNUMBER(SEARCH("목2",$H34)),ISNUMBER(SEARCH("목1.2",$H34))),1,"")</f>
        <v/>
      </c>
      <c r="T34" s="319">
        <f>IF(OR(ISNUMBER(SEARCH("목3",$H34)),ISNUMBER(SEARCH("목1.3",$H34)),ISNUMBER(SEARCH("목2.3",$H34)),ISNUMBER(SEARCH("목1.2.3",$H34))),1,"")</f>
        <v/>
      </c>
      <c r="U34" s="319">
        <f>IF(ISNUMBER(SEARCH("금1",$H34)),1,"")</f>
        <v/>
      </c>
      <c r="V34" s="319">
        <f>IF(OR(ISNUMBER(SEARCH("금2",$H34)),ISNUMBER(SEARCH("금1.2",$H34))),1,"")</f>
        <v/>
      </c>
      <c r="W34" s="319">
        <f>IF(OR(ISNUMBER(SEARCH("금3",$H34)),ISNUMBER(SEARCH("금1.3",$H34)),ISNUMBER(SEARCH("금2.3",$H34)),ISNUMBER(SEARCH("금1.2.3",$H34))),1,"")</f>
        <v/>
      </c>
      <c r="X34" s="319">
        <f>IF(ISNUMBER(SEARCH("토1",$H34)),1,"")</f>
        <v/>
      </c>
      <c r="Y34" s="319">
        <f>IF(OR(ISNUMBER(SEARCH("토2",$H34)),ISNUMBER(SEARCH("토1.2",$H34))),1,"")</f>
        <v/>
      </c>
      <c r="Z34" s="319">
        <f>IF(OR(ISNUMBER(SEARCH("토3",$H34)),ISNUMBER(SEARCH("토1.3",$H34)),ISNUMBER(SEARCH("토2.3",$H34)),ISNUMBER(SEARCH("토1.2.3",$H34))),1,"")</f>
        <v/>
      </c>
      <c r="AA34" s="319">
        <f>IF(ISNUMBER(SEARCH("일1",$H34)),1,"")</f>
        <v/>
      </c>
      <c r="AB34" s="319">
        <f>IF(OR(ISNUMBER(SEARCH("일2",$H34)),ISNUMBER(SEARCH("일1.2",$H34))),1,"")</f>
        <v/>
      </c>
      <c r="AC34" s="319">
        <f>IF(OR(ISNUMBER(SEARCH("일3",$H34)),ISNUMBER(SEARCH("일1.3",$H34)),ISNUMBER(SEARCH("일2.3",$H34)),ISNUMBER(SEARCH("일1.2.3",$H34))),1,"")</f>
        <v/>
      </c>
      <c r="AD34" s="319">
        <f>SUM(I34:AC34)</f>
        <v/>
      </c>
      <c r="AE34" s="323" t="n"/>
    </row>
    <row r="35" ht="24" customHeight="1">
      <c r="A35" s="168" t="n"/>
      <c r="B35" s="319" t="n"/>
      <c r="C35" s="319" t="n"/>
      <c r="D35" s="319" t="n"/>
      <c r="E35" s="341" t="n"/>
      <c r="F35" s="341" t="n"/>
      <c r="G35" s="342" t="n"/>
      <c r="H35" s="322" t="n"/>
      <c r="I35" s="319">
        <f>IF(ISNUMBER(SEARCH("월1",$H35)),1,"")</f>
        <v/>
      </c>
      <c r="J35" s="319">
        <f>IF(OR(ISNUMBER(SEARCH("월2",$H35)),ISNUMBER(SEARCH("월1.2",$H35))),1,"")</f>
        <v/>
      </c>
      <c r="K35" s="319">
        <f>IF(OR(ISNUMBER(SEARCH("월3",$H35)),ISNUMBER(SEARCH("월1.3",$H35)),ISNUMBER(SEARCH("월2.3",$H35)),ISNUMBER(SEARCH("월1.2.3",$H35))),1,"")</f>
        <v/>
      </c>
      <c r="L35" s="319">
        <f>IF(ISNUMBER(SEARCH("화1",$H35)),1,"")</f>
        <v/>
      </c>
      <c r="M35" s="319">
        <f>IF(OR(ISNUMBER(SEARCH("화2",$H35)),ISNUMBER(SEARCH("화1.2",$H35))),1,"")</f>
        <v/>
      </c>
      <c r="N35" s="319">
        <f>IF(OR(ISNUMBER(SEARCH("화3",$H35)),ISNUMBER(SEARCH("화1.3",$H35)),ISNUMBER(SEARCH("화2.3",$H35)),ISNUMBER(SEARCH("화1.2.3",$H35))),1,"")</f>
        <v/>
      </c>
      <c r="O35" s="319">
        <f>IF(ISNUMBER(SEARCH("수1",$H35)),1,"")</f>
        <v/>
      </c>
      <c r="P35" s="319">
        <f>IF(OR(ISNUMBER(SEARCH("수2",$H35)),ISNUMBER(SEARCH("수1.2",$H35))),1,"")</f>
        <v/>
      </c>
      <c r="Q35" s="319">
        <f>IF(OR(ISNUMBER(SEARCH("수3",$H35)),ISNUMBER(SEARCH("수1.3",$H35)),ISNUMBER(SEARCH("수2.3",$H35)),ISNUMBER(SEARCH("수1.2.3",$H35))),1,"")</f>
        <v/>
      </c>
      <c r="R35" s="319">
        <f>IF(ISNUMBER(SEARCH("목1",$H35)),1,"")</f>
        <v/>
      </c>
      <c r="S35" s="319">
        <f>IF(OR(ISNUMBER(SEARCH("목2",$H35)),ISNUMBER(SEARCH("목1.2",$H35))),1,"")</f>
        <v/>
      </c>
      <c r="T35" s="319">
        <f>IF(OR(ISNUMBER(SEARCH("목3",$H35)),ISNUMBER(SEARCH("목1.3",$H35)),ISNUMBER(SEARCH("목2.3",$H35)),ISNUMBER(SEARCH("목1.2.3",$H35))),1,"")</f>
        <v/>
      </c>
      <c r="U35" s="319">
        <f>IF(ISNUMBER(SEARCH("금1",$H35)),1,"")</f>
        <v/>
      </c>
      <c r="V35" s="319">
        <f>IF(OR(ISNUMBER(SEARCH("금2",$H35)),ISNUMBER(SEARCH("금1.2",$H35))),1,"")</f>
        <v/>
      </c>
      <c r="W35" s="319">
        <f>IF(OR(ISNUMBER(SEARCH("금3",$H35)),ISNUMBER(SEARCH("금1.3",$H35)),ISNUMBER(SEARCH("금2.3",$H35)),ISNUMBER(SEARCH("금1.2.3",$H35))),1,"")</f>
        <v/>
      </c>
      <c r="X35" s="319">
        <f>IF(ISNUMBER(SEARCH("토1",$H35)),1,"")</f>
        <v/>
      </c>
      <c r="Y35" s="319">
        <f>IF(OR(ISNUMBER(SEARCH("토2",$H35)),ISNUMBER(SEARCH("토1.2",$H35))),1,"")</f>
        <v/>
      </c>
      <c r="Z35" s="319">
        <f>IF(OR(ISNUMBER(SEARCH("토3",$H35)),ISNUMBER(SEARCH("토1.3",$H35)),ISNUMBER(SEARCH("토2.3",$H35)),ISNUMBER(SEARCH("토1.2.3",$H35))),1,"")</f>
        <v/>
      </c>
      <c r="AA35" s="319">
        <f>IF(ISNUMBER(SEARCH("일1",$H35)),1,"")</f>
        <v/>
      </c>
      <c r="AB35" s="319">
        <f>IF(OR(ISNUMBER(SEARCH("일2",$H35)),ISNUMBER(SEARCH("일1.2",$H35))),1,"")</f>
        <v/>
      </c>
      <c r="AC35" s="319">
        <f>IF(OR(ISNUMBER(SEARCH("일3",$H35)),ISNUMBER(SEARCH("일1.3",$H35)),ISNUMBER(SEARCH("일2.3",$H35)),ISNUMBER(SEARCH("일1.2.3",$H35))),1,"")</f>
        <v/>
      </c>
      <c r="AD35" s="319">
        <f>SUM(I35:AC35)</f>
        <v/>
      </c>
      <c r="AE35" s="323" t="n"/>
    </row>
    <row r="36" ht="24" customHeight="1">
      <c r="A36" s="168" t="n"/>
      <c r="B36" s="319" t="n"/>
      <c r="C36" s="319" t="n"/>
      <c r="D36" s="319" t="n"/>
      <c r="E36" s="341" t="n"/>
      <c r="F36" s="341" t="n"/>
      <c r="G36" s="342" t="n"/>
      <c r="H36" s="322" t="n"/>
      <c r="I36" s="319">
        <f>IF(ISNUMBER(SEARCH("월1",$H36)),1,"")</f>
        <v/>
      </c>
      <c r="J36" s="319">
        <f>IF(OR(ISNUMBER(SEARCH("월2",$H36)),ISNUMBER(SEARCH("월1.2",$H36))),1,"")</f>
        <v/>
      </c>
      <c r="K36" s="319">
        <f>IF(OR(ISNUMBER(SEARCH("월3",$H36)),ISNUMBER(SEARCH("월1.3",$H36)),ISNUMBER(SEARCH("월2.3",$H36)),ISNUMBER(SEARCH("월1.2.3",$H36))),1,"")</f>
        <v/>
      </c>
      <c r="L36" s="319">
        <f>IF(ISNUMBER(SEARCH("화1",$H36)),1,"")</f>
        <v/>
      </c>
      <c r="M36" s="319">
        <f>IF(OR(ISNUMBER(SEARCH("화2",$H36)),ISNUMBER(SEARCH("화1.2",$H36))),1,"")</f>
        <v/>
      </c>
      <c r="N36" s="319">
        <f>IF(OR(ISNUMBER(SEARCH("화3",$H36)),ISNUMBER(SEARCH("화1.3",$H36)),ISNUMBER(SEARCH("화2.3",$H36)),ISNUMBER(SEARCH("화1.2.3",$H36))),1,"")</f>
        <v/>
      </c>
      <c r="O36" s="319">
        <f>IF(ISNUMBER(SEARCH("수1",$H36)),1,"")</f>
        <v/>
      </c>
      <c r="P36" s="319">
        <f>IF(OR(ISNUMBER(SEARCH("수2",$H36)),ISNUMBER(SEARCH("수1.2",$H36))),1,"")</f>
        <v/>
      </c>
      <c r="Q36" s="319">
        <f>IF(OR(ISNUMBER(SEARCH("수3",$H36)),ISNUMBER(SEARCH("수1.3",$H36)),ISNUMBER(SEARCH("수2.3",$H36)),ISNUMBER(SEARCH("수1.2.3",$H36))),1,"")</f>
        <v/>
      </c>
      <c r="R36" s="319">
        <f>IF(ISNUMBER(SEARCH("목1",$H36)),1,"")</f>
        <v/>
      </c>
      <c r="S36" s="319">
        <f>IF(OR(ISNUMBER(SEARCH("목2",$H36)),ISNUMBER(SEARCH("목1.2",$H36))),1,"")</f>
        <v/>
      </c>
      <c r="T36" s="319">
        <f>IF(OR(ISNUMBER(SEARCH("목3",$H36)),ISNUMBER(SEARCH("목1.3",$H36)),ISNUMBER(SEARCH("목2.3",$H36)),ISNUMBER(SEARCH("목1.2.3",$H36))),1,"")</f>
        <v/>
      </c>
      <c r="U36" s="319">
        <f>IF(ISNUMBER(SEARCH("금1",$H36)),1,"")</f>
        <v/>
      </c>
      <c r="V36" s="319">
        <f>IF(OR(ISNUMBER(SEARCH("금2",$H36)),ISNUMBER(SEARCH("금1.2",$H36))),1,"")</f>
        <v/>
      </c>
      <c r="W36" s="319">
        <f>IF(OR(ISNUMBER(SEARCH("금3",$H36)),ISNUMBER(SEARCH("금1.3",$H36)),ISNUMBER(SEARCH("금2.3",$H36)),ISNUMBER(SEARCH("금1.2.3",$H36))),1,"")</f>
        <v/>
      </c>
      <c r="X36" s="319">
        <f>IF(ISNUMBER(SEARCH("토1",$H36)),1,"")</f>
        <v/>
      </c>
      <c r="Y36" s="319">
        <f>IF(OR(ISNUMBER(SEARCH("토2",$H36)),ISNUMBER(SEARCH("토1.2",$H36))),1,"")</f>
        <v/>
      </c>
      <c r="Z36" s="319">
        <f>IF(OR(ISNUMBER(SEARCH("토3",$H36)),ISNUMBER(SEARCH("토1.3",$H36)),ISNUMBER(SEARCH("토2.3",$H36)),ISNUMBER(SEARCH("토1.2.3",$H36))),1,"")</f>
        <v/>
      </c>
      <c r="AA36" s="319">
        <f>IF(ISNUMBER(SEARCH("일1",$H36)),1,"")</f>
        <v/>
      </c>
      <c r="AB36" s="319">
        <f>IF(OR(ISNUMBER(SEARCH("일2",$H36)),ISNUMBER(SEARCH("일1.2",$H36))),1,"")</f>
        <v/>
      </c>
      <c r="AC36" s="319">
        <f>IF(OR(ISNUMBER(SEARCH("일3",$H36)),ISNUMBER(SEARCH("일1.3",$H36)),ISNUMBER(SEARCH("일2.3",$H36)),ISNUMBER(SEARCH("일1.2.3",$H36))),1,"")</f>
        <v/>
      </c>
      <c r="AD36" s="319">
        <f>SUM(I36:AC36)</f>
        <v/>
      </c>
      <c r="AE36" s="323" t="n"/>
    </row>
    <row r="37" ht="24" customHeight="1">
      <c r="A37" s="168" t="n"/>
      <c r="B37" s="319" t="n"/>
      <c r="C37" s="319" t="n"/>
      <c r="D37" s="319" t="n"/>
      <c r="E37" s="341" t="n"/>
      <c r="F37" s="341" t="n"/>
      <c r="G37" s="342" t="n"/>
      <c r="H37" s="322" t="n"/>
      <c r="I37" s="319">
        <f>IF(ISNUMBER(SEARCH("월1",$H37)),1,"")</f>
        <v/>
      </c>
      <c r="J37" s="319">
        <f>IF(OR(ISNUMBER(SEARCH("월2",$H37)),ISNUMBER(SEARCH("월1.2",$H37))),1,"")</f>
        <v/>
      </c>
      <c r="K37" s="319">
        <f>IF(OR(ISNUMBER(SEARCH("월3",$H37)),ISNUMBER(SEARCH("월1.3",$H37)),ISNUMBER(SEARCH("월2.3",$H37)),ISNUMBER(SEARCH("월1.2.3",$H37))),1,"")</f>
        <v/>
      </c>
      <c r="L37" s="319">
        <f>IF(ISNUMBER(SEARCH("화1",$H37)),1,"")</f>
        <v/>
      </c>
      <c r="M37" s="319">
        <f>IF(OR(ISNUMBER(SEARCH("화2",$H37)),ISNUMBER(SEARCH("화1.2",$H37))),1,"")</f>
        <v/>
      </c>
      <c r="N37" s="319">
        <f>IF(OR(ISNUMBER(SEARCH("화3",$H37)),ISNUMBER(SEARCH("화1.3",$H37)),ISNUMBER(SEARCH("화2.3",$H37)),ISNUMBER(SEARCH("화1.2.3",$H37))),1,"")</f>
        <v/>
      </c>
      <c r="O37" s="319">
        <f>IF(ISNUMBER(SEARCH("수1",$H37)),1,"")</f>
        <v/>
      </c>
      <c r="P37" s="319">
        <f>IF(OR(ISNUMBER(SEARCH("수2",$H37)),ISNUMBER(SEARCH("수1.2",$H37))),1,"")</f>
        <v/>
      </c>
      <c r="Q37" s="319">
        <f>IF(OR(ISNUMBER(SEARCH("수3",$H37)),ISNUMBER(SEARCH("수1.3",$H37)),ISNUMBER(SEARCH("수2.3",$H37)),ISNUMBER(SEARCH("수1.2.3",$H37))),1,"")</f>
        <v/>
      </c>
      <c r="R37" s="319">
        <f>IF(ISNUMBER(SEARCH("목1",$H37)),1,"")</f>
        <v/>
      </c>
      <c r="S37" s="319">
        <f>IF(OR(ISNUMBER(SEARCH("목2",$H37)),ISNUMBER(SEARCH("목1.2",$H37))),1,"")</f>
        <v/>
      </c>
      <c r="T37" s="319">
        <f>IF(OR(ISNUMBER(SEARCH("목3",$H37)),ISNUMBER(SEARCH("목1.3",$H37)),ISNUMBER(SEARCH("목2.3",$H37)),ISNUMBER(SEARCH("목1.2.3",$H37))),1,"")</f>
        <v/>
      </c>
      <c r="U37" s="319">
        <f>IF(ISNUMBER(SEARCH("금1",$H37)),1,"")</f>
        <v/>
      </c>
      <c r="V37" s="319">
        <f>IF(OR(ISNUMBER(SEARCH("금2",$H37)),ISNUMBER(SEARCH("금1.2",$H37))),1,"")</f>
        <v/>
      </c>
      <c r="W37" s="319">
        <f>IF(OR(ISNUMBER(SEARCH("금3",$H37)),ISNUMBER(SEARCH("금1.3",$H37)),ISNUMBER(SEARCH("금2.3",$H37)),ISNUMBER(SEARCH("금1.2.3",$H37))),1,"")</f>
        <v/>
      </c>
      <c r="X37" s="319">
        <f>IF(ISNUMBER(SEARCH("토1",$H37)),1,"")</f>
        <v/>
      </c>
      <c r="Y37" s="319">
        <f>IF(OR(ISNUMBER(SEARCH("토2",$H37)),ISNUMBER(SEARCH("토1.2",$H37))),1,"")</f>
        <v/>
      </c>
      <c r="Z37" s="319">
        <f>IF(OR(ISNUMBER(SEARCH("토3",$H37)),ISNUMBER(SEARCH("토1.3",$H37)),ISNUMBER(SEARCH("토2.3",$H37)),ISNUMBER(SEARCH("토1.2.3",$H37))),1,"")</f>
        <v/>
      </c>
      <c r="AA37" s="319">
        <f>IF(ISNUMBER(SEARCH("일1",$H37)),1,"")</f>
        <v/>
      </c>
      <c r="AB37" s="319">
        <f>IF(OR(ISNUMBER(SEARCH("일2",$H37)),ISNUMBER(SEARCH("일1.2",$H37))),1,"")</f>
        <v/>
      </c>
      <c r="AC37" s="319">
        <f>IF(OR(ISNUMBER(SEARCH("일3",$H37)),ISNUMBER(SEARCH("일1.3",$H37)),ISNUMBER(SEARCH("일2.3",$H37)),ISNUMBER(SEARCH("일1.2.3",$H37))),1,"")</f>
        <v/>
      </c>
      <c r="AD37" s="319">
        <f>SUM(I37:AC37)</f>
        <v/>
      </c>
      <c r="AE37" s="323" t="n"/>
    </row>
    <row r="38" ht="24" customHeight="1">
      <c r="A38" s="168" t="n"/>
      <c r="B38" s="319" t="n"/>
      <c r="C38" s="319" t="n"/>
      <c r="D38" s="319" t="n"/>
      <c r="E38" s="341" t="n"/>
      <c r="F38" s="341" t="n"/>
      <c r="G38" s="342" t="n"/>
      <c r="H38" s="322" t="n"/>
      <c r="I38" s="319">
        <f>IF(ISNUMBER(SEARCH("월1",$H38)),1,"")</f>
        <v/>
      </c>
      <c r="J38" s="319">
        <f>IF(OR(ISNUMBER(SEARCH("월2",$H38)),ISNUMBER(SEARCH("월1.2",$H38))),1,"")</f>
        <v/>
      </c>
      <c r="K38" s="319">
        <f>IF(OR(ISNUMBER(SEARCH("월3",$H38)),ISNUMBER(SEARCH("월1.3",$H38)),ISNUMBER(SEARCH("월2.3",$H38)),ISNUMBER(SEARCH("월1.2.3",$H38))),1,"")</f>
        <v/>
      </c>
      <c r="L38" s="319">
        <f>IF(ISNUMBER(SEARCH("화1",$H38)),1,"")</f>
        <v/>
      </c>
      <c r="M38" s="319">
        <f>IF(OR(ISNUMBER(SEARCH("화2",$H38)),ISNUMBER(SEARCH("화1.2",$H38))),1,"")</f>
        <v/>
      </c>
      <c r="N38" s="319">
        <f>IF(OR(ISNUMBER(SEARCH("화3",$H38)),ISNUMBER(SEARCH("화1.3",$H38)),ISNUMBER(SEARCH("화2.3",$H38)),ISNUMBER(SEARCH("화1.2.3",$H38))),1,"")</f>
        <v/>
      </c>
      <c r="O38" s="319">
        <f>IF(ISNUMBER(SEARCH("수1",$H38)),1,"")</f>
        <v/>
      </c>
      <c r="P38" s="319">
        <f>IF(OR(ISNUMBER(SEARCH("수2",$H38)),ISNUMBER(SEARCH("수1.2",$H38))),1,"")</f>
        <v/>
      </c>
      <c r="Q38" s="319">
        <f>IF(OR(ISNUMBER(SEARCH("수3",$H38)),ISNUMBER(SEARCH("수1.3",$H38)),ISNUMBER(SEARCH("수2.3",$H38)),ISNUMBER(SEARCH("수1.2.3",$H38))),1,"")</f>
        <v/>
      </c>
      <c r="R38" s="319">
        <f>IF(ISNUMBER(SEARCH("목1",$H38)),1,"")</f>
        <v/>
      </c>
      <c r="S38" s="319">
        <f>IF(OR(ISNUMBER(SEARCH("목2",$H38)),ISNUMBER(SEARCH("목1.2",$H38))),1,"")</f>
        <v/>
      </c>
      <c r="T38" s="319">
        <f>IF(OR(ISNUMBER(SEARCH("목3",$H38)),ISNUMBER(SEARCH("목1.3",$H38)),ISNUMBER(SEARCH("목2.3",$H38)),ISNUMBER(SEARCH("목1.2.3",$H38))),1,"")</f>
        <v/>
      </c>
      <c r="U38" s="319">
        <f>IF(ISNUMBER(SEARCH("금1",$H38)),1,"")</f>
        <v/>
      </c>
      <c r="V38" s="319">
        <f>IF(OR(ISNUMBER(SEARCH("금2",$H38)),ISNUMBER(SEARCH("금1.2",$H38))),1,"")</f>
        <v/>
      </c>
      <c r="W38" s="319">
        <f>IF(OR(ISNUMBER(SEARCH("금3",$H38)),ISNUMBER(SEARCH("금1.3",$H38)),ISNUMBER(SEARCH("금2.3",$H38)),ISNUMBER(SEARCH("금1.2.3",$H38))),1,"")</f>
        <v/>
      </c>
      <c r="X38" s="319">
        <f>IF(ISNUMBER(SEARCH("토1",$H38)),1,"")</f>
        <v/>
      </c>
      <c r="Y38" s="319">
        <f>IF(OR(ISNUMBER(SEARCH("토2",$H38)),ISNUMBER(SEARCH("토1.2",$H38))),1,"")</f>
        <v/>
      </c>
      <c r="Z38" s="319">
        <f>IF(OR(ISNUMBER(SEARCH("토3",$H38)),ISNUMBER(SEARCH("토1.3",$H38)),ISNUMBER(SEARCH("토2.3",$H38)),ISNUMBER(SEARCH("토1.2.3",$H38))),1,"")</f>
        <v/>
      </c>
      <c r="AA38" s="319">
        <f>IF(ISNUMBER(SEARCH("일1",$H38)),1,"")</f>
        <v/>
      </c>
      <c r="AB38" s="319">
        <f>IF(OR(ISNUMBER(SEARCH("일2",$H38)),ISNUMBER(SEARCH("일1.2",$H38))),1,"")</f>
        <v/>
      </c>
      <c r="AC38" s="319">
        <f>IF(OR(ISNUMBER(SEARCH("일3",$H38)),ISNUMBER(SEARCH("일1.3",$H38)),ISNUMBER(SEARCH("일2.3",$H38)),ISNUMBER(SEARCH("일1.2.3",$H38))),1,"")</f>
        <v/>
      </c>
      <c r="AD38" s="319">
        <f>SUM(I38:AC38)</f>
        <v/>
      </c>
      <c r="AE38" s="323" t="n"/>
    </row>
    <row r="39" ht="24" customHeight="1">
      <c r="A39" s="168" t="n"/>
      <c r="B39" s="319" t="n"/>
      <c r="C39" s="319" t="n"/>
      <c r="D39" s="319" t="n"/>
      <c r="E39" s="341" t="n"/>
      <c r="F39" s="341" t="n"/>
      <c r="G39" s="342" t="n"/>
      <c r="H39" s="322" t="n"/>
      <c r="I39" s="319">
        <f>IF(ISNUMBER(SEARCH("월1",$H39)),1,"")</f>
        <v/>
      </c>
      <c r="J39" s="319">
        <f>IF(OR(ISNUMBER(SEARCH("월2",$H39)),ISNUMBER(SEARCH("월1.2",$H39))),1,"")</f>
        <v/>
      </c>
      <c r="K39" s="319">
        <f>IF(OR(ISNUMBER(SEARCH("월3",$H39)),ISNUMBER(SEARCH("월1.3",$H39)),ISNUMBER(SEARCH("월2.3",$H39)),ISNUMBER(SEARCH("월1.2.3",$H39))),1,"")</f>
        <v/>
      </c>
      <c r="L39" s="319">
        <f>IF(ISNUMBER(SEARCH("화1",$H39)),1,"")</f>
        <v/>
      </c>
      <c r="M39" s="319">
        <f>IF(OR(ISNUMBER(SEARCH("화2",$H39)),ISNUMBER(SEARCH("화1.2",$H39))),1,"")</f>
        <v/>
      </c>
      <c r="N39" s="319">
        <f>IF(OR(ISNUMBER(SEARCH("화3",$H39)),ISNUMBER(SEARCH("화1.3",$H39)),ISNUMBER(SEARCH("화2.3",$H39)),ISNUMBER(SEARCH("화1.2.3",$H39))),1,"")</f>
        <v/>
      </c>
      <c r="O39" s="319">
        <f>IF(ISNUMBER(SEARCH("수1",$H39)),1,"")</f>
        <v/>
      </c>
      <c r="P39" s="319">
        <f>IF(OR(ISNUMBER(SEARCH("수2",$H39)),ISNUMBER(SEARCH("수1.2",$H39))),1,"")</f>
        <v/>
      </c>
      <c r="Q39" s="319">
        <f>IF(OR(ISNUMBER(SEARCH("수3",$H39)),ISNUMBER(SEARCH("수1.3",$H39)),ISNUMBER(SEARCH("수2.3",$H39)),ISNUMBER(SEARCH("수1.2.3",$H39))),1,"")</f>
        <v/>
      </c>
      <c r="R39" s="319">
        <f>IF(ISNUMBER(SEARCH("목1",$H39)),1,"")</f>
        <v/>
      </c>
      <c r="S39" s="319">
        <f>IF(OR(ISNUMBER(SEARCH("목2",$H39)),ISNUMBER(SEARCH("목1.2",$H39))),1,"")</f>
        <v/>
      </c>
      <c r="T39" s="319">
        <f>IF(OR(ISNUMBER(SEARCH("목3",$H39)),ISNUMBER(SEARCH("목1.3",$H39)),ISNUMBER(SEARCH("목2.3",$H39)),ISNUMBER(SEARCH("목1.2.3",$H39))),1,"")</f>
        <v/>
      </c>
      <c r="U39" s="319">
        <f>IF(ISNUMBER(SEARCH("금1",$H39)),1,"")</f>
        <v/>
      </c>
      <c r="V39" s="319">
        <f>IF(OR(ISNUMBER(SEARCH("금2",$H39)),ISNUMBER(SEARCH("금1.2",$H39))),1,"")</f>
        <v/>
      </c>
      <c r="W39" s="319">
        <f>IF(OR(ISNUMBER(SEARCH("금3",$H39)),ISNUMBER(SEARCH("금1.3",$H39)),ISNUMBER(SEARCH("금2.3",$H39)),ISNUMBER(SEARCH("금1.2.3",$H39))),1,"")</f>
        <v/>
      </c>
      <c r="X39" s="319">
        <f>IF(ISNUMBER(SEARCH("토1",$H39)),1,"")</f>
        <v/>
      </c>
      <c r="Y39" s="319">
        <f>IF(OR(ISNUMBER(SEARCH("토2",$H39)),ISNUMBER(SEARCH("토1.2",$H39))),1,"")</f>
        <v/>
      </c>
      <c r="Z39" s="319">
        <f>IF(OR(ISNUMBER(SEARCH("토3",$H39)),ISNUMBER(SEARCH("토1.3",$H39)),ISNUMBER(SEARCH("토2.3",$H39)),ISNUMBER(SEARCH("토1.2.3",$H39))),1,"")</f>
        <v/>
      </c>
      <c r="AA39" s="319">
        <f>IF(ISNUMBER(SEARCH("일1",$H39)),1,"")</f>
        <v/>
      </c>
      <c r="AB39" s="319">
        <f>IF(OR(ISNUMBER(SEARCH("일2",$H39)),ISNUMBER(SEARCH("일1.2",$H39))),1,"")</f>
        <v/>
      </c>
      <c r="AC39" s="319">
        <f>IF(OR(ISNUMBER(SEARCH("일3",$H39)),ISNUMBER(SEARCH("일1.3",$H39)),ISNUMBER(SEARCH("일2.3",$H39)),ISNUMBER(SEARCH("일1.2.3",$H39))),1,"")</f>
        <v/>
      </c>
      <c r="AD39" s="319">
        <f>SUM(I39:AC39)</f>
        <v/>
      </c>
      <c r="AE39" s="323" t="n"/>
    </row>
    <row r="40" ht="24" customHeight="1">
      <c r="A40" s="168" t="n"/>
      <c r="B40" s="319" t="n"/>
      <c r="C40" s="319" t="n"/>
      <c r="D40" s="319" t="n"/>
      <c r="E40" s="341" t="n"/>
      <c r="F40" s="341" t="n"/>
      <c r="G40" s="342" t="n"/>
      <c r="H40" s="322" t="n"/>
      <c r="I40" s="319">
        <f>IF(ISNUMBER(SEARCH("월1",$H40)),1,"")</f>
        <v/>
      </c>
      <c r="J40" s="319">
        <f>IF(OR(ISNUMBER(SEARCH("월2",$H40)),ISNUMBER(SEARCH("월1.2",$H40))),1,"")</f>
        <v/>
      </c>
      <c r="K40" s="319">
        <f>IF(OR(ISNUMBER(SEARCH("월3",$H40)),ISNUMBER(SEARCH("월1.3",$H40)),ISNUMBER(SEARCH("월2.3",$H40)),ISNUMBER(SEARCH("월1.2.3",$H40))),1,"")</f>
        <v/>
      </c>
      <c r="L40" s="319">
        <f>IF(ISNUMBER(SEARCH("화1",$H40)),1,"")</f>
        <v/>
      </c>
      <c r="M40" s="319">
        <f>IF(OR(ISNUMBER(SEARCH("화2",$H40)),ISNUMBER(SEARCH("화1.2",$H40))),1,"")</f>
        <v/>
      </c>
      <c r="N40" s="319">
        <f>IF(OR(ISNUMBER(SEARCH("화3",$H40)),ISNUMBER(SEARCH("화1.3",$H40)),ISNUMBER(SEARCH("화2.3",$H40)),ISNUMBER(SEARCH("화1.2.3",$H40))),1,"")</f>
        <v/>
      </c>
      <c r="O40" s="319">
        <f>IF(ISNUMBER(SEARCH("수1",$H40)),1,"")</f>
        <v/>
      </c>
      <c r="P40" s="319">
        <f>IF(OR(ISNUMBER(SEARCH("수2",$H40)),ISNUMBER(SEARCH("수1.2",$H40))),1,"")</f>
        <v/>
      </c>
      <c r="Q40" s="319">
        <f>IF(OR(ISNUMBER(SEARCH("수3",$H40)),ISNUMBER(SEARCH("수1.3",$H40)),ISNUMBER(SEARCH("수2.3",$H40)),ISNUMBER(SEARCH("수1.2.3",$H40))),1,"")</f>
        <v/>
      </c>
      <c r="R40" s="319">
        <f>IF(ISNUMBER(SEARCH("목1",$H40)),1,"")</f>
        <v/>
      </c>
      <c r="S40" s="319">
        <f>IF(OR(ISNUMBER(SEARCH("목2",$H40)),ISNUMBER(SEARCH("목1.2",$H40))),1,"")</f>
        <v/>
      </c>
      <c r="T40" s="319">
        <f>IF(OR(ISNUMBER(SEARCH("목3",$H40)),ISNUMBER(SEARCH("목1.3",$H40)),ISNUMBER(SEARCH("목2.3",$H40)),ISNUMBER(SEARCH("목1.2.3",$H40))),1,"")</f>
        <v/>
      </c>
      <c r="U40" s="319">
        <f>IF(ISNUMBER(SEARCH("금1",$H40)),1,"")</f>
        <v/>
      </c>
      <c r="V40" s="319">
        <f>IF(OR(ISNUMBER(SEARCH("금2",$H40)),ISNUMBER(SEARCH("금1.2",$H40))),1,"")</f>
        <v/>
      </c>
      <c r="W40" s="319">
        <f>IF(OR(ISNUMBER(SEARCH("금3",$H40)),ISNUMBER(SEARCH("금1.3",$H40)),ISNUMBER(SEARCH("금2.3",$H40)),ISNUMBER(SEARCH("금1.2.3",$H40))),1,"")</f>
        <v/>
      </c>
      <c r="X40" s="319">
        <f>IF(ISNUMBER(SEARCH("토1",$H40)),1,"")</f>
        <v/>
      </c>
      <c r="Y40" s="319">
        <f>IF(OR(ISNUMBER(SEARCH("토2",$H40)),ISNUMBER(SEARCH("토1.2",$H40))),1,"")</f>
        <v/>
      </c>
      <c r="Z40" s="319">
        <f>IF(OR(ISNUMBER(SEARCH("토3",$H40)),ISNUMBER(SEARCH("토1.3",$H40)),ISNUMBER(SEARCH("토2.3",$H40)),ISNUMBER(SEARCH("토1.2.3",$H40))),1,"")</f>
        <v/>
      </c>
      <c r="AA40" s="319">
        <f>IF(ISNUMBER(SEARCH("일1",$H40)),1,"")</f>
        <v/>
      </c>
      <c r="AB40" s="319">
        <f>IF(OR(ISNUMBER(SEARCH("일2",$H40)),ISNUMBER(SEARCH("일1.2",$H40))),1,"")</f>
        <v/>
      </c>
      <c r="AC40" s="319">
        <f>IF(OR(ISNUMBER(SEARCH("일3",$H40)),ISNUMBER(SEARCH("일1.3",$H40)),ISNUMBER(SEARCH("일2.3",$H40)),ISNUMBER(SEARCH("일1.2.3",$H40))),1,"")</f>
        <v/>
      </c>
      <c r="AD40" s="319">
        <f>SUM(I40:AC40)</f>
        <v/>
      </c>
      <c r="AE40" s="323" t="n"/>
    </row>
    <row r="41" ht="24" customHeight="1">
      <c r="A41" s="168" t="n"/>
      <c r="B41" s="319" t="n"/>
      <c r="C41" s="319" t="n"/>
      <c r="D41" s="319" t="n"/>
      <c r="E41" s="341" t="n"/>
      <c r="F41" s="341" t="n"/>
      <c r="G41" s="342" t="n"/>
      <c r="H41" s="322" t="n"/>
      <c r="I41" s="319">
        <f>IF(ISNUMBER(SEARCH("월1",$H41)),1,"")</f>
        <v/>
      </c>
      <c r="J41" s="319">
        <f>IF(OR(ISNUMBER(SEARCH("월2",$H41)),ISNUMBER(SEARCH("월1.2",$H41))),1,"")</f>
        <v/>
      </c>
      <c r="K41" s="319">
        <f>IF(OR(ISNUMBER(SEARCH("월3",$H41)),ISNUMBER(SEARCH("월1.3",$H41)),ISNUMBER(SEARCH("월2.3",$H41)),ISNUMBER(SEARCH("월1.2.3",$H41))),1,"")</f>
        <v/>
      </c>
      <c r="L41" s="319">
        <f>IF(ISNUMBER(SEARCH("화1",$H41)),1,"")</f>
        <v/>
      </c>
      <c r="M41" s="319">
        <f>IF(OR(ISNUMBER(SEARCH("화2",$H41)),ISNUMBER(SEARCH("화1.2",$H41))),1,"")</f>
        <v/>
      </c>
      <c r="N41" s="319">
        <f>IF(OR(ISNUMBER(SEARCH("화3",$H41)),ISNUMBER(SEARCH("화1.3",$H41)),ISNUMBER(SEARCH("화2.3",$H41)),ISNUMBER(SEARCH("화1.2.3",$H41))),1,"")</f>
        <v/>
      </c>
      <c r="O41" s="319">
        <f>IF(ISNUMBER(SEARCH("수1",$H41)),1,"")</f>
        <v/>
      </c>
      <c r="P41" s="319">
        <f>IF(OR(ISNUMBER(SEARCH("수2",$H41)),ISNUMBER(SEARCH("수1.2",$H41))),1,"")</f>
        <v/>
      </c>
      <c r="Q41" s="319">
        <f>IF(OR(ISNUMBER(SEARCH("수3",$H41)),ISNUMBER(SEARCH("수1.3",$H41)),ISNUMBER(SEARCH("수2.3",$H41)),ISNUMBER(SEARCH("수1.2.3",$H41))),1,"")</f>
        <v/>
      </c>
      <c r="R41" s="319">
        <f>IF(ISNUMBER(SEARCH("목1",$H41)),1,"")</f>
        <v/>
      </c>
      <c r="S41" s="319">
        <f>IF(OR(ISNUMBER(SEARCH("목2",$H41)),ISNUMBER(SEARCH("목1.2",$H41))),1,"")</f>
        <v/>
      </c>
      <c r="T41" s="319">
        <f>IF(OR(ISNUMBER(SEARCH("목3",$H41)),ISNUMBER(SEARCH("목1.3",$H41)),ISNUMBER(SEARCH("목2.3",$H41)),ISNUMBER(SEARCH("목1.2.3",$H41))),1,"")</f>
        <v/>
      </c>
      <c r="U41" s="319">
        <f>IF(ISNUMBER(SEARCH("금1",$H41)),1,"")</f>
        <v/>
      </c>
      <c r="V41" s="319">
        <f>IF(OR(ISNUMBER(SEARCH("금2",$H41)),ISNUMBER(SEARCH("금1.2",$H41))),1,"")</f>
        <v/>
      </c>
      <c r="W41" s="319">
        <f>IF(OR(ISNUMBER(SEARCH("금3",$H41)),ISNUMBER(SEARCH("금1.3",$H41)),ISNUMBER(SEARCH("금2.3",$H41)),ISNUMBER(SEARCH("금1.2.3",$H41))),1,"")</f>
        <v/>
      </c>
      <c r="X41" s="319">
        <f>IF(ISNUMBER(SEARCH("토1",$H41)),1,"")</f>
        <v/>
      </c>
      <c r="Y41" s="319">
        <f>IF(OR(ISNUMBER(SEARCH("토2",$H41)),ISNUMBER(SEARCH("토1.2",$H41))),1,"")</f>
        <v/>
      </c>
      <c r="Z41" s="319">
        <f>IF(OR(ISNUMBER(SEARCH("토3",$H41)),ISNUMBER(SEARCH("토1.3",$H41)),ISNUMBER(SEARCH("토2.3",$H41)),ISNUMBER(SEARCH("토1.2.3",$H41))),1,"")</f>
        <v/>
      </c>
      <c r="AA41" s="319">
        <f>IF(ISNUMBER(SEARCH("일1",$H41)),1,"")</f>
        <v/>
      </c>
      <c r="AB41" s="319">
        <f>IF(OR(ISNUMBER(SEARCH("일2",$H41)),ISNUMBER(SEARCH("일1.2",$H41))),1,"")</f>
        <v/>
      </c>
      <c r="AC41" s="319">
        <f>IF(OR(ISNUMBER(SEARCH("일3",$H41)),ISNUMBER(SEARCH("일1.3",$H41)),ISNUMBER(SEARCH("일2.3",$H41)),ISNUMBER(SEARCH("일1.2.3",$H41))),1,"")</f>
        <v/>
      </c>
      <c r="AD41" s="319">
        <f>SUM(I41:AC41)</f>
        <v/>
      </c>
      <c r="AE41" s="323" t="n"/>
    </row>
    <row r="42" ht="24" customHeight="1">
      <c r="A42" s="168" t="n"/>
      <c r="B42" s="319" t="n"/>
      <c r="C42" s="319" t="n"/>
      <c r="D42" s="319" t="n"/>
      <c r="E42" s="341" t="n"/>
      <c r="F42" s="341" t="n"/>
      <c r="G42" s="342" t="n"/>
      <c r="H42" s="322" t="n"/>
      <c r="I42" s="319">
        <f>IF(ISNUMBER(SEARCH("월1",$H42)),1,"")</f>
        <v/>
      </c>
      <c r="J42" s="319">
        <f>IF(OR(ISNUMBER(SEARCH("월2",$H42)),ISNUMBER(SEARCH("월1.2",$H42))),1,"")</f>
        <v/>
      </c>
      <c r="K42" s="319">
        <f>IF(OR(ISNUMBER(SEARCH("월3",$H42)),ISNUMBER(SEARCH("월1.3",$H42)),ISNUMBER(SEARCH("월2.3",$H42)),ISNUMBER(SEARCH("월1.2.3",$H42))),1,"")</f>
        <v/>
      </c>
      <c r="L42" s="319">
        <f>IF(ISNUMBER(SEARCH("화1",$H42)),1,"")</f>
        <v/>
      </c>
      <c r="M42" s="319">
        <f>IF(OR(ISNUMBER(SEARCH("화2",$H42)),ISNUMBER(SEARCH("화1.2",$H42))),1,"")</f>
        <v/>
      </c>
      <c r="N42" s="319">
        <f>IF(OR(ISNUMBER(SEARCH("화3",$H42)),ISNUMBER(SEARCH("화1.3",$H42)),ISNUMBER(SEARCH("화2.3",$H42)),ISNUMBER(SEARCH("화1.2.3",$H42))),1,"")</f>
        <v/>
      </c>
      <c r="O42" s="319">
        <f>IF(ISNUMBER(SEARCH("수1",$H42)),1,"")</f>
        <v/>
      </c>
      <c r="P42" s="319">
        <f>IF(OR(ISNUMBER(SEARCH("수2",$H42)),ISNUMBER(SEARCH("수1.2",$H42))),1,"")</f>
        <v/>
      </c>
      <c r="Q42" s="319">
        <f>IF(OR(ISNUMBER(SEARCH("수3",$H42)),ISNUMBER(SEARCH("수1.3",$H42)),ISNUMBER(SEARCH("수2.3",$H42)),ISNUMBER(SEARCH("수1.2.3",$H42))),1,"")</f>
        <v/>
      </c>
      <c r="R42" s="319">
        <f>IF(ISNUMBER(SEARCH("목1",$H42)),1,"")</f>
        <v/>
      </c>
      <c r="S42" s="319">
        <f>IF(OR(ISNUMBER(SEARCH("목2",$H42)),ISNUMBER(SEARCH("목1.2",$H42))),1,"")</f>
        <v/>
      </c>
      <c r="T42" s="319">
        <f>IF(OR(ISNUMBER(SEARCH("목3",$H42)),ISNUMBER(SEARCH("목1.3",$H42)),ISNUMBER(SEARCH("목2.3",$H42)),ISNUMBER(SEARCH("목1.2.3",$H42))),1,"")</f>
        <v/>
      </c>
      <c r="U42" s="319">
        <f>IF(ISNUMBER(SEARCH("금1",$H42)),1,"")</f>
        <v/>
      </c>
      <c r="V42" s="319">
        <f>IF(OR(ISNUMBER(SEARCH("금2",$H42)),ISNUMBER(SEARCH("금1.2",$H42))),1,"")</f>
        <v/>
      </c>
      <c r="W42" s="319">
        <f>IF(OR(ISNUMBER(SEARCH("금3",$H42)),ISNUMBER(SEARCH("금1.3",$H42)),ISNUMBER(SEARCH("금2.3",$H42)),ISNUMBER(SEARCH("금1.2.3",$H42))),1,"")</f>
        <v/>
      </c>
      <c r="X42" s="319">
        <f>IF(ISNUMBER(SEARCH("토1",$H42)),1,"")</f>
        <v/>
      </c>
      <c r="Y42" s="319">
        <f>IF(OR(ISNUMBER(SEARCH("토2",$H42)),ISNUMBER(SEARCH("토1.2",$H42))),1,"")</f>
        <v/>
      </c>
      <c r="Z42" s="319">
        <f>IF(OR(ISNUMBER(SEARCH("토3",$H42)),ISNUMBER(SEARCH("토1.3",$H42)),ISNUMBER(SEARCH("토2.3",$H42)),ISNUMBER(SEARCH("토1.2.3",$H42))),1,"")</f>
        <v/>
      </c>
      <c r="AA42" s="319">
        <f>IF(ISNUMBER(SEARCH("일1",$H42)),1,"")</f>
        <v/>
      </c>
      <c r="AB42" s="319">
        <f>IF(OR(ISNUMBER(SEARCH("일2",$H42)),ISNUMBER(SEARCH("일1.2",$H42))),1,"")</f>
        <v/>
      </c>
      <c r="AC42" s="319">
        <f>IF(OR(ISNUMBER(SEARCH("일3",$H42)),ISNUMBER(SEARCH("일1.3",$H42)),ISNUMBER(SEARCH("일2.3",$H42)),ISNUMBER(SEARCH("일1.2.3",$H42))),1,"")</f>
        <v/>
      </c>
      <c r="AD42" s="319">
        <f>SUM(I42:AC42)</f>
        <v/>
      </c>
      <c r="AE42" s="323" t="n"/>
    </row>
    <row r="43" ht="24" customHeight="1">
      <c r="A43" s="168" t="n"/>
      <c r="B43" s="319" t="n"/>
      <c r="C43" s="319" t="n"/>
      <c r="D43" s="319" t="n"/>
      <c r="E43" s="341" t="n"/>
      <c r="F43" s="341" t="n"/>
      <c r="G43" s="342" t="n"/>
      <c r="H43" s="322" t="n"/>
      <c r="I43" s="319">
        <f>IF(ISNUMBER(SEARCH("월1",$H43)),1,"")</f>
        <v/>
      </c>
      <c r="J43" s="319">
        <f>IF(OR(ISNUMBER(SEARCH("월2",$H43)),ISNUMBER(SEARCH("월1.2",$H43))),1,"")</f>
        <v/>
      </c>
      <c r="K43" s="319">
        <f>IF(OR(ISNUMBER(SEARCH("월3",$H43)),ISNUMBER(SEARCH("월1.3",$H43)),ISNUMBER(SEARCH("월2.3",$H43)),ISNUMBER(SEARCH("월1.2.3",$H43))),1,"")</f>
        <v/>
      </c>
      <c r="L43" s="319">
        <f>IF(ISNUMBER(SEARCH("화1",$H43)),1,"")</f>
        <v/>
      </c>
      <c r="M43" s="319">
        <f>IF(OR(ISNUMBER(SEARCH("화2",$H43)),ISNUMBER(SEARCH("화1.2",$H43))),1,"")</f>
        <v/>
      </c>
      <c r="N43" s="319">
        <f>IF(OR(ISNUMBER(SEARCH("화3",$H43)),ISNUMBER(SEARCH("화1.3",$H43)),ISNUMBER(SEARCH("화2.3",$H43)),ISNUMBER(SEARCH("화1.2.3",$H43))),1,"")</f>
        <v/>
      </c>
      <c r="O43" s="319">
        <f>IF(ISNUMBER(SEARCH("수1",$H43)),1,"")</f>
        <v/>
      </c>
      <c r="P43" s="319">
        <f>IF(OR(ISNUMBER(SEARCH("수2",$H43)),ISNUMBER(SEARCH("수1.2",$H43))),1,"")</f>
        <v/>
      </c>
      <c r="Q43" s="319">
        <f>IF(OR(ISNUMBER(SEARCH("수3",$H43)),ISNUMBER(SEARCH("수1.3",$H43)),ISNUMBER(SEARCH("수2.3",$H43)),ISNUMBER(SEARCH("수1.2.3",$H43))),1,"")</f>
        <v/>
      </c>
      <c r="R43" s="319">
        <f>IF(ISNUMBER(SEARCH("목1",$H43)),1,"")</f>
        <v/>
      </c>
      <c r="S43" s="319">
        <f>IF(OR(ISNUMBER(SEARCH("목2",$H43)),ISNUMBER(SEARCH("목1.2",$H43))),1,"")</f>
        <v/>
      </c>
      <c r="T43" s="319">
        <f>IF(OR(ISNUMBER(SEARCH("목3",$H43)),ISNUMBER(SEARCH("목1.3",$H43)),ISNUMBER(SEARCH("목2.3",$H43)),ISNUMBER(SEARCH("목1.2.3",$H43))),1,"")</f>
        <v/>
      </c>
      <c r="U43" s="319">
        <f>IF(ISNUMBER(SEARCH("금1",$H43)),1,"")</f>
        <v/>
      </c>
      <c r="V43" s="319">
        <f>IF(OR(ISNUMBER(SEARCH("금2",$H43)),ISNUMBER(SEARCH("금1.2",$H43))),1,"")</f>
        <v/>
      </c>
      <c r="W43" s="319">
        <f>IF(OR(ISNUMBER(SEARCH("금3",$H43)),ISNUMBER(SEARCH("금1.3",$H43)),ISNUMBER(SEARCH("금2.3",$H43)),ISNUMBER(SEARCH("금1.2.3",$H43))),1,"")</f>
        <v/>
      </c>
      <c r="X43" s="319">
        <f>IF(ISNUMBER(SEARCH("토1",$H43)),1,"")</f>
        <v/>
      </c>
      <c r="Y43" s="319">
        <f>IF(OR(ISNUMBER(SEARCH("토2",$H43)),ISNUMBER(SEARCH("토1.2",$H43))),1,"")</f>
        <v/>
      </c>
      <c r="Z43" s="319">
        <f>IF(OR(ISNUMBER(SEARCH("토3",$H43)),ISNUMBER(SEARCH("토1.3",$H43)),ISNUMBER(SEARCH("토2.3",$H43)),ISNUMBER(SEARCH("토1.2.3",$H43))),1,"")</f>
        <v/>
      </c>
      <c r="AA43" s="319">
        <f>IF(ISNUMBER(SEARCH("일1",$H43)),1,"")</f>
        <v/>
      </c>
      <c r="AB43" s="319">
        <f>IF(OR(ISNUMBER(SEARCH("일2",$H43)),ISNUMBER(SEARCH("일1.2",$H43))),1,"")</f>
        <v/>
      </c>
      <c r="AC43" s="319">
        <f>IF(OR(ISNUMBER(SEARCH("일3",$H43)),ISNUMBER(SEARCH("일1.3",$H43)),ISNUMBER(SEARCH("일2.3",$H43)),ISNUMBER(SEARCH("일1.2.3",$H43))),1,"")</f>
        <v/>
      </c>
      <c r="AD43" s="319">
        <f>SUM(I43:AC43)</f>
        <v/>
      </c>
      <c r="AE43" s="323" t="n"/>
    </row>
    <row r="44" ht="24" customHeight="1">
      <c r="A44" s="168" t="n"/>
      <c r="B44" s="319" t="n"/>
      <c r="C44" s="319" t="n"/>
      <c r="D44" s="319" t="n"/>
      <c r="E44" s="341" t="n"/>
      <c r="F44" s="341" t="n"/>
      <c r="G44" s="342" t="n"/>
      <c r="H44" s="322" t="n"/>
      <c r="I44" s="319">
        <f>IF(ISNUMBER(SEARCH("월1",$H44)),1,"")</f>
        <v/>
      </c>
      <c r="J44" s="319">
        <f>IF(OR(ISNUMBER(SEARCH("월2",$H44)),ISNUMBER(SEARCH("월1.2",$H44))),1,"")</f>
        <v/>
      </c>
      <c r="K44" s="319">
        <f>IF(OR(ISNUMBER(SEARCH("월3",$H44)),ISNUMBER(SEARCH("월1.3",$H44)),ISNUMBER(SEARCH("월2.3",$H44)),ISNUMBER(SEARCH("월1.2.3",$H44))),1,"")</f>
        <v/>
      </c>
      <c r="L44" s="319">
        <f>IF(ISNUMBER(SEARCH("화1",$H44)),1,"")</f>
        <v/>
      </c>
      <c r="M44" s="319">
        <f>IF(OR(ISNUMBER(SEARCH("화2",$H44)),ISNUMBER(SEARCH("화1.2",$H44))),1,"")</f>
        <v/>
      </c>
      <c r="N44" s="319">
        <f>IF(OR(ISNUMBER(SEARCH("화3",$H44)),ISNUMBER(SEARCH("화1.3",$H44)),ISNUMBER(SEARCH("화2.3",$H44)),ISNUMBER(SEARCH("화1.2.3",$H44))),1,"")</f>
        <v/>
      </c>
      <c r="O44" s="319">
        <f>IF(ISNUMBER(SEARCH("수1",$H44)),1,"")</f>
        <v/>
      </c>
      <c r="P44" s="319">
        <f>IF(OR(ISNUMBER(SEARCH("수2",$H44)),ISNUMBER(SEARCH("수1.2",$H44))),1,"")</f>
        <v/>
      </c>
      <c r="Q44" s="319">
        <f>IF(OR(ISNUMBER(SEARCH("수3",$H44)),ISNUMBER(SEARCH("수1.3",$H44)),ISNUMBER(SEARCH("수2.3",$H44)),ISNUMBER(SEARCH("수1.2.3",$H44))),1,"")</f>
        <v/>
      </c>
      <c r="R44" s="319">
        <f>IF(ISNUMBER(SEARCH("목1",$H44)),1,"")</f>
        <v/>
      </c>
      <c r="S44" s="319">
        <f>IF(OR(ISNUMBER(SEARCH("목2",$H44)),ISNUMBER(SEARCH("목1.2",$H44))),1,"")</f>
        <v/>
      </c>
      <c r="T44" s="319">
        <f>IF(OR(ISNUMBER(SEARCH("목3",$H44)),ISNUMBER(SEARCH("목1.3",$H44)),ISNUMBER(SEARCH("목2.3",$H44)),ISNUMBER(SEARCH("목1.2.3",$H44))),1,"")</f>
        <v/>
      </c>
      <c r="U44" s="319">
        <f>IF(ISNUMBER(SEARCH("금1",$H44)),1,"")</f>
        <v/>
      </c>
      <c r="V44" s="319">
        <f>IF(OR(ISNUMBER(SEARCH("금2",$H44)),ISNUMBER(SEARCH("금1.2",$H44))),1,"")</f>
        <v/>
      </c>
      <c r="W44" s="319">
        <f>IF(OR(ISNUMBER(SEARCH("금3",$H44)),ISNUMBER(SEARCH("금1.3",$H44)),ISNUMBER(SEARCH("금2.3",$H44)),ISNUMBER(SEARCH("금1.2.3",$H44))),1,"")</f>
        <v/>
      </c>
      <c r="X44" s="319">
        <f>IF(ISNUMBER(SEARCH("토1",$H44)),1,"")</f>
        <v/>
      </c>
      <c r="Y44" s="319">
        <f>IF(OR(ISNUMBER(SEARCH("토2",$H44)),ISNUMBER(SEARCH("토1.2",$H44))),1,"")</f>
        <v/>
      </c>
      <c r="Z44" s="319">
        <f>IF(OR(ISNUMBER(SEARCH("토3",$H44)),ISNUMBER(SEARCH("토1.3",$H44)),ISNUMBER(SEARCH("토2.3",$H44)),ISNUMBER(SEARCH("토1.2.3",$H44))),1,"")</f>
        <v/>
      </c>
      <c r="AA44" s="319">
        <f>IF(ISNUMBER(SEARCH("일1",$H44)),1,"")</f>
        <v/>
      </c>
      <c r="AB44" s="319">
        <f>IF(OR(ISNUMBER(SEARCH("일2",$H44)),ISNUMBER(SEARCH("일1.2",$H44))),1,"")</f>
        <v/>
      </c>
      <c r="AC44" s="319">
        <f>IF(OR(ISNUMBER(SEARCH("일3",$H44)),ISNUMBER(SEARCH("일1.3",$H44)),ISNUMBER(SEARCH("일2.3",$H44)),ISNUMBER(SEARCH("일1.2.3",$H44))),1,"")</f>
        <v/>
      </c>
      <c r="AD44" s="319">
        <f>SUM(I44:AC44)</f>
        <v/>
      </c>
      <c r="AE44" s="323" t="n"/>
    </row>
    <row r="45" ht="24" customHeight="1">
      <c r="A45" s="168" t="n"/>
      <c r="B45" s="319" t="n"/>
      <c r="C45" s="319" t="n"/>
      <c r="D45" s="319" t="n"/>
      <c r="E45" s="341" t="n"/>
      <c r="F45" s="341" t="n"/>
      <c r="G45" s="342" t="n"/>
      <c r="H45" s="322" t="n"/>
      <c r="I45" s="319">
        <f>IF(ISNUMBER(SEARCH("월1",$H45)),1,"")</f>
        <v/>
      </c>
      <c r="J45" s="319">
        <f>IF(OR(ISNUMBER(SEARCH("월2",$H45)),ISNUMBER(SEARCH("월1.2",$H45))),1,"")</f>
        <v/>
      </c>
      <c r="K45" s="319">
        <f>IF(OR(ISNUMBER(SEARCH("월3",$H45)),ISNUMBER(SEARCH("월1.3",$H45)),ISNUMBER(SEARCH("월2.3",$H45)),ISNUMBER(SEARCH("월1.2.3",$H45))),1,"")</f>
        <v/>
      </c>
      <c r="L45" s="319">
        <f>IF(ISNUMBER(SEARCH("화1",$H45)),1,"")</f>
        <v/>
      </c>
      <c r="M45" s="319">
        <f>IF(OR(ISNUMBER(SEARCH("화2",$H45)),ISNUMBER(SEARCH("화1.2",$H45))),1,"")</f>
        <v/>
      </c>
      <c r="N45" s="319">
        <f>IF(OR(ISNUMBER(SEARCH("화3",$H45)),ISNUMBER(SEARCH("화1.3",$H45)),ISNUMBER(SEARCH("화2.3",$H45)),ISNUMBER(SEARCH("화1.2.3",$H45))),1,"")</f>
        <v/>
      </c>
      <c r="O45" s="319">
        <f>IF(ISNUMBER(SEARCH("수1",$H45)),1,"")</f>
        <v/>
      </c>
      <c r="P45" s="319">
        <f>IF(OR(ISNUMBER(SEARCH("수2",$H45)),ISNUMBER(SEARCH("수1.2",$H45))),1,"")</f>
        <v/>
      </c>
      <c r="Q45" s="319">
        <f>IF(OR(ISNUMBER(SEARCH("수3",$H45)),ISNUMBER(SEARCH("수1.3",$H45)),ISNUMBER(SEARCH("수2.3",$H45)),ISNUMBER(SEARCH("수1.2.3",$H45))),1,"")</f>
        <v/>
      </c>
      <c r="R45" s="319">
        <f>IF(ISNUMBER(SEARCH("목1",$H45)),1,"")</f>
        <v/>
      </c>
      <c r="S45" s="319">
        <f>IF(OR(ISNUMBER(SEARCH("목2",$H45)),ISNUMBER(SEARCH("목1.2",$H45))),1,"")</f>
        <v/>
      </c>
      <c r="T45" s="319">
        <f>IF(OR(ISNUMBER(SEARCH("목3",$H45)),ISNUMBER(SEARCH("목1.3",$H45)),ISNUMBER(SEARCH("목2.3",$H45)),ISNUMBER(SEARCH("목1.2.3",$H45))),1,"")</f>
        <v/>
      </c>
      <c r="U45" s="319">
        <f>IF(ISNUMBER(SEARCH("금1",$H45)),1,"")</f>
        <v/>
      </c>
      <c r="V45" s="319">
        <f>IF(OR(ISNUMBER(SEARCH("금2",$H45)),ISNUMBER(SEARCH("금1.2",$H45))),1,"")</f>
        <v/>
      </c>
      <c r="W45" s="319">
        <f>IF(OR(ISNUMBER(SEARCH("금3",$H45)),ISNUMBER(SEARCH("금1.3",$H45)),ISNUMBER(SEARCH("금2.3",$H45)),ISNUMBER(SEARCH("금1.2.3",$H45))),1,"")</f>
        <v/>
      </c>
      <c r="X45" s="319">
        <f>IF(ISNUMBER(SEARCH("토1",$H45)),1,"")</f>
        <v/>
      </c>
      <c r="Y45" s="319">
        <f>IF(OR(ISNUMBER(SEARCH("토2",$H45)),ISNUMBER(SEARCH("토1.2",$H45))),1,"")</f>
        <v/>
      </c>
      <c r="Z45" s="319">
        <f>IF(OR(ISNUMBER(SEARCH("토3",$H45)),ISNUMBER(SEARCH("토1.3",$H45)),ISNUMBER(SEARCH("토2.3",$H45)),ISNUMBER(SEARCH("토1.2.3",$H45))),1,"")</f>
        <v/>
      </c>
      <c r="AA45" s="319">
        <f>IF(ISNUMBER(SEARCH("일1",$H45)),1,"")</f>
        <v/>
      </c>
      <c r="AB45" s="319">
        <f>IF(OR(ISNUMBER(SEARCH("일2",$H45)),ISNUMBER(SEARCH("일1.2",$H45))),1,"")</f>
        <v/>
      </c>
      <c r="AC45" s="319">
        <f>IF(OR(ISNUMBER(SEARCH("일3",$H45)),ISNUMBER(SEARCH("일1.3",$H45)),ISNUMBER(SEARCH("일2.3",$H45)),ISNUMBER(SEARCH("일1.2.3",$H45))),1,"")</f>
        <v/>
      </c>
      <c r="AD45" s="319">
        <f>SUM(I45:AC45)</f>
        <v/>
      </c>
      <c r="AE45" s="323" t="n"/>
    </row>
    <row r="46" ht="24" customHeight="1">
      <c r="A46" s="168" t="n"/>
      <c r="B46" s="319" t="n"/>
      <c r="C46" s="319" t="n"/>
      <c r="D46" s="319" t="n"/>
      <c r="E46" s="341" t="n"/>
      <c r="F46" s="341" t="n"/>
      <c r="G46" s="342" t="n"/>
      <c r="H46" s="322" t="n"/>
      <c r="I46" s="319">
        <f>IF(ISNUMBER(SEARCH("월1",$H46)),1,"")</f>
        <v/>
      </c>
      <c r="J46" s="319">
        <f>IF(OR(ISNUMBER(SEARCH("월2",$H46)),ISNUMBER(SEARCH("월1.2",$H46))),1,"")</f>
        <v/>
      </c>
      <c r="K46" s="319">
        <f>IF(OR(ISNUMBER(SEARCH("월3",$H46)),ISNUMBER(SEARCH("월1.3",$H46)),ISNUMBER(SEARCH("월2.3",$H46)),ISNUMBER(SEARCH("월1.2.3",$H46))),1,"")</f>
        <v/>
      </c>
      <c r="L46" s="319">
        <f>IF(ISNUMBER(SEARCH("화1",$H46)),1,"")</f>
        <v/>
      </c>
      <c r="M46" s="319">
        <f>IF(OR(ISNUMBER(SEARCH("화2",$H46)),ISNUMBER(SEARCH("화1.2",$H46))),1,"")</f>
        <v/>
      </c>
      <c r="N46" s="319">
        <f>IF(OR(ISNUMBER(SEARCH("화3",$H46)),ISNUMBER(SEARCH("화1.3",$H46)),ISNUMBER(SEARCH("화2.3",$H46)),ISNUMBER(SEARCH("화1.2.3",$H46))),1,"")</f>
        <v/>
      </c>
      <c r="O46" s="319">
        <f>IF(ISNUMBER(SEARCH("수1",$H46)),1,"")</f>
        <v/>
      </c>
      <c r="P46" s="319">
        <f>IF(OR(ISNUMBER(SEARCH("수2",$H46)),ISNUMBER(SEARCH("수1.2",$H46))),1,"")</f>
        <v/>
      </c>
      <c r="Q46" s="319">
        <f>IF(OR(ISNUMBER(SEARCH("수3",$H46)),ISNUMBER(SEARCH("수1.3",$H46)),ISNUMBER(SEARCH("수2.3",$H46)),ISNUMBER(SEARCH("수1.2.3",$H46))),1,"")</f>
        <v/>
      </c>
      <c r="R46" s="319">
        <f>IF(ISNUMBER(SEARCH("목1",$H46)),1,"")</f>
        <v/>
      </c>
      <c r="S46" s="319">
        <f>IF(OR(ISNUMBER(SEARCH("목2",$H46)),ISNUMBER(SEARCH("목1.2",$H46))),1,"")</f>
        <v/>
      </c>
      <c r="T46" s="319">
        <f>IF(OR(ISNUMBER(SEARCH("목3",$H46)),ISNUMBER(SEARCH("목1.3",$H46)),ISNUMBER(SEARCH("목2.3",$H46)),ISNUMBER(SEARCH("목1.2.3",$H46))),1,"")</f>
        <v/>
      </c>
      <c r="U46" s="319">
        <f>IF(ISNUMBER(SEARCH("금1",$H46)),1,"")</f>
        <v/>
      </c>
      <c r="V46" s="319">
        <f>IF(OR(ISNUMBER(SEARCH("금2",$H46)),ISNUMBER(SEARCH("금1.2",$H46))),1,"")</f>
        <v/>
      </c>
      <c r="W46" s="319">
        <f>IF(OR(ISNUMBER(SEARCH("금3",$H46)),ISNUMBER(SEARCH("금1.3",$H46)),ISNUMBER(SEARCH("금2.3",$H46)),ISNUMBER(SEARCH("금1.2.3",$H46))),1,"")</f>
        <v/>
      </c>
      <c r="X46" s="319">
        <f>IF(ISNUMBER(SEARCH("토1",$H46)),1,"")</f>
        <v/>
      </c>
      <c r="Y46" s="319">
        <f>IF(OR(ISNUMBER(SEARCH("토2",$H46)),ISNUMBER(SEARCH("토1.2",$H46))),1,"")</f>
        <v/>
      </c>
      <c r="Z46" s="319">
        <f>IF(OR(ISNUMBER(SEARCH("토3",$H46)),ISNUMBER(SEARCH("토1.3",$H46)),ISNUMBER(SEARCH("토2.3",$H46)),ISNUMBER(SEARCH("토1.2.3",$H46))),1,"")</f>
        <v/>
      </c>
      <c r="AA46" s="319">
        <f>IF(ISNUMBER(SEARCH("일1",$H46)),1,"")</f>
        <v/>
      </c>
      <c r="AB46" s="319">
        <f>IF(OR(ISNUMBER(SEARCH("일2",$H46)),ISNUMBER(SEARCH("일1.2",$H46))),1,"")</f>
        <v/>
      </c>
      <c r="AC46" s="319">
        <f>IF(OR(ISNUMBER(SEARCH("일3",$H46)),ISNUMBER(SEARCH("일1.3",$H46)),ISNUMBER(SEARCH("일2.3",$H46)),ISNUMBER(SEARCH("일1.2.3",$H46))),1,"")</f>
        <v/>
      </c>
      <c r="AD46" s="319">
        <f>SUM(I46:AC46)</f>
        <v/>
      </c>
      <c r="AE46" s="323" t="n"/>
    </row>
    <row r="47" ht="24" customHeight="1">
      <c r="A47" s="168" t="n"/>
      <c r="B47" s="319" t="n"/>
      <c r="C47" s="319" t="n"/>
      <c r="D47" s="319" t="n"/>
      <c r="E47" s="341" t="n"/>
      <c r="F47" s="341" t="n"/>
      <c r="G47" s="342" t="n"/>
      <c r="H47" s="322" t="n"/>
      <c r="I47" s="319">
        <f>IF(ISNUMBER(SEARCH("월1",$H47)),1,"")</f>
        <v/>
      </c>
      <c r="J47" s="319">
        <f>IF(OR(ISNUMBER(SEARCH("월2",$H47)),ISNUMBER(SEARCH("월1.2",$H47))),1,"")</f>
        <v/>
      </c>
      <c r="K47" s="319">
        <f>IF(OR(ISNUMBER(SEARCH("월3",$H47)),ISNUMBER(SEARCH("월1.3",$H47)),ISNUMBER(SEARCH("월2.3",$H47)),ISNUMBER(SEARCH("월1.2.3",$H47))),1,"")</f>
        <v/>
      </c>
      <c r="L47" s="319">
        <f>IF(ISNUMBER(SEARCH("화1",$H47)),1,"")</f>
        <v/>
      </c>
      <c r="M47" s="319">
        <f>IF(OR(ISNUMBER(SEARCH("화2",$H47)),ISNUMBER(SEARCH("화1.2",$H47))),1,"")</f>
        <v/>
      </c>
      <c r="N47" s="319">
        <f>IF(OR(ISNUMBER(SEARCH("화3",$H47)),ISNUMBER(SEARCH("화1.3",$H47)),ISNUMBER(SEARCH("화2.3",$H47)),ISNUMBER(SEARCH("화1.2.3",$H47))),1,"")</f>
        <v/>
      </c>
      <c r="O47" s="319">
        <f>IF(ISNUMBER(SEARCH("수1",$H47)),1,"")</f>
        <v/>
      </c>
      <c r="P47" s="319">
        <f>IF(OR(ISNUMBER(SEARCH("수2",$H47)),ISNUMBER(SEARCH("수1.2",$H47))),1,"")</f>
        <v/>
      </c>
      <c r="Q47" s="319">
        <f>IF(OR(ISNUMBER(SEARCH("수3",$H47)),ISNUMBER(SEARCH("수1.3",$H47)),ISNUMBER(SEARCH("수2.3",$H47)),ISNUMBER(SEARCH("수1.2.3",$H47))),1,"")</f>
        <v/>
      </c>
      <c r="R47" s="319">
        <f>IF(ISNUMBER(SEARCH("목1",$H47)),1,"")</f>
        <v/>
      </c>
      <c r="S47" s="319">
        <f>IF(OR(ISNUMBER(SEARCH("목2",$H47)),ISNUMBER(SEARCH("목1.2",$H47))),1,"")</f>
        <v/>
      </c>
      <c r="T47" s="319">
        <f>IF(OR(ISNUMBER(SEARCH("목3",$H47)),ISNUMBER(SEARCH("목1.3",$H47)),ISNUMBER(SEARCH("목2.3",$H47)),ISNUMBER(SEARCH("목1.2.3",$H47))),1,"")</f>
        <v/>
      </c>
      <c r="U47" s="319">
        <f>IF(ISNUMBER(SEARCH("금1",$H47)),1,"")</f>
        <v/>
      </c>
      <c r="V47" s="319">
        <f>IF(OR(ISNUMBER(SEARCH("금2",$H47)),ISNUMBER(SEARCH("금1.2",$H47))),1,"")</f>
        <v/>
      </c>
      <c r="W47" s="319">
        <f>IF(OR(ISNUMBER(SEARCH("금3",$H47)),ISNUMBER(SEARCH("금1.3",$H47)),ISNUMBER(SEARCH("금2.3",$H47)),ISNUMBER(SEARCH("금1.2.3",$H47))),1,"")</f>
        <v/>
      </c>
      <c r="X47" s="319">
        <f>IF(ISNUMBER(SEARCH("토1",$H47)),1,"")</f>
        <v/>
      </c>
      <c r="Y47" s="319">
        <f>IF(OR(ISNUMBER(SEARCH("토2",$H47)),ISNUMBER(SEARCH("토1.2",$H47))),1,"")</f>
        <v/>
      </c>
      <c r="Z47" s="319">
        <f>IF(OR(ISNUMBER(SEARCH("토3",$H47)),ISNUMBER(SEARCH("토1.3",$H47)),ISNUMBER(SEARCH("토2.3",$H47)),ISNUMBER(SEARCH("토1.2.3",$H47))),1,"")</f>
        <v/>
      </c>
      <c r="AA47" s="319">
        <f>IF(ISNUMBER(SEARCH("일1",$H47)),1,"")</f>
        <v/>
      </c>
      <c r="AB47" s="319">
        <f>IF(OR(ISNUMBER(SEARCH("일2",$H47)),ISNUMBER(SEARCH("일1.2",$H47))),1,"")</f>
        <v/>
      </c>
      <c r="AC47" s="319">
        <f>IF(OR(ISNUMBER(SEARCH("일3",$H47)),ISNUMBER(SEARCH("일1.3",$H47)),ISNUMBER(SEARCH("일2.3",$H47)),ISNUMBER(SEARCH("일1.2.3",$H47))),1,"")</f>
        <v/>
      </c>
      <c r="AD47" s="319">
        <f>SUM(I47:AC47)</f>
        <v/>
      </c>
      <c r="AE47" s="323" t="n"/>
    </row>
    <row r="48" ht="24" customHeight="1">
      <c r="A48" s="168" t="n"/>
      <c r="B48" s="319" t="n"/>
      <c r="C48" s="319" t="n"/>
      <c r="D48" s="319" t="n"/>
      <c r="E48" s="341" t="n"/>
      <c r="F48" s="341" t="n"/>
      <c r="G48" s="342" t="n"/>
      <c r="H48" s="322" t="n"/>
      <c r="I48" s="319">
        <f>IF(ISNUMBER(SEARCH("월1",$H48)),1,"")</f>
        <v/>
      </c>
      <c r="J48" s="319">
        <f>IF(OR(ISNUMBER(SEARCH("월2",$H48)),ISNUMBER(SEARCH("월1.2",$H48))),1,"")</f>
        <v/>
      </c>
      <c r="K48" s="319">
        <f>IF(OR(ISNUMBER(SEARCH("월3",$H48)),ISNUMBER(SEARCH("월1.3",$H48)),ISNUMBER(SEARCH("월2.3",$H48)),ISNUMBER(SEARCH("월1.2.3",$H48))),1,"")</f>
        <v/>
      </c>
      <c r="L48" s="319">
        <f>IF(ISNUMBER(SEARCH("화1",$H48)),1,"")</f>
        <v/>
      </c>
      <c r="M48" s="319">
        <f>IF(OR(ISNUMBER(SEARCH("화2",$H48)),ISNUMBER(SEARCH("화1.2",$H48))),1,"")</f>
        <v/>
      </c>
      <c r="N48" s="319">
        <f>IF(OR(ISNUMBER(SEARCH("화3",$H48)),ISNUMBER(SEARCH("화1.3",$H48)),ISNUMBER(SEARCH("화2.3",$H48)),ISNUMBER(SEARCH("화1.2.3",$H48))),1,"")</f>
        <v/>
      </c>
      <c r="O48" s="319">
        <f>IF(ISNUMBER(SEARCH("수1",$H48)),1,"")</f>
        <v/>
      </c>
      <c r="P48" s="319">
        <f>IF(OR(ISNUMBER(SEARCH("수2",$H48)),ISNUMBER(SEARCH("수1.2",$H48))),1,"")</f>
        <v/>
      </c>
      <c r="Q48" s="319">
        <f>IF(OR(ISNUMBER(SEARCH("수3",$H48)),ISNUMBER(SEARCH("수1.3",$H48)),ISNUMBER(SEARCH("수2.3",$H48)),ISNUMBER(SEARCH("수1.2.3",$H48))),1,"")</f>
        <v/>
      </c>
      <c r="R48" s="319">
        <f>IF(ISNUMBER(SEARCH("목1",$H48)),1,"")</f>
        <v/>
      </c>
      <c r="S48" s="319">
        <f>IF(OR(ISNUMBER(SEARCH("목2",$H48)),ISNUMBER(SEARCH("목1.2",$H48))),1,"")</f>
        <v/>
      </c>
      <c r="T48" s="319">
        <f>IF(OR(ISNUMBER(SEARCH("목3",$H48)),ISNUMBER(SEARCH("목1.3",$H48)),ISNUMBER(SEARCH("목2.3",$H48)),ISNUMBER(SEARCH("목1.2.3",$H48))),1,"")</f>
        <v/>
      </c>
      <c r="U48" s="319">
        <f>IF(ISNUMBER(SEARCH("금1",$H48)),1,"")</f>
        <v/>
      </c>
      <c r="V48" s="319">
        <f>IF(OR(ISNUMBER(SEARCH("금2",$H48)),ISNUMBER(SEARCH("금1.2",$H48))),1,"")</f>
        <v/>
      </c>
      <c r="W48" s="319">
        <f>IF(OR(ISNUMBER(SEARCH("금3",$H48)),ISNUMBER(SEARCH("금1.3",$H48)),ISNUMBER(SEARCH("금2.3",$H48)),ISNUMBER(SEARCH("금1.2.3",$H48))),1,"")</f>
        <v/>
      </c>
      <c r="X48" s="319">
        <f>IF(ISNUMBER(SEARCH("토1",$H48)),1,"")</f>
        <v/>
      </c>
      <c r="Y48" s="319">
        <f>IF(OR(ISNUMBER(SEARCH("토2",$H48)),ISNUMBER(SEARCH("토1.2",$H48))),1,"")</f>
        <v/>
      </c>
      <c r="Z48" s="319">
        <f>IF(OR(ISNUMBER(SEARCH("토3",$H48)),ISNUMBER(SEARCH("토1.3",$H48)),ISNUMBER(SEARCH("토2.3",$H48)),ISNUMBER(SEARCH("토1.2.3",$H48))),1,"")</f>
        <v/>
      </c>
      <c r="AA48" s="319">
        <f>IF(ISNUMBER(SEARCH("일1",$H48)),1,"")</f>
        <v/>
      </c>
      <c r="AB48" s="319">
        <f>IF(OR(ISNUMBER(SEARCH("일2",$H48)),ISNUMBER(SEARCH("일1.2",$H48))),1,"")</f>
        <v/>
      </c>
      <c r="AC48" s="319">
        <f>IF(OR(ISNUMBER(SEARCH("일3",$H48)),ISNUMBER(SEARCH("일1.3",$H48)),ISNUMBER(SEARCH("일2.3",$H48)),ISNUMBER(SEARCH("일1.2.3",$H48))),1,"")</f>
        <v/>
      </c>
      <c r="AD48" s="319">
        <f>SUM(I48:AC48)</f>
        <v/>
      </c>
      <c r="AE48" s="323" t="n"/>
    </row>
    <row r="49" ht="24" customHeight="1">
      <c r="A49" s="168" t="n"/>
      <c r="B49" s="319" t="n"/>
      <c r="C49" s="319" t="n"/>
      <c r="D49" s="319" t="n"/>
      <c r="E49" s="341" t="n"/>
      <c r="F49" s="341" t="n"/>
      <c r="G49" s="342" t="n"/>
      <c r="H49" s="322" t="n"/>
      <c r="I49" s="319">
        <f>IF(ISNUMBER(SEARCH("월1",$H49)),1,"")</f>
        <v/>
      </c>
      <c r="J49" s="319">
        <f>IF(OR(ISNUMBER(SEARCH("월2",$H49)),ISNUMBER(SEARCH("월1.2",$H49))),1,"")</f>
        <v/>
      </c>
      <c r="K49" s="319">
        <f>IF(OR(ISNUMBER(SEARCH("월3",$H49)),ISNUMBER(SEARCH("월1.3",$H49)),ISNUMBER(SEARCH("월2.3",$H49)),ISNUMBER(SEARCH("월1.2.3",$H49))),1,"")</f>
        <v/>
      </c>
      <c r="L49" s="319">
        <f>IF(ISNUMBER(SEARCH("화1",$H49)),1,"")</f>
        <v/>
      </c>
      <c r="M49" s="319">
        <f>IF(OR(ISNUMBER(SEARCH("화2",$H49)),ISNUMBER(SEARCH("화1.2",$H49))),1,"")</f>
        <v/>
      </c>
      <c r="N49" s="319">
        <f>IF(OR(ISNUMBER(SEARCH("화3",$H49)),ISNUMBER(SEARCH("화1.3",$H49)),ISNUMBER(SEARCH("화2.3",$H49)),ISNUMBER(SEARCH("화1.2.3",$H49))),1,"")</f>
        <v/>
      </c>
      <c r="O49" s="319">
        <f>IF(ISNUMBER(SEARCH("수1",$H49)),1,"")</f>
        <v/>
      </c>
      <c r="P49" s="319">
        <f>IF(OR(ISNUMBER(SEARCH("수2",$H49)),ISNUMBER(SEARCH("수1.2",$H49))),1,"")</f>
        <v/>
      </c>
      <c r="Q49" s="319">
        <f>IF(OR(ISNUMBER(SEARCH("수3",$H49)),ISNUMBER(SEARCH("수1.3",$H49)),ISNUMBER(SEARCH("수2.3",$H49)),ISNUMBER(SEARCH("수1.2.3",$H49))),1,"")</f>
        <v/>
      </c>
      <c r="R49" s="319">
        <f>IF(ISNUMBER(SEARCH("목1",$H49)),1,"")</f>
        <v/>
      </c>
      <c r="S49" s="319">
        <f>IF(OR(ISNUMBER(SEARCH("목2",$H49)),ISNUMBER(SEARCH("목1.2",$H49))),1,"")</f>
        <v/>
      </c>
      <c r="T49" s="319">
        <f>IF(OR(ISNUMBER(SEARCH("목3",$H49)),ISNUMBER(SEARCH("목1.3",$H49)),ISNUMBER(SEARCH("목2.3",$H49)),ISNUMBER(SEARCH("목1.2.3",$H49))),1,"")</f>
        <v/>
      </c>
      <c r="U49" s="319">
        <f>IF(ISNUMBER(SEARCH("금1",$H49)),1,"")</f>
        <v/>
      </c>
      <c r="V49" s="319">
        <f>IF(OR(ISNUMBER(SEARCH("금2",$H49)),ISNUMBER(SEARCH("금1.2",$H49))),1,"")</f>
        <v/>
      </c>
      <c r="W49" s="319">
        <f>IF(OR(ISNUMBER(SEARCH("금3",$H49)),ISNUMBER(SEARCH("금1.3",$H49)),ISNUMBER(SEARCH("금2.3",$H49)),ISNUMBER(SEARCH("금1.2.3",$H49))),1,"")</f>
        <v/>
      </c>
      <c r="X49" s="319">
        <f>IF(ISNUMBER(SEARCH("토1",$H49)),1,"")</f>
        <v/>
      </c>
      <c r="Y49" s="319">
        <f>IF(OR(ISNUMBER(SEARCH("토2",$H49)),ISNUMBER(SEARCH("토1.2",$H49))),1,"")</f>
        <v/>
      </c>
      <c r="Z49" s="319">
        <f>IF(OR(ISNUMBER(SEARCH("토3",$H49)),ISNUMBER(SEARCH("토1.3",$H49)),ISNUMBER(SEARCH("토2.3",$H49)),ISNUMBER(SEARCH("토1.2.3",$H49))),1,"")</f>
        <v/>
      </c>
      <c r="AA49" s="319">
        <f>IF(ISNUMBER(SEARCH("일1",$H49)),1,"")</f>
        <v/>
      </c>
      <c r="AB49" s="319">
        <f>IF(OR(ISNUMBER(SEARCH("일2",$H49)),ISNUMBER(SEARCH("일1.2",$H49))),1,"")</f>
        <v/>
      </c>
      <c r="AC49" s="319">
        <f>IF(OR(ISNUMBER(SEARCH("일3",$H49)),ISNUMBER(SEARCH("일1.3",$H49)),ISNUMBER(SEARCH("일2.3",$H49)),ISNUMBER(SEARCH("일1.2.3",$H49))),1,"")</f>
        <v/>
      </c>
      <c r="AD49" s="319">
        <f>SUM(I49:AC49)</f>
        <v/>
      </c>
      <c r="AE49" s="323" t="n"/>
    </row>
    <row r="50" ht="24" customHeight="1">
      <c r="A50" s="168" t="n"/>
      <c r="B50" s="319" t="n"/>
      <c r="C50" s="319" t="n"/>
      <c r="D50" s="319" t="n"/>
      <c r="E50" s="341" t="n"/>
      <c r="F50" s="341" t="n"/>
      <c r="G50" s="342" t="n"/>
      <c r="H50" s="322" t="n"/>
      <c r="I50" s="319">
        <f>IF(ISNUMBER(SEARCH("월1",$H50)),1,"")</f>
        <v/>
      </c>
      <c r="J50" s="319">
        <f>IF(OR(ISNUMBER(SEARCH("월2",$H50)),ISNUMBER(SEARCH("월1.2",$H50))),1,"")</f>
        <v/>
      </c>
      <c r="K50" s="319">
        <f>IF(OR(ISNUMBER(SEARCH("월3",$H50)),ISNUMBER(SEARCH("월1.3",$H50)),ISNUMBER(SEARCH("월2.3",$H50)),ISNUMBER(SEARCH("월1.2.3",$H50))),1,"")</f>
        <v/>
      </c>
      <c r="L50" s="319">
        <f>IF(ISNUMBER(SEARCH("화1",$H50)),1,"")</f>
        <v/>
      </c>
      <c r="M50" s="319">
        <f>IF(OR(ISNUMBER(SEARCH("화2",$H50)),ISNUMBER(SEARCH("화1.2",$H50))),1,"")</f>
        <v/>
      </c>
      <c r="N50" s="319">
        <f>IF(OR(ISNUMBER(SEARCH("화3",$H50)),ISNUMBER(SEARCH("화1.3",$H50)),ISNUMBER(SEARCH("화2.3",$H50)),ISNUMBER(SEARCH("화1.2.3",$H50))),1,"")</f>
        <v/>
      </c>
      <c r="O50" s="319">
        <f>IF(ISNUMBER(SEARCH("수1",$H50)),1,"")</f>
        <v/>
      </c>
      <c r="P50" s="319">
        <f>IF(OR(ISNUMBER(SEARCH("수2",$H50)),ISNUMBER(SEARCH("수1.2",$H50))),1,"")</f>
        <v/>
      </c>
      <c r="Q50" s="319">
        <f>IF(OR(ISNUMBER(SEARCH("수3",$H50)),ISNUMBER(SEARCH("수1.3",$H50)),ISNUMBER(SEARCH("수2.3",$H50)),ISNUMBER(SEARCH("수1.2.3",$H50))),1,"")</f>
        <v/>
      </c>
      <c r="R50" s="319">
        <f>IF(ISNUMBER(SEARCH("목1",$H50)),1,"")</f>
        <v/>
      </c>
      <c r="S50" s="319">
        <f>IF(OR(ISNUMBER(SEARCH("목2",$H50)),ISNUMBER(SEARCH("목1.2",$H50))),1,"")</f>
        <v/>
      </c>
      <c r="T50" s="319">
        <f>IF(OR(ISNUMBER(SEARCH("목3",$H50)),ISNUMBER(SEARCH("목1.3",$H50)),ISNUMBER(SEARCH("목2.3",$H50)),ISNUMBER(SEARCH("목1.2.3",$H50))),1,"")</f>
        <v/>
      </c>
      <c r="U50" s="319">
        <f>IF(ISNUMBER(SEARCH("금1",$H50)),1,"")</f>
        <v/>
      </c>
      <c r="V50" s="319">
        <f>IF(OR(ISNUMBER(SEARCH("금2",$H50)),ISNUMBER(SEARCH("금1.2",$H50))),1,"")</f>
        <v/>
      </c>
      <c r="W50" s="319">
        <f>IF(OR(ISNUMBER(SEARCH("금3",$H50)),ISNUMBER(SEARCH("금1.3",$H50)),ISNUMBER(SEARCH("금2.3",$H50)),ISNUMBER(SEARCH("금1.2.3",$H50))),1,"")</f>
        <v/>
      </c>
      <c r="X50" s="319">
        <f>IF(ISNUMBER(SEARCH("토1",$H50)),1,"")</f>
        <v/>
      </c>
      <c r="Y50" s="319">
        <f>IF(OR(ISNUMBER(SEARCH("토2",$H50)),ISNUMBER(SEARCH("토1.2",$H50))),1,"")</f>
        <v/>
      </c>
      <c r="Z50" s="319">
        <f>IF(OR(ISNUMBER(SEARCH("토3",$H50)),ISNUMBER(SEARCH("토1.3",$H50)),ISNUMBER(SEARCH("토2.3",$H50)),ISNUMBER(SEARCH("토1.2.3",$H50))),1,"")</f>
        <v/>
      </c>
      <c r="AA50" s="319">
        <f>IF(ISNUMBER(SEARCH("일1",$H50)),1,"")</f>
        <v/>
      </c>
      <c r="AB50" s="319">
        <f>IF(OR(ISNUMBER(SEARCH("일2",$H50)),ISNUMBER(SEARCH("일1.2",$H50))),1,"")</f>
        <v/>
      </c>
      <c r="AC50" s="319">
        <f>IF(OR(ISNUMBER(SEARCH("일3",$H50)),ISNUMBER(SEARCH("일1.3",$H50)),ISNUMBER(SEARCH("일2.3",$H50)),ISNUMBER(SEARCH("일1.2.3",$H50))),1,"")</f>
        <v/>
      </c>
      <c r="AD50" s="319">
        <f>SUM(I50:AC50)</f>
        <v/>
      </c>
      <c r="AE50" s="323" t="n"/>
    </row>
    <row r="51" ht="24" customHeight="1">
      <c r="A51" s="168" t="n"/>
      <c r="B51" s="319" t="n"/>
      <c r="C51" s="319" t="n"/>
      <c r="D51" s="319" t="n"/>
      <c r="E51" s="341" t="n"/>
      <c r="F51" s="341" t="n"/>
      <c r="G51" s="342" t="n"/>
      <c r="H51" s="322" t="n"/>
      <c r="I51" s="319">
        <f>IF(ISNUMBER(SEARCH("월1",$H51)),1,"")</f>
        <v/>
      </c>
      <c r="J51" s="319">
        <f>IF(OR(ISNUMBER(SEARCH("월2",$H51)),ISNUMBER(SEARCH("월1.2",$H51))),1,"")</f>
        <v/>
      </c>
      <c r="K51" s="319">
        <f>IF(OR(ISNUMBER(SEARCH("월3",$H51)),ISNUMBER(SEARCH("월1.3",$H51)),ISNUMBER(SEARCH("월2.3",$H51)),ISNUMBER(SEARCH("월1.2.3",$H51))),1,"")</f>
        <v/>
      </c>
      <c r="L51" s="319">
        <f>IF(ISNUMBER(SEARCH("화1",$H51)),1,"")</f>
        <v/>
      </c>
      <c r="M51" s="319">
        <f>IF(OR(ISNUMBER(SEARCH("화2",$H51)),ISNUMBER(SEARCH("화1.2",$H51))),1,"")</f>
        <v/>
      </c>
      <c r="N51" s="319">
        <f>IF(OR(ISNUMBER(SEARCH("화3",$H51)),ISNUMBER(SEARCH("화1.3",$H51)),ISNUMBER(SEARCH("화2.3",$H51)),ISNUMBER(SEARCH("화1.2.3",$H51))),1,"")</f>
        <v/>
      </c>
      <c r="O51" s="319">
        <f>IF(ISNUMBER(SEARCH("수1",$H51)),1,"")</f>
        <v/>
      </c>
      <c r="P51" s="319">
        <f>IF(OR(ISNUMBER(SEARCH("수2",$H51)),ISNUMBER(SEARCH("수1.2",$H51))),1,"")</f>
        <v/>
      </c>
      <c r="Q51" s="319">
        <f>IF(OR(ISNUMBER(SEARCH("수3",$H51)),ISNUMBER(SEARCH("수1.3",$H51)),ISNUMBER(SEARCH("수2.3",$H51)),ISNUMBER(SEARCH("수1.2.3",$H51))),1,"")</f>
        <v/>
      </c>
      <c r="R51" s="319">
        <f>IF(ISNUMBER(SEARCH("목1",$H51)),1,"")</f>
        <v/>
      </c>
      <c r="S51" s="319">
        <f>IF(OR(ISNUMBER(SEARCH("목2",$H51)),ISNUMBER(SEARCH("목1.2",$H51))),1,"")</f>
        <v/>
      </c>
      <c r="T51" s="319">
        <f>IF(OR(ISNUMBER(SEARCH("목3",$H51)),ISNUMBER(SEARCH("목1.3",$H51)),ISNUMBER(SEARCH("목2.3",$H51)),ISNUMBER(SEARCH("목1.2.3",$H51))),1,"")</f>
        <v/>
      </c>
      <c r="U51" s="319">
        <f>IF(ISNUMBER(SEARCH("금1",$H51)),1,"")</f>
        <v/>
      </c>
      <c r="V51" s="319">
        <f>IF(OR(ISNUMBER(SEARCH("금2",$H51)),ISNUMBER(SEARCH("금1.2",$H51))),1,"")</f>
        <v/>
      </c>
      <c r="W51" s="319">
        <f>IF(OR(ISNUMBER(SEARCH("금3",$H51)),ISNUMBER(SEARCH("금1.3",$H51)),ISNUMBER(SEARCH("금2.3",$H51)),ISNUMBER(SEARCH("금1.2.3",$H51))),1,"")</f>
        <v/>
      </c>
      <c r="X51" s="319">
        <f>IF(ISNUMBER(SEARCH("토1",$H51)),1,"")</f>
        <v/>
      </c>
      <c r="Y51" s="319">
        <f>IF(OR(ISNUMBER(SEARCH("토2",$H51)),ISNUMBER(SEARCH("토1.2",$H51))),1,"")</f>
        <v/>
      </c>
      <c r="Z51" s="319">
        <f>IF(OR(ISNUMBER(SEARCH("토3",$H51)),ISNUMBER(SEARCH("토1.3",$H51)),ISNUMBER(SEARCH("토2.3",$H51)),ISNUMBER(SEARCH("토1.2.3",$H51))),1,"")</f>
        <v/>
      </c>
      <c r="AA51" s="319">
        <f>IF(ISNUMBER(SEARCH("일1",$H51)),1,"")</f>
        <v/>
      </c>
      <c r="AB51" s="319">
        <f>IF(OR(ISNUMBER(SEARCH("일2",$H51)),ISNUMBER(SEARCH("일1.2",$H51))),1,"")</f>
        <v/>
      </c>
      <c r="AC51" s="319">
        <f>IF(OR(ISNUMBER(SEARCH("일3",$H51)),ISNUMBER(SEARCH("일1.3",$H51)),ISNUMBER(SEARCH("일2.3",$H51)),ISNUMBER(SEARCH("일1.2.3",$H51))),1,"")</f>
        <v/>
      </c>
      <c r="AD51" s="319">
        <f>SUM(I51:AC51)</f>
        <v/>
      </c>
      <c r="AE51" s="323" t="n"/>
    </row>
    <row r="52" ht="24" customHeight="1">
      <c r="A52" s="168" t="n"/>
      <c r="B52" s="319" t="n"/>
      <c r="C52" s="319" t="n"/>
      <c r="D52" s="319" t="n"/>
      <c r="E52" s="341" t="n"/>
      <c r="F52" s="341" t="n"/>
      <c r="G52" s="342" t="n"/>
      <c r="H52" s="322" t="n"/>
      <c r="I52" s="319">
        <f>IF(ISNUMBER(SEARCH("월1",$H52)),1,"")</f>
        <v/>
      </c>
      <c r="J52" s="319">
        <f>IF(OR(ISNUMBER(SEARCH("월2",$H52)),ISNUMBER(SEARCH("월1.2",$H52))),1,"")</f>
        <v/>
      </c>
      <c r="K52" s="319">
        <f>IF(OR(ISNUMBER(SEARCH("월3",$H52)),ISNUMBER(SEARCH("월1.3",$H52)),ISNUMBER(SEARCH("월2.3",$H52)),ISNUMBER(SEARCH("월1.2.3",$H52))),1,"")</f>
        <v/>
      </c>
      <c r="L52" s="319">
        <f>IF(ISNUMBER(SEARCH("화1",$H52)),1,"")</f>
        <v/>
      </c>
      <c r="M52" s="319">
        <f>IF(OR(ISNUMBER(SEARCH("화2",$H52)),ISNUMBER(SEARCH("화1.2",$H52))),1,"")</f>
        <v/>
      </c>
      <c r="N52" s="319">
        <f>IF(OR(ISNUMBER(SEARCH("화3",$H52)),ISNUMBER(SEARCH("화1.3",$H52)),ISNUMBER(SEARCH("화2.3",$H52)),ISNUMBER(SEARCH("화1.2.3",$H52))),1,"")</f>
        <v/>
      </c>
      <c r="O52" s="319">
        <f>IF(ISNUMBER(SEARCH("수1",$H52)),1,"")</f>
        <v/>
      </c>
      <c r="P52" s="319">
        <f>IF(OR(ISNUMBER(SEARCH("수2",$H52)),ISNUMBER(SEARCH("수1.2",$H52))),1,"")</f>
        <v/>
      </c>
      <c r="Q52" s="319">
        <f>IF(OR(ISNUMBER(SEARCH("수3",$H52)),ISNUMBER(SEARCH("수1.3",$H52)),ISNUMBER(SEARCH("수2.3",$H52)),ISNUMBER(SEARCH("수1.2.3",$H52))),1,"")</f>
        <v/>
      </c>
      <c r="R52" s="319">
        <f>IF(ISNUMBER(SEARCH("목1",$H52)),1,"")</f>
        <v/>
      </c>
      <c r="S52" s="319">
        <f>IF(OR(ISNUMBER(SEARCH("목2",$H52)),ISNUMBER(SEARCH("목1.2",$H52))),1,"")</f>
        <v/>
      </c>
      <c r="T52" s="319">
        <f>IF(OR(ISNUMBER(SEARCH("목3",$H52)),ISNUMBER(SEARCH("목1.3",$H52)),ISNUMBER(SEARCH("목2.3",$H52)),ISNUMBER(SEARCH("목1.2.3",$H52))),1,"")</f>
        <v/>
      </c>
      <c r="U52" s="319">
        <f>IF(ISNUMBER(SEARCH("금1",$H52)),1,"")</f>
        <v/>
      </c>
      <c r="V52" s="319">
        <f>IF(OR(ISNUMBER(SEARCH("금2",$H52)),ISNUMBER(SEARCH("금1.2",$H52))),1,"")</f>
        <v/>
      </c>
      <c r="W52" s="319">
        <f>IF(OR(ISNUMBER(SEARCH("금3",$H52)),ISNUMBER(SEARCH("금1.3",$H52)),ISNUMBER(SEARCH("금2.3",$H52)),ISNUMBER(SEARCH("금1.2.3",$H52))),1,"")</f>
        <v/>
      </c>
      <c r="X52" s="319">
        <f>IF(ISNUMBER(SEARCH("토1",$H52)),1,"")</f>
        <v/>
      </c>
      <c r="Y52" s="319">
        <f>IF(OR(ISNUMBER(SEARCH("토2",$H52)),ISNUMBER(SEARCH("토1.2",$H52))),1,"")</f>
        <v/>
      </c>
      <c r="Z52" s="319">
        <f>IF(OR(ISNUMBER(SEARCH("토3",$H52)),ISNUMBER(SEARCH("토1.3",$H52)),ISNUMBER(SEARCH("토2.3",$H52)),ISNUMBER(SEARCH("토1.2.3",$H52))),1,"")</f>
        <v/>
      </c>
      <c r="AA52" s="319">
        <f>IF(ISNUMBER(SEARCH("일1",$H52)),1,"")</f>
        <v/>
      </c>
      <c r="AB52" s="319">
        <f>IF(OR(ISNUMBER(SEARCH("일2",$H52)),ISNUMBER(SEARCH("일1.2",$H52))),1,"")</f>
        <v/>
      </c>
      <c r="AC52" s="319">
        <f>IF(OR(ISNUMBER(SEARCH("일3",$H52)),ISNUMBER(SEARCH("일1.3",$H52)),ISNUMBER(SEARCH("일2.3",$H52)),ISNUMBER(SEARCH("일1.2.3",$H52))),1,"")</f>
        <v/>
      </c>
      <c r="AD52" s="319">
        <f>SUM(I52:AC52)</f>
        <v/>
      </c>
      <c r="AE52" s="323" t="n"/>
    </row>
    <row r="53" ht="24" customHeight="1">
      <c r="A53" s="168" t="n"/>
      <c r="B53" s="319" t="n"/>
      <c r="C53" s="319" t="n"/>
      <c r="D53" s="319" t="n"/>
      <c r="E53" s="341" t="n"/>
      <c r="F53" s="341" t="n"/>
      <c r="G53" s="342" t="n"/>
      <c r="H53" s="322" t="n"/>
      <c r="I53" s="319">
        <f>IF(ISNUMBER(SEARCH("월1",$H53)),1,"")</f>
        <v/>
      </c>
      <c r="J53" s="319">
        <f>IF(OR(ISNUMBER(SEARCH("월2",$H53)),ISNUMBER(SEARCH("월1.2",$H53))),1,"")</f>
        <v/>
      </c>
      <c r="K53" s="319">
        <f>IF(OR(ISNUMBER(SEARCH("월3",$H53)),ISNUMBER(SEARCH("월1.3",$H53)),ISNUMBER(SEARCH("월2.3",$H53)),ISNUMBER(SEARCH("월1.2.3",$H53))),1,"")</f>
        <v/>
      </c>
      <c r="L53" s="319">
        <f>IF(ISNUMBER(SEARCH("화1",$H53)),1,"")</f>
        <v/>
      </c>
      <c r="M53" s="319">
        <f>IF(OR(ISNUMBER(SEARCH("화2",$H53)),ISNUMBER(SEARCH("화1.2",$H53))),1,"")</f>
        <v/>
      </c>
      <c r="N53" s="319">
        <f>IF(OR(ISNUMBER(SEARCH("화3",$H53)),ISNUMBER(SEARCH("화1.3",$H53)),ISNUMBER(SEARCH("화2.3",$H53)),ISNUMBER(SEARCH("화1.2.3",$H53))),1,"")</f>
        <v/>
      </c>
      <c r="O53" s="319">
        <f>IF(ISNUMBER(SEARCH("수1",$H53)),1,"")</f>
        <v/>
      </c>
      <c r="P53" s="319">
        <f>IF(OR(ISNUMBER(SEARCH("수2",$H53)),ISNUMBER(SEARCH("수1.2",$H53))),1,"")</f>
        <v/>
      </c>
      <c r="Q53" s="319">
        <f>IF(OR(ISNUMBER(SEARCH("수3",$H53)),ISNUMBER(SEARCH("수1.3",$H53)),ISNUMBER(SEARCH("수2.3",$H53)),ISNUMBER(SEARCH("수1.2.3",$H53))),1,"")</f>
        <v/>
      </c>
      <c r="R53" s="319">
        <f>IF(ISNUMBER(SEARCH("목1",$H53)),1,"")</f>
        <v/>
      </c>
      <c r="S53" s="319">
        <f>IF(OR(ISNUMBER(SEARCH("목2",$H53)),ISNUMBER(SEARCH("목1.2",$H53))),1,"")</f>
        <v/>
      </c>
      <c r="T53" s="319">
        <f>IF(OR(ISNUMBER(SEARCH("목3",$H53)),ISNUMBER(SEARCH("목1.3",$H53)),ISNUMBER(SEARCH("목2.3",$H53)),ISNUMBER(SEARCH("목1.2.3",$H53))),1,"")</f>
        <v/>
      </c>
      <c r="U53" s="319">
        <f>IF(ISNUMBER(SEARCH("금1",$H53)),1,"")</f>
        <v/>
      </c>
      <c r="V53" s="319">
        <f>IF(OR(ISNUMBER(SEARCH("금2",$H53)),ISNUMBER(SEARCH("금1.2",$H53))),1,"")</f>
        <v/>
      </c>
      <c r="W53" s="319">
        <f>IF(OR(ISNUMBER(SEARCH("금3",$H53)),ISNUMBER(SEARCH("금1.3",$H53)),ISNUMBER(SEARCH("금2.3",$H53)),ISNUMBER(SEARCH("금1.2.3",$H53))),1,"")</f>
        <v/>
      </c>
      <c r="X53" s="319">
        <f>IF(ISNUMBER(SEARCH("토1",$H53)),1,"")</f>
        <v/>
      </c>
      <c r="Y53" s="319">
        <f>IF(OR(ISNUMBER(SEARCH("토2",$H53)),ISNUMBER(SEARCH("토1.2",$H53))),1,"")</f>
        <v/>
      </c>
      <c r="Z53" s="319">
        <f>IF(OR(ISNUMBER(SEARCH("토3",$H53)),ISNUMBER(SEARCH("토1.3",$H53)),ISNUMBER(SEARCH("토2.3",$H53)),ISNUMBER(SEARCH("토1.2.3",$H53))),1,"")</f>
        <v/>
      </c>
      <c r="AA53" s="319">
        <f>IF(ISNUMBER(SEARCH("일1",$H53)),1,"")</f>
        <v/>
      </c>
      <c r="AB53" s="319">
        <f>IF(OR(ISNUMBER(SEARCH("일2",$H53)),ISNUMBER(SEARCH("일1.2",$H53))),1,"")</f>
        <v/>
      </c>
      <c r="AC53" s="319">
        <f>IF(OR(ISNUMBER(SEARCH("일3",$H53)),ISNUMBER(SEARCH("일1.3",$H53)),ISNUMBER(SEARCH("일2.3",$H53)),ISNUMBER(SEARCH("일1.2.3",$H53))),1,"")</f>
        <v/>
      </c>
      <c r="AD53" s="319">
        <f>SUM(I53:AC53)</f>
        <v/>
      </c>
      <c r="AE53" s="323" t="n"/>
    </row>
    <row r="54" ht="24" customHeight="1">
      <c r="A54" s="168" t="n"/>
      <c r="B54" s="319" t="n"/>
      <c r="C54" s="319" t="n"/>
      <c r="D54" s="319" t="n"/>
      <c r="E54" s="341" t="n"/>
      <c r="F54" s="341" t="n"/>
      <c r="G54" s="342" t="n"/>
      <c r="H54" s="322" t="n"/>
      <c r="I54" s="319">
        <f>IF(ISNUMBER(SEARCH("월1",$H54)),1,"")</f>
        <v/>
      </c>
      <c r="J54" s="319">
        <f>IF(OR(ISNUMBER(SEARCH("월2",$H54)),ISNUMBER(SEARCH("월1.2",$H54))),1,"")</f>
        <v/>
      </c>
      <c r="K54" s="319">
        <f>IF(OR(ISNUMBER(SEARCH("월3",$H54)),ISNUMBER(SEARCH("월1.3",$H54)),ISNUMBER(SEARCH("월2.3",$H54)),ISNUMBER(SEARCH("월1.2.3",$H54))),1,"")</f>
        <v/>
      </c>
      <c r="L54" s="319">
        <f>IF(ISNUMBER(SEARCH("화1",$H54)),1,"")</f>
        <v/>
      </c>
      <c r="M54" s="319">
        <f>IF(OR(ISNUMBER(SEARCH("화2",$H54)),ISNUMBER(SEARCH("화1.2",$H54))),1,"")</f>
        <v/>
      </c>
      <c r="N54" s="319">
        <f>IF(OR(ISNUMBER(SEARCH("화3",$H54)),ISNUMBER(SEARCH("화1.3",$H54)),ISNUMBER(SEARCH("화2.3",$H54)),ISNUMBER(SEARCH("화1.2.3",$H54))),1,"")</f>
        <v/>
      </c>
      <c r="O54" s="319">
        <f>IF(ISNUMBER(SEARCH("수1",$H54)),1,"")</f>
        <v/>
      </c>
      <c r="P54" s="319">
        <f>IF(OR(ISNUMBER(SEARCH("수2",$H54)),ISNUMBER(SEARCH("수1.2",$H54))),1,"")</f>
        <v/>
      </c>
      <c r="Q54" s="319">
        <f>IF(OR(ISNUMBER(SEARCH("수3",$H54)),ISNUMBER(SEARCH("수1.3",$H54)),ISNUMBER(SEARCH("수2.3",$H54)),ISNUMBER(SEARCH("수1.2.3",$H54))),1,"")</f>
        <v/>
      </c>
      <c r="R54" s="319">
        <f>IF(ISNUMBER(SEARCH("목1",$H54)),1,"")</f>
        <v/>
      </c>
      <c r="S54" s="319">
        <f>IF(OR(ISNUMBER(SEARCH("목2",$H54)),ISNUMBER(SEARCH("목1.2",$H54))),1,"")</f>
        <v/>
      </c>
      <c r="T54" s="319">
        <f>IF(OR(ISNUMBER(SEARCH("목3",$H54)),ISNUMBER(SEARCH("목1.3",$H54)),ISNUMBER(SEARCH("목2.3",$H54)),ISNUMBER(SEARCH("목1.2.3",$H54))),1,"")</f>
        <v/>
      </c>
      <c r="U54" s="319">
        <f>IF(ISNUMBER(SEARCH("금1",$H54)),1,"")</f>
        <v/>
      </c>
      <c r="V54" s="319">
        <f>IF(OR(ISNUMBER(SEARCH("금2",$H54)),ISNUMBER(SEARCH("금1.2",$H54))),1,"")</f>
        <v/>
      </c>
      <c r="W54" s="319">
        <f>IF(OR(ISNUMBER(SEARCH("금3",$H54)),ISNUMBER(SEARCH("금1.3",$H54)),ISNUMBER(SEARCH("금2.3",$H54)),ISNUMBER(SEARCH("금1.2.3",$H54))),1,"")</f>
        <v/>
      </c>
      <c r="X54" s="319">
        <f>IF(ISNUMBER(SEARCH("토1",$H54)),1,"")</f>
        <v/>
      </c>
      <c r="Y54" s="319">
        <f>IF(OR(ISNUMBER(SEARCH("토2",$H54)),ISNUMBER(SEARCH("토1.2",$H54))),1,"")</f>
        <v/>
      </c>
      <c r="Z54" s="319">
        <f>IF(OR(ISNUMBER(SEARCH("토3",$H54)),ISNUMBER(SEARCH("토1.3",$H54)),ISNUMBER(SEARCH("토2.3",$H54)),ISNUMBER(SEARCH("토1.2.3",$H54))),1,"")</f>
        <v/>
      </c>
      <c r="AA54" s="319">
        <f>IF(ISNUMBER(SEARCH("일1",$H54)),1,"")</f>
        <v/>
      </c>
      <c r="AB54" s="319">
        <f>IF(OR(ISNUMBER(SEARCH("일2",$H54)),ISNUMBER(SEARCH("일1.2",$H54))),1,"")</f>
        <v/>
      </c>
      <c r="AC54" s="319">
        <f>IF(OR(ISNUMBER(SEARCH("일3",$H54)),ISNUMBER(SEARCH("일1.3",$H54)),ISNUMBER(SEARCH("일2.3",$H54)),ISNUMBER(SEARCH("일1.2.3",$H54))),1,"")</f>
        <v/>
      </c>
      <c r="AD54" s="319">
        <f>SUM(I54:AC54)</f>
        <v/>
      </c>
      <c r="AE54" s="323" t="n"/>
    </row>
    <row r="55" ht="24" customHeight="1">
      <c r="A55" s="168" t="n"/>
      <c r="B55" s="319" t="n"/>
      <c r="C55" s="319" t="n"/>
      <c r="D55" s="319" t="n"/>
      <c r="E55" s="341" t="n"/>
      <c r="F55" s="341" t="n"/>
      <c r="G55" s="342" t="n"/>
      <c r="H55" s="322" t="n"/>
      <c r="I55" s="319">
        <f>IF(ISNUMBER(SEARCH("월1",$H55)),1,"")</f>
        <v/>
      </c>
      <c r="J55" s="319">
        <f>IF(OR(ISNUMBER(SEARCH("월2",$H55)),ISNUMBER(SEARCH("월1.2",$H55))),1,"")</f>
        <v/>
      </c>
      <c r="K55" s="319">
        <f>IF(OR(ISNUMBER(SEARCH("월3",$H55)),ISNUMBER(SEARCH("월1.3",$H55)),ISNUMBER(SEARCH("월2.3",$H55)),ISNUMBER(SEARCH("월1.2.3",$H55))),1,"")</f>
        <v/>
      </c>
      <c r="L55" s="319">
        <f>IF(ISNUMBER(SEARCH("화1",$H55)),1,"")</f>
        <v/>
      </c>
      <c r="M55" s="319">
        <f>IF(OR(ISNUMBER(SEARCH("화2",$H55)),ISNUMBER(SEARCH("화1.2",$H55))),1,"")</f>
        <v/>
      </c>
      <c r="N55" s="319">
        <f>IF(OR(ISNUMBER(SEARCH("화3",$H55)),ISNUMBER(SEARCH("화1.3",$H55)),ISNUMBER(SEARCH("화2.3",$H55)),ISNUMBER(SEARCH("화1.2.3",$H55))),1,"")</f>
        <v/>
      </c>
      <c r="O55" s="319">
        <f>IF(ISNUMBER(SEARCH("수1",$H55)),1,"")</f>
        <v/>
      </c>
      <c r="P55" s="319">
        <f>IF(OR(ISNUMBER(SEARCH("수2",$H55)),ISNUMBER(SEARCH("수1.2",$H55))),1,"")</f>
        <v/>
      </c>
      <c r="Q55" s="319">
        <f>IF(OR(ISNUMBER(SEARCH("수3",$H55)),ISNUMBER(SEARCH("수1.3",$H55)),ISNUMBER(SEARCH("수2.3",$H55)),ISNUMBER(SEARCH("수1.2.3",$H55))),1,"")</f>
        <v/>
      </c>
      <c r="R55" s="319">
        <f>IF(ISNUMBER(SEARCH("목1",$H55)),1,"")</f>
        <v/>
      </c>
      <c r="S55" s="319">
        <f>IF(OR(ISNUMBER(SEARCH("목2",$H55)),ISNUMBER(SEARCH("목1.2",$H55))),1,"")</f>
        <v/>
      </c>
      <c r="T55" s="319">
        <f>IF(OR(ISNUMBER(SEARCH("목3",$H55)),ISNUMBER(SEARCH("목1.3",$H55)),ISNUMBER(SEARCH("목2.3",$H55)),ISNUMBER(SEARCH("목1.2.3",$H55))),1,"")</f>
        <v/>
      </c>
      <c r="U55" s="319">
        <f>IF(ISNUMBER(SEARCH("금1",$H55)),1,"")</f>
        <v/>
      </c>
      <c r="V55" s="319">
        <f>IF(OR(ISNUMBER(SEARCH("금2",$H55)),ISNUMBER(SEARCH("금1.2",$H55))),1,"")</f>
        <v/>
      </c>
      <c r="W55" s="319">
        <f>IF(OR(ISNUMBER(SEARCH("금3",$H55)),ISNUMBER(SEARCH("금1.3",$H55)),ISNUMBER(SEARCH("금2.3",$H55)),ISNUMBER(SEARCH("금1.2.3",$H55))),1,"")</f>
        <v/>
      </c>
      <c r="X55" s="319">
        <f>IF(ISNUMBER(SEARCH("토1",$H55)),1,"")</f>
        <v/>
      </c>
      <c r="Y55" s="319">
        <f>IF(OR(ISNUMBER(SEARCH("토2",$H55)),ISNUMBER(SEARCH("토1.2",$H55))),1,"")</f>
        <v/>
      </c>
      <c r="Z55" s="319">
        <f>IF(OR(ISNUMBER(SEARCH("토3",$H55)),ISNUMBER(SEARCH("토1.3",$H55)),ISNUMBER(SEARCH("토2.3",$H55)),ISNUMBER(SEARCH("토1.2.3",$H55))),1,"")</f>
        <v/>
      </c>
      <c r="AA55" s="319">
        <f>IF(ISNUMBER(SEARCH("일1",$H55)),1,"")</f>
        <v/>
      </c>
      <c r="AB55" s="319">
        <f>IF(OR(ISNUMBER(SEARCH("일2",$H55)),ISNUMBER(SEARCH("일1.2",$H55))),1,"")</f>
        <v/>
      </c>
      <c r="AC55" s="319">
        <f>IF(OR(ISNUMBER(SEARCH("일3",$H55)),ISNUMBER(SEARCH("일1.3",$H55)),ISNUMBER(SEARCH("일2.3",$H55)),ISNUMBER(SEARCH("일1.2.3",$H55))),1,"")</f>
        <v/>
      </c>
      <c r="AD55" s="319">
        <f>SUM(I55:AC55)</f>
        <v/>
      </c>
      <c r="AE55" s="323" t="n"/>
    </row>
    <row r="56" ht="24" customHeight="1">
      <c r="A56" s="170" t="n"/>
      <c r="B56" s="324" t="n"/>
      <c r="C56" s="324" t="n"/>
      <c r="D56" s="324" t="n"/>
      <c r="E56" s="343" t="n"/>
      <c r="F56" s="343" t="n"/>
      <c r="G56" s="344" t="n"/>
      <c r="H56" s="327" t="n"/>
      <c r="I56" s="324">
        <f>IF(ISNUMBER(SEARCH("월1",$H56)),1,"")</f>
        <v/>
      </c>
      <c r="J56" s="324">
        <f>IF(OR(ISNUMBER(SEARCH("월2",$H56)),ISNUMBER(SEARCH("월1.2",$H56))),1,"")</f>
        <v/>
      </c>
      <c r="K56" s="324">
        <f>IF(OR(ISNUMBER(SEARCH("월3",$H56)),ISNUMBER(SEARCH("월1.3",$H56)),ISNUMBER(SEARCH("월2.3",$H56)),ISNUMBER(SEARCH("월1.2.3",$H56))),1,"")</f>
        <v/>
      </c>
      <c r="L56" s="324">
        <f>IF(ISNUMBER(SEARCH("화1",$H56)),1,"")</f>
        <v/>
      </c>
      <c r="M56" s="324">
        <f>IF(OR(ISNUMBER(SEARCH("화2",$H56)),ISNUMBER(SEARCH("화1.2",$H56))),1,"")</f>
        <v/>
      </c>
      <c r="N56" s="324">
        <f>IF(OR(ISNUMBER(SEARCH("화3",$H56)),ISNUMBER(SEARCH("화1.3",$H56)),ISNUMBER(SEARCH("화2.3",$H56)),ISNUMBER(SEARCH("화1.2.3",$H56))),1,"")</f>
        <v/>
      </c>
      <c r="O56" s="324">
        <f>IF(ISNUMBER(SEARCH("수1",$H56)),1,"")</f>
        <v/>
      </c>
      <c r="P56" s="324">
        <f>IF(OR(ISNUMBER(SEARCH("수2",$H56)),ISNUMBER(SEARCH("수1.2",$H56))),1,"")</f>
        <v/>
      </c>
      <c r="Q56" s="324">
        <f>IF(OR(ISNUMBER(SEARCH("수3",$H56)),ISNUMBER(SEARCH("수1.3",$H56)),ISNUMBER(SEARCH("수2.3",$H56)),ISNUMBER(SEARCH("수1.2.3",$H56))),1,"")</f>
        <v/>
      </c>
      <c r="R56" s="324">
        <f>IF(ISNUMBER(SEARCH("목1",$H56)),1,"")</f>
        <v/>
      </c>
      <c r="S56" s="324">
        <f>IF(OR(ISNUMBER(SEARCH("목2",$H56)),ISNUMBER(SEARCH("목1.2",$H56))),1,"")</f>
        <v/>
      </c>
      <c r="T56" s="324">
        <f>IF(OR(ISNUMBER(SEARCH("목3",$H56)),ISNUMBER(SEARCH("목1.3",$H56)),ISNUMBER(SEARCH("목2.3",$H56)),ISNUMBER(SEARCH("목1.2.3",$H56))),1,"")</f>
        <v/>
      </c>
      <c r="U56" s="324">
        <f>IF(ISNUMBER(SEARCH("금1",$H56)),1,"")</f>
        <v/>
      </c>
      <c r="V56" s="324">
        <f>IF(OR(ISNUMBER(SEARCH("금2",$H56)),ISNUMBER(SEARCH("금1.2",$H56))),1,"")</f>
        <v/>
      </c>
      <c r="W56" s="324">
        <f>IF(OR(ISNUMBER(SEARCH("금3",$H56)),ISNUMBER(SEARCH("금1.3",$H56)),ISNUMBER(SEARCH("금2.3",$H56)),ISNUMBER(SEARCH("금1.2.3",$H56))),1,"")</f>
        <v/>
      </c>
      <c r="X56" s="324">
        <f>IF(ISNUMBER(SEARCH("토1",$H56)),1,"")</f>
        <v/>
      </c>
      <c r="Y56" s="324">
        <f>IF(OR(ISNUMBER(SEARCH("토2",$H56)),ISNUMBER(SEARCH("토1.2",$H56))),1,"")</f>
        <v/>
      </c>
      <c r="Z56" s="324">
        <f>IF(OR(ISNUMBER(SEARCH("토3",$H56)),ISNUMBER(SEARCH("토1.3",$H56)),ISNUMBER(SEARCH("토2.3",$H56)),ISNUMBER(SEARCH("토1.2.3",$H56))),1,"")</f>
        <v/>
      </c>
      <c r="AA56" s="324">
        <f>IF(ISNUMBER(SEARCH("일1",$H56)),1,"")</f>
        <v/>
      </c>
      <c r="AB56" s="324">
        <f>IF(OR(ISNUMBER(SEARCH("일2",$H56)),ISNUMBER(SEARCH("일1.2",$H56))),1,"")</f>
        <v/>
      </c>
      <c r="AC56" s="324">
        <f>IF(OR(ISNUMBER(SEARCH("일3",$H56)),ISNUMBER(SEARCH("일1.3",$H56)),ISNUMBER(SEARCH("일2.3",$H56)),ISNUMBER(SEARCH("일1.2.3",$H56))),1,"")</f>
        <v/>
      </c>
      <c r="AD56" s="324">
        <f>SUM(I56:AC56)</f>
        <v/>
      </c>
      <c r="AE56" s="328" t="n"/>
    </row>
    <row r="57" ht="27" customHeight="1">
      <c r="A57" s="336" t="n"/>
      <c r="B57" s="337" t="n"/>
      <c r="C57" s="337" t="n"/>
      <c r="D57" s="337" t="n"/>
      <c r="E57" s="337" t="n"/>
      <c r="F57" s="337" t="n"/>
      <c r="G57" s="337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  <c r="AD57" s="337" t="n"/>
      <c r="AE57" s="338" t="n"/>
    </row>
    <row r="58" ht="24" customHeight="1">
      <c r="A58" s="166" t="n"/>
      <c r="B58" s="314" t="n"/>
      <c r="C58" s="314" t="n"/>
      <c r="D58" s="314" t="n"/>
      <c r="E58" s="339" t="n"/>
      <c r="F58" s="339" t="n"/>
      <c r="G58" s="340" t="n"/>
      <c r="H58" s="317" t="n"/>
      <c r="I58" s="314">
        <f>IF(ISNUMBER(SEARCH("월1",$H58)),1,"")</f>
        <v/>
      </c>
      <c r="J58" s="314">
        <f>IF(OR(ISNUMBER(SEARCH("월2",$H58)),ISNUMBER(SEARCH("월1.2",$H58))),1,"")</f>
        <v/>
      </c>
      <c r="K58" s="314">
        <f>IF(OR(ISNUMBER(SEARCH("월3",$H58)),ISNUMBER(SEARCH("월1.3",$H58)),ISNUMBER(SEARCH("월2.3",$H58)),ISNUMBER(SEARCH("월1.2.3",$H58))),1,"")</f>
        <v/>
      </c>
      <c r="L58" s="314">
        <f>IF(ISNUMBER(SEARCH("화1",$H58)),1,"")</f>
        <v/>
      </c>
      <c r="M58" s="314">
        <f>IF(OR(ISNUMBER(SEARCH("화2",$H58)),ISNUMBER(SEARCH("화1.2",$H58))),1,"")</f>
        <v/>
      </c>
      <c r="N58" s="314">
        <f>IF(OR(ISNUMBER(SEARCH("화3",$H58)),ISNUMBER(SEARCH("화1.3",$H58)),ISNUMBER(SEARCH("화2.3",$H58)),ISNUMBER(SEARCH("화1.2.3",$H58))),1,"")</f>
        <v/>
      </c>
      <c r="O58" s="314">
        <f>IF(ISNUMBER(SEARCH("수1",$H58)),1,"")</f>
        <v/>
      </c>
      <c r="P58" s="314">
        <f>IF(OR(ISNUMBER(SEARCH("수2",$H58)),ISNUMBER(SEARCH("수1.2",$H58))),1,"")</f>
        <v/>
      </c>
      <c r="Q58" s="314">
        <f>IF(OR(ISNUMBER(SEARCH("수3",$H58)),ISNUMBER(SEARCH("수1.3",$H58)),ISNUMBER(SEARCH("수2.3",$H58)),ISNUMBER(SEARCH("수1.2.3",$H58))),1,"")</f>
        <v/>
      </c>
      <c r="R58" s="314">
        <f>IF(ISNUMBER(SEARCH("목1",$H58)),1,"")</f>
        <v/>
      </c>
      <c r="S58" s="314">
        <f>IF(OR(ISNUMBER(SEARCH("목2",$H58)),ISNUMBER(SEARCH("목1.2",$H58))),1,"")</f>
        <v/>
      </c>
      <c r="T58" s="314">
        <f>IF(OR(ISNUMBER(SEARCH("목3",$H58)),ISNUMBER(SEARCH("목1.3",$H58)),ISNUMBER(SEARCH("목2.3",$H58)),ISNUMBER(SEARCH("목1.2.3",$H58))),1,"")</f>
        <v/>
      </c>
      <c r="U58" s="314">
        <f>IF(ISNUMBER(SEARCH("금1",$H58)),1,"")</f>
        <v/>
      </c>
      <c r="V58" s="314">
        <f>IF(OR(ISNUMBER(SEARCH("금2",$H58)),ISNUMBER(SEARCH("금1.2",$H58))),1,"")</f>
        <v/>
      </c>
      <c r="W58" s="314">
        <f>IF(OR(ISNUMBER(SEARCH("금3",$H58)),ISNUMBER(SEARCH("금1.3",$H58)),ISNUMBER(SEARCH("금2.3",$H58)),ISNUMBER(SEARCH("금1.2.3",$H58))),1,"")</f>
        <v/>
      </c>
      <c r="X58" s="314">
        <f>IF(ISNUMBER(SEARCH("토1",$H58)),1,"")</f>
        <v/>
      </c>
      <c r="Y58" s="314">
        <f>IF(OR(ISNUMBER(SEARCH("토2",$H58)),ISNUMBER(SEARCH("토1.2",$H58))),1,"")</f>
        <v/>
      </c>
      <c r="Z58" s="314">
        <f>IF(OR(ISNUMBER(SEARCH("토3",$H58)),ISNUMBER(SEARCH("토1.3",$H58)),ISNUMBER(SEARCH("토2.3",$H58)),ISNUMBER(SEARCH("토1.2.3",$H58))),1,"")</f>
        <v/>
      </c>
      <c r="AA58" s="314">
        <f>IF(ISNUMBER(SEARCH("일1",$H58)),1,"")</f>
        <v/>
      </c>
      <c r="AB58" s="314">
        <f>IF(OR(ISNUMBER(SEARCH("일2",$H58)),ISNUMBER(SEARCH("일1.2",$H58))),1,"")</f>
        <v/>
      </c>
      <c r="AC58" s="314">
        <f>IF(OR(ISNUMBER(SEARCH("일3",$H58)),ISNUMBER(SEARCH("일1.3",$H58)),ISNUMBER(SEARCH("일2.3",$H58)),ISNUMBER(SEARCH("일1.2.3",$H58))),1,"")</f>
        <v/>
      </c>
      <c r="AD58" s="314">
        <f>SUM(I58:AC58)</f>
        <v/>
      </c>
      <c r="AE58" s="318" t="n"/>
    </row>
    <row r="59" ht="24" customHeight="1">
      <c r="A59" s="168" t="n"/>
      <c r="B59" s="319" t="n"/>
      <c r="C59" s="319" t="n"/>
      <c r="D59" s="319" t="n"/>
      <c r="E59" s="341" t="n"/>
      <c r="F59" s="341" t="n"/>
      <c r="G59" s="342" t="n"/>
      <c r="H59" s="322" t="n"/>
      <c r="I59" s="319">
        <f>IF(ISNUMBER(SEARCH("월1",$H59)),1,"")</f>
        <v/>
      </c>
      <c r="J59" s="319">
        <f>IF(OR(ISNUMBER(SEARCH("월2",$H59)),ISNUMBER(SEARCH("월1.2",$H59))),1,"")</f>
        <v/>
      </c>
      <c r="K59" s="319">
        <f>IF(OR(ISNUMBER(SEARCH("월3",$H59)),ISNUMBER(SEARCH("월1.3",$H59)),ISNUMBER(SEARCH("월2.3",$H59)),ISNUMBER(SEARCH("월1.2.3",$H59))),1,"")</f>
        <v/>
      </c>
      <c r="L59" s="319">
        <f>IF(ISNUMBER(SEARCH("화1",$H59)),1,"")</f>
        <v/>
      </c>
      <c r="M59" s="319">
        <f>IF(OR(ISNUMBER(SEARCH("화2",$H59)),ISNUMBER(SEARCH("화1.2",$H59))),1,"")</f>
        <v/>
      </c>
      <c r="N59" s="319">
        <f>IF(OR(ISNUMBER(SEARCH("화3",$H59)),ISNUMBER(SEARCH("화1.3",$H59)),ISNUMBER(SEARCH("화2.3",$H59)),ISNUMBER(SEARCH("화1.2.3",$H59))),1,"")</f>
        <v/>
      </c>
      <c r="O59" s="319">
        <f>IF(ISNUMBER(SEARCH("수1",$H59)),1,"")</f>
        <v/>
      </c>
      <c r="P59" s="319">
        <f>IF(OR(ISNUMBER(SEARCH("수2",$H59)),ISNUMBER(SEARCH("수1.2",$H59))),1,"")</f>
        <v/>
      </c>
      <c r="Q59" s="319">
        <f>IF(OR(ISNUMBER(SEARCH("수3",$H59)),ISNUMBER(SEARCH("수1.3",$H59)),ISNUMBER(SEARCH("수2.3",$H59)),ISNUMBER(SEARCH("수1.2.3",$H59))),1,"")</f>
        <v/>
      </c>
      <c r="R59" s="319">
        <f>IF(ISNUMBER(SEARCH("목1",$H59)),1,"")</f>
        <v/>
      </c>
      <c r="S59" s="319">
        <f>IF(OR(ISNUMBER(SEARCH("목2",$H59)),ISNUMBER(SEARCH("목1.2",$H59))),1,"")</f>
        <v/>
      </c>
      <c r="T59" s="319">
        <f>IF(OR(ISNUMBER(SEARCH("목3",$H59)),ISNUMBER(SEARCH("목1.3",$H59)),ISNUMBER(SEARCH("목2.3",$H59)),ISNUMBER(SEARCH("목1.2.3",$H59))),1,"")</f>
        <v/>
      </c>
      <c r="U59" s="319">
        <f>IF(ISNUMBER(SEARCH("금1",$H59)),1,"")</f>
        <v/>
      </c>
      <c r="V59" s="319">
        <f>IF(OR(ISNUMBER(SEARCH("금2",$H59)),ISNUMBER(SEARCH("금1.2",$H59))),1,"")</f>
        <v/>
      </c>
      <c r="W59" s="319">
        <f>IF(OR(ISNUMBER(SEARCH("금3",$H59)),ISNUMBER(SEARCH("금1.3",$H59)),ISNUMBER(SEARCH("금2.3",$H59)),ISNUMBER(SEARCH("금1.2.3",$H59))),1,"")</f>
        <v/>
      </c>
      <c r="X59" s="319">
        <f>IF(ISNUMBER(SEARCH("토1",$H59)),1,"")</f>
        <v/>
      </c>
      <c r="Y59" s="319">
        <f>IF(OR(ISNUMBER(SEARCH("토2",$H59)),ISNUMBER(SEARCH("토1.2",$H59))),1,"")</f>
        <v/>
      </c>
      <c r="Z59" s="319">
        <f>IF(OR(ISNUMBER(SEARCH("토3",$H59)),ISNUMBER(SEARCH("토1.3",$H59)),ISNUMBER(SEARCH("토2.3",$H59)),ISNUMBER(SEARCH("토1.2.3",$H59))),1,"")</f>
        <v/>
      </c>
      <c r="AA59" s="319">
        <f>IF(ISNUMBER(SEARCH("일1",$H59)),1,"")</f>
        <v/>
      </c>
      <c r="AB59" s="319">
        <f>IF(OR(ISNUMBER(SEARCH("일2",$H59)),ISNUMBER(SEARCH("일1.2",$H59))),1,"")</f>
        <v/>
      </c>
      <c r="AC59" s="319">
        <f>IF(OR(ISNUMBER(SEARCH("일3",$H59)),ISNUMBER(SEARCH("일1.3",$H59)),ISNUMBER(SEARCH("일2.3",$H59)),ISNUMBER(SEARCH("일1.2.3",$H59))),1,"")</f>
        <v/>
      </c>
      <c r="AD59" s="319">
        <f>SUM(I59:AC59)</f>
        <v/>
      </c>
      <c r="AE59" s="323" t="n"/>
    </row>
    <row r="60" ht="24" customHeight="1">
      <c r="A60" s="168" t="n"/>
      <c r="B60" s="319" t="n"/>
      <c r="C60" s="319" t="n"/>
      <c r="D60" s="319" t="n"/>
      <c r="E60" s="341" t="n"/>
      <c r="F60" s="341" t="n"/>
      <c r="G60" s="342" t="n"/>
      <c r="H60" s="322" t="n"/>
      <c r="I60" s="319">
        <f>IF(ISNUMBER(SEARCH("월1",$H60)),1,"")</f>
        <v/>
      </c>
      <c r="J60" s="319">
        <f>IF(OR(ISNUMBER(SEARCH("월2",$H60)),ISNUMBER(SEARCH("월1.2",$H60))),1,"")</f>
        <v/>
      </c>
      <c r="K60" s="319">
        <f>IF(OR(ISNUMBER(SEARCH("월3",$H60)),ISNUMBER(SEARCH("월1.3",$H60)),ISNUMBER(SEARCH("월2.3",$H60)),ISNUMBER(SEARCH("월1.2.3",$H60))),1,"")</f>
        <v/>
      </c>
      <c r="L60" s="319">
        <f>IF(ISNUMBER(SEARCH("화1",$H60)),1,"")</f>
        <v/>
      </c>
      <c r="M60" s="319">
        <f>IF(OR(ISNUMBER(SEARCH("화2",$H60)),ISNUMBER(SEARCH("화1.2",$H60))),1,"")</f>
        <v/>
      </c>
      <c r="N60" s="319">
        <f>IF(OR(ISNUMBER(SEARCH("화3",$H60)),ISNUMBER(SEARCH("화1.3",$H60)),ISNUMBER(SEARCH("화2.3",$H60)),ISNUMBER(SEARCH("화1.2.3",$H60))),1,"")</f>
        <v/>
      </c>
      <c r="O60" s="319">
        <f>IF(ISNUMBER(SEARCH("수1",$H60)),1,"")</f>
        <v/>
      </c>
      <c r="P60" s="319">
        <f>IF(OR(ISNUMBER(SEARCH("수2",$H60)),ISNUMBER(SEARCH("수1.2",$H60))),1,"")</f>
        <v/>
      </c>
      <c r="Q60" s="319">
        <f>IF(OR(ISNUMBER(SEARCH("수3",$H60)),ISNUMBER(SEARCH("수1.3",$H60)),ISNUMBER(SEARCH("수2.3",$H60)),ISNUMBER(SEARCH("수1.2.3",$H60))),1,"")</f>
        <v/>
      </c>
      <c r="R60" s="319">
        <f>IF(ISNUMBER(SEARCH("목1",$H60)),1,"")</f>
        <v/>
      </c>
      <c r="S60" s="319">
        <f>IF(OR(ISNUMBER(SEARCH("목2",$H60)),ISNUMBER(SEARCH("목1.2",$H60))),1,"")</f>
        <v/>
      </c>
      <c r="T60" s="319">
        <f>IF(OR(ISNUMBER(SEARCH("목3",$H60)),ISNUMBER(SEARCH("목1.3",$H60)),ISNUMBER(SEARCH("목2.3",$H60)),ISNUMBER(SEARCH("목1.2.3",$H60))),1,"")</f>
        <v/>
      </c>
      <c r="U60" s="319">
        <f>IF(ISNUMBER(SEARCH("금1",$H60)),1,"")</f>
        <v/>
      </c>
      <c r="V60" s="319">
        <f>IF(OR(ISNUMBER(SEARCH("금2",$H60)),ISNUMBER(SEARCH("금1.2",$H60))),1,"")</f>
        <v/>
      </c>
      <c r="W60" s="319">
        <f>IF(OR(ISNUMBER(SEARCH("금3",$H60)),ISNUMBER(SEARCH("금1.3",$H60)),ISNUMBER(SEARCH("금2.3",$H60)),ISNUMBER(SEARCH("금1.2.3",$H60))),1,"")</f>
        <v/>
      </c>
      <c r="X60" s="319">
        <f>IF(ISNUMBER(SEARCH("토1",$H60)),1,"")</f>
        <v/>
      </c>
      <c r="Y60" s="319">
        <f>IF(OR(ISNUMBER(SEARCH("토2",$H60)),ISNUMBER(SEARCH("토1.2",$H60))),1,"")</f>
        <v/>
      </c>
      <c r="Z60" s="319">
        <f>IF(OR(ISNUMBER(SEARCH("토3",$H60)),ISNUMBER(SEARCH("토1.3",$H60)),ISNUMBER(SEARCH("토2.3",$H60)),ISNUMBER(SEARCH("토1.2.3",$H60))),1,"")</f>
        <v/>
      </c>
      <c r="AA60" s="319">
        <f>IF(ISNUMBER(SEARCH("일1",$H60)),1,"")</f>
        <v/>
      </c>
      <c r="AB60" s="319">
        <f>IF(OR(ISNUMBER(SEARCH("일2",$H60)),ISNUMBER(SEARCH("일1.2",$H60))),1,"")</f>
        <v/>
      </c>
      <c r="AC60" s="319">
        <f>IF(OR(ISNUMBER(SEARCH("일3",$H60)),ISNUMBER(SEARCH("일1.3",$H60)),ISNUMBER(SEARCH("일2.3",$H60)),ISNUMBER(SEARCH("일1.2.3",$H60))),1,"")</f>
        <v/>
      </c>
      <c r="AD60" s="319">
        <f>SUM(I60:AC60)</f>
        <v/>
      </c>
      <c r="AE60" s="323" t="n"/>
    </row>
    <row r="61" ht="24" customHeight="1">
      <c r="A61" s="168" t="n"/>
      <c r="B61" s="319" t="n"/>
      <c r="C61" s="319" t="n"/>
      <c r="D61" s="319" t="n"/>
      <c r="E61" s="341" t="n"/>
      <c r="F61" s="341" t="n"/>
      <c r="G61" s="342" t="n"/>
      <c r="H61" s="322" t="n"/>
      <c r="I61" s="319">
        <f>IF(ISNUMBER(SEARCH("월1",$H61)),1,"")</f>
        <v/>
      </c>
      <c r="J61" s="319">
        <f>IF(OR(ISNUMBER(SEARCH("월2",$H61)),ISNUMBER(SEARCH("월1.2",$H61))),1,"")</f>
        <v/>
      </c>
      <c r="K61" s="319">
        <f>IF(OR(ISNUMBER(SEARCH("월3",$H61)),ISNUMBER(SEARCH("월1.3",$H61)),ISNUMBER(SEARCH("월2.3",$H61)),ISNUMBER(SEARCH("월1.2.3",$H61))),1,"")</f>
        <v/>
      </c>
      <c r="L61" s="319">
        <f>IF(ISNUMBER(SEARCH("화1",$H61)),1,"")</f>
        <v/>
      </c>
      <c r="M61" s="319">
        <f>IF(OR(ISNUMBER(SEARCH("화2",$H61)),ISNUMBER(SEARCH("화1.2",$H61))),1,"")</f>
        <v/>
      </c>
      <c r="N61" s="319">
        <f>IF(OR(ISNUMBER(SEARCH("화3",$H61)),ISNUMBER(SEARCH("화1.3",$H61)),ISNUMBER(SEARCH("화2.3",$H61)),ISNUMBER(SEARCH("화1.2.3",$H61))),1,"")</f>
        <v/>
      </c>
      <c r="O61" s="319">
        <f>IF(ISNUMBER(SEARCH("수1",$H61)),1,"")</f>
        <v/>
      </c>
      <c r="P61" s="319">
        <f>IF(OR(ISNUMBER(SEARCH("수2",$H61)),ISNUMBER(SEARCH("수1.2",$H61))),1,"")</f>
        <v/>
      </c>
      <c r="Q61" s="319">
        <f>IF(OR(ISNUMBER(SEARCH("수3",$H61)),ISNUMBER(SEARCH("수1.3",$H61)),ISNUMBER(SEARCH("수2.3",$H61)),ISNUMBER(SEARCH("수1.2.3",$H61))),1,"")</f>
        <v/>
      </c>
      <c r="R61" s="319">
        <f>IF(ISNUMBER(SEARCH("목1",$H61)),1,"")</f>
        <v/>
      </c>
      <c r="S61" s="319">
        <f>IF(OR(ISNUMBER(SEARCH("목2",$H61)),ISNUMBER(SEARCH("목1.2",$H61))),1,"")</f>
        <v/>
      </c>
      <c r="T61" s="319">
        <f>IF(OR(ISNUMBER(SEARCH("목3",$H61)),ISNUMBER(SEARCH("목1.3",$H61)),ISNUMBER(SEARCH("목2.3",$H61)),ISNUMBER(SEARCH("목1.2.3",$H61))),1,"")</f>
        <v/>
      </c>
      <c r="U61" s="319">
        <f>IF(ISNUMBER(SEARCH("금1",$H61)),1,"")</f>
        <v/>
      </c>
      <c r="V61" s="319">
        <f>IF(OR(ISNUMBER(SEARCH("금2",$H61)),ISNUMBER(SEARCH("금1.2",$H61))),1,"")</f>
        <v/>
      </c>
      <c r="W61" s="319">
        <f>IF(OR(ISNUMBER(SEARCH("금3",$H61)),ISNUMBER(SEARCH("금1.3",$H61)),ISNUMBER(SEARCH("금2.3",$H61)),ISNUMBER(SEARCH("금1.2.3",$H61))),1,"")</f>
        <v/>
      </c>
      <c r="X61" s="319">
        <f>IF(ISNUMBER(SEARCH("토1",$H61)),1,"")</f>
        <v/>
      </c>
      <c r="Y61" s="319">
        <f>IF(OR(ISNUMBER(SEARCH("토2",$H61)),ISNUMBER(SEARCH("토1.2",$H61))),1,"")</f>
        <v/>
      </c>
      <c r="Z61" s="319">
        <f>IF(OR(ISNUMBER(SEARCH("토3",$H61)),ISNUMBER(SEARCH("토1.3",$H61)),ISNUMBER(SEARCH("토2.3",$H61)),ISNUMBER(SEARCH("토1.2.3",$H61))),1,"")</f>
        <v/>
      </c>
      <c r="AA61" s="319">
        <f>IF(ISNUMBER(SEARCH("일1",$H61)),1,"")</f>
        <v/>
      </c>
      <c r="AB61" s="319">
        <f>IF(OR(ISNUMBER(SEARCH("일2",$H61)),ISNUMBER(SEARCH("일1.2",$H61))),1,"")</f>
        <v/>
      </c>
      <c r="AC61" s="319">
        <f>IF(OR(ISNUMBER(SEARCH("일3",$H61)),ISNUMBER(SEARCH("일1.3",$H61)),ISNUMBER(SEARCH("일2.3",$H61)),ISNUMBER(SEARCH("일1.2.3",$H61))),1,"")</f>
        <v/>
      </c>
      <c r="AD61" s="319">
        <f>SUM(I61:AC61)</f>
        <v/>
      </c>
      <c r="AE61" s="323" t="n"/>
    </row>
    <row r="62" ht="24" customHeight="1">
      <c r="A62" s="168" t="n"/>
      <c r="B62" s="319" t="n"/>
      <c r="C62" s="319" t="n"/>
      <c r="D62" s="319" t="n"/>
      <c r="E62" s="341" t="n"/>
      <c r="F62" s="341" t="n"/>
      <c r="G62" s="342" t="n"/>
      <c r="H62" s="322" t="n"/>
      <c r="I62" s="319">
        <f>IF(ISNUMBER(SEARCH("월1",$H62)),1,"")</f>
        <v/>
      </c>
      <c r="J62" s="319">
        <f>IF(OR(ISNUMBER(SEARCH("월2",$H62)),ISNUMBER(SEARCH("월1.2",$H62))),1,"")</f>
        <v/>
      </c>
      <c r="K62" s="319">
        <f>IF(OR(ISNUMBER(SEARCH("월3",$H62)),ISNUMBER(SEARCH("월1.3",$H62)),ISNUMBER(SEARCH("월2.3",$H62)),ISNUMBER(SEARCH("월1.2.3",$H62))),1,"")</f>
        <v/>
      </c>
      <c r="L62" s="319">
        <f>IF(ISNUMBER(SEARCH("화1",$H62)),1,"")</f>
        <v/>
      </c>
      <c r="M62" s="319">
        <f>IF(OR(ISNUMBER(SEARCH("화2",$H62)),ISNUMBER(SEARCH("화1.2",$H62))),1,"")</f>
        <v/>
      </c>
      <c r="N62" s="319">
        <f>IF(OR(ISNUMBER(SEARCH("화3",$H62)),ISNUMBER(SEARCH("화1.3",$H62)),ISNUMBER(SEARCH("화2.3",$H62)),ISNUMBER(SEARCH("화1.2.3",$H62))),1,"")</f>
        <v/>
      </c>
      <c r="O62" s="319">
        <f>IF(ISNUMBER(SEARCH("수1",$H62)),1,"")</f>
        <v/>
      </c>
      <c r="P62" s="319">
        <f>IF(OR(ISNUMBER(SEARCH("수2",$H62)),ISNUMBER(SEARCH("수1.2",$H62))),1,"")</f>
        <v/>
      </c>
      <c r="Q62" s="319">
        <f>IF(OR(ISNUMBER(SEARCH("수3",$H62)),ISNUMBER(SEARCH("수1.3",$H62)),ISNUMBER(SEARCH("수2.3",$H62)),ISNUMBER(SEARCH("수1.2.3",$H62))),1,"")</f>
        <v/>
      </c>
      <c r="R62" s="319">
        <f>IF(ISNUMBER(SEARCH("목1",$H62)),1,"")</f>
        <v/>
      </c>
      <c r="S62" s="319">
        <f>IF(OR(ISNUMBER(SEARCH("목2",$H62)),ISNUMBER(SEARCH("목1.2",$H62))),1,"")</f>
        <v/>
      </c>
      <c r="T62" s="319">
        <f>IF(OR(ISNUMBER(SEARCH("목3",$H62)),ISNUMBER(SEARCH("목1.3",$H62)),ISNUMBER(SEARCH("목2.3",$H62)),ISNUMBER(SEARCH("목1.2.3",$H62))),1,"")</f>
        <v/>
      </c>
      <c r="U62" s="319">
        <f>IF(ISNUMBER(SEARCH("금1",$H62)),1,"")</f>
        <v/>
      </c>
      <c r="V62" s="319">
        <f>IF(OR(ISNUMBER(SEARCH("금2",$H62)),ISNUMBER(SEARCH("금1.2",$H62))),1,"")</f>
        <v/>
      </c>
      <c r="W62" s="319">
        <f>IF(OR(ISNUMBER(SEARCH("금3",$H62)),ISNUMBER(SEARCH("금1.3",$H62)),ISNUMBER(SEARCH("금2.3",$H62)),ISNUMBER(SEARCH("금1.2.3",$H62))),1,"")</f>
        <v/>
      </c>
      <c r="X62" s="319">
        <f>IF(ISNUMBER(SEARCH("토1",$H62)),1,"")</f>
        <v/>
      </c>
      <c r="Y62" s="319">
        <f>IF(OR(ISNUMBER(SEARCH("토2",$H62)),ISNUMBER(SEARCH("토1.2",$H62))),1,"")</f>
        <v/>
      </c>
      <c r="Z62" s="319">
        <f>IF(OR(ISNUMBER(SEARCH("토3",$H62)),ISNUMBER(SEARCH("토1.3",$H62)),ISNUMBER(SEARCH("토2.3",$H62)),ISNUMBER(SEARCH("토1.2.3",$H62))),1,"")</f>
        <v/>
      </c>
      <c r="AA62" s="319">
        <f>IF(ISNUMBER(SEARCH("일1",$H62)),1,"")</f>
        <v/>
      </c>
      <c r="AB62" s="319">
        <f>IF(OR(ISNUMBER(SEARCH("일2",$H62)),ISNUMBER(SEARCH("일1.2",$H62))),1,"")</f>
        <v/>
      </c>
      <c r="AC62" s="319">
        <f>IF(OR(ISNUMBER(SEARCH("일3",$H62)),ISNUMBER(SEARCH("일1.3",$H62)),ISNUMBER(SEARCH("일2.3",$H62)),ISNUMBER(SEARCH("일1.2.3",$H62))),1,"")</f>
        <v/>
      </c>
      <c r="AD62" s="319">
        <f>SUM(I62:AC62)</f>
        <v/>
      </c>
      <c r="AE62" s="323" t="n"/>
    </row>
    <row r="63" ht="24" customHeight="1">
      <c r="A63" s="168" t="n"/>
      <c r="B63" s="319" t="n"/>
      <c r="C63" s="319" t="n"/>
      <c r="D63" s="319" t="n"/>
      <c r="E63" s="341" t="n"/>
      <c r="F63" s="341" t="n"/>
      <c r="G63" s="342" t="n"/>
      <c r="H63" s="322" t="n"/>
      <c r="I63" s="319">
        <f>IF(ISNUMBER(SEARCH("월1",$H63)),1,"")</f>
        <v/>
      </c>
      <c r="J63" s="319">
        <f>IF(OR(ISNUMBER(SEARCH("월2",$H63)),ISNUMBER(SEARCH("월1.2",$H63))),1,"")</f>
        <v/>
      </c>
      <c r="K63" s="319">
        <f>IF(OR(ISNUMBER(SEARCH("월3",$H63)),ISNUMBER(SEARCH("월1.3",$H63)),ISNUMBER(SEARCH("월2.3",$H63)),ISNUMBER(SEARCH("월1.2.3",$H63))),1,"")</f>
        <v/>
      </c>
      <c r="L63" s="319">
        <f>IF(ISNUMBER(SEARCH("화1",$H63)),1,"")</f>
        <v/>
      </c>
      <c r="M63" s="319">
        <f>IF(OR(ISNUMBER(SEARCH("화2",$H63)),ISNUMBER(SEARCH("화1.2",$H63))),1,"")</f>
        <v/>
      </c>
      <c r="N63" s="319">
        <f>IF(OR(ISNUMBER(SEARCH("화3",$H63)),ISNUMBER(SEARCH("화1.3",$H63)),ISNUMBER(SEARCH("화2.3",$H63)),ISNUMBER(SEARCH("화1.2.3",$H63))),1,"")</f>
        <v/>
      </c>
      <c r="O63" s="319">
        <f>IF(ISNUMBER(SEARCH("수1",$H63)),1,"")</f>
        <v/>
      </c>
      <c r="P63" s="319">
        <f>IF(OR(ISNUMBER(SEARCH("수2",$H63)),ISNUMBER(SEARCH("수1.2",$H63))),1,"")</f>
        <v/>
      </c>
      <c r="Q63" s="319">
        <f>IF(OR(ISNUMBER(SEARCH("수3",$H63)),ISNUMBER(SEARCH("수1.3",$H63)),ISNUMBER(SEARCH("수2.3",$H63)),ISNUMBER(SEARCH("수1.2.3",$H63))),1,"")</f>
        <v/>
      </c>
      <c r="R63" s="319">
        <f>IF(ISNUMBER(SEARCH("목1",$H63)),1,"")</f>
        <v/>
      </c>
      <c r="S63" s="319">
        <f>IF(OR(ISNUMBER(SEARCH("목2",$H63)),ISNUMBER(SEARCH("목1.2",$H63))),1,"")</f>
        <v/>
      </c>
      <c r="T63" s="319">
        <f>IF(OR(ISNUMBER(SEARCH("목3",$H63)),ISNUMBER(SEARCH("목1.3",$H63)),ISNUMBER(SEARCH("목2.3",$H63)),ISNUMBER(SEARCH("목1.2.3",$H63))),1,"")</f>
        <v/>
      </c>
      <c r="U63" s="319">
        <f>IF(ISNUMBER(SEARCH("금1",$H63)),1,"")</f>
        <v/>
      </c>
      <c r="V63" s="319">
        <f>IF(OR(ISNUMBER(SEARCH("금2",$H63)),ISNUMBER(SEARCH("금1.2",$H63))),1,"")</f>
        <v/>
      </c>
      <c r="W63" s="319">
        <f>IF(OR(ISNUMBER(SEARCH("금3",$H63)),ISNUMBER(SEARCH("금1.3",$H63)),ISNUMBER(SEARCH("금2.3",$H63)),ISNUMBER(SEARCH("금1.2.3",$H63))),1,"")</f>
        <v/>
      </c>
      <c r="X63" s="319">
        <f>IF(ISNUMBER(SEARCH("토1",$H63)),1,"")</f>
        <v/>
      </c>
      <c r="Y63" s="319">
        <f>IF(OR(ISNUMBER(SEARCH("토2",$H63)),ISNUMBER(SEARCH("토1.2",$H63))),1,"")</f>
        <v/>
      </c>
      <c r="Z63" s="319">
        <f>IF(OR(ISNUMBER(SEARCH("토3",$H63)),ISNUMBER(SEARCH("토1.3",$H63)),ISNUMBER(SEARCH("토2.3",$H63)),ISNUMBER(SEARCH("토1.2.3",$H63))),1,"")</f>
        <v/>
      </c>
      <c r="AA63" s="319">
        <f>IF(ISNUMBER(SEARCH("일1",$H63)),1,"")</f>
        <v/>
      </c>
      <c r="AB63" s="319">
        <f>IF(OR(ISNUMBER(SEARCH("일2",$H63)),ISNUMBER(SEARCH("일1.2",$H63))),1,"")</f>
        <v/>
      </c>
      <c r="AC63" s="319">
        <f>IF(OR(ISNUMBER(SEARCH("일3",$H63)),ISNUMBER(SEARCH("일1.3",$H63)),ISNUMBER(SEARCH("일2.3",$H63)),ISNUMBER(SEARCH("일1.2.3",$H63))),1,"")</f>
        <v/>
      </c>
      <c r="AD63" s="319">
        <f>SUM(I63:AC63)</f>
        <v/>
      </c>
      <c r="AE63" s="323" t="n"/>
    </row>
    <row r="64" ht="24" customHeight="1">
      <c r="A64" s="168" t="n"/>
      <c r="B64" s="319" t="n"/>
      <c r="C64" s="319" t="n"/>
      <c r="D64" s="319" t="n"/>
      <c r="E64" s="341" t="n"/>
      <c r="F64" s="341" t="n"/>
      <c r="G64" s="342" t="n"/>
      <c r="H64" s="322" t="n"/>
      <c r="I64" s="319">
        <f>IF(ISNUMBER(SEARCH("월1",$H64)),1,"")</f>
        <v/>
      </c>
      <c r="J64" s="319">
        <f>IF(OR(ISNUMBER(SEARCH("월2",$H64)),ISNUMBER(SEARCH("월1.2",$H64))),1,"")</f>
        <v/>
      </c>
      <c r="K64" s="319">
        <f>IF(OR(ISNUMBER(SEARCH("월3",$H64)),ISNUMBER(SEARCH("월1.3",$H64)),ISNUMBER(SEARCH("월2.3",$H64)),ISNUMBER(SEARCH("월1.2.3",$H64))),1,"")</f>
        <v/>
      </c>
      <c r="L64" s="319">
        <f>IF(ISNUMBER(SEARCH("화1",$H64)),1,"")</f>
        <v/>
      </c>
      <c r="M64" s="319">
        <f>IF(OR(ISNUMBER(SEARCH("화2",$H64)),ISNUMBER(SEARCH("화1.2",$H64))),1,"")</f>
        <v/>
      </c>
      <c r="N64" s="319">
        <f>IF(OR(ISNUMBER(SEARCH("화3",$H64)),ISNUMBER(SEARCH("화1.3",$H64)),ISNUMBER(SEARCH("화2.3",$H64)),ISNUMBER(SEARCH("화1.2.3",$H64))),1,"")</f>
        <v/>
      </c>
      <c r="O64" s="319">
        <f>IF(ISNUMBER(SEARCH("수1",$H64)),1,"")</f>
        <v/>
      </c>
      <c r="P64" s="319">
        <f>IF(OR(ISNUMBER(SEARCH("수2",$H64)),ISNUMBER(SEARCH("수1.2",$H64))),1,"")</f>
        <v/>
      </c>
      <c r="Q64" s="319">
        <f>IF(OR(ISNUMBER(SEARCH("수3",$H64)),ISNUMBER(SEARCH("수1.3",$H64)),ISNUMBER(SEARCH("수2.3",$H64)),ISNUMBER(SEARCH("수1.2.3",$H64))),1,"")</f>
        <v/>
      </c>
      <c r="R64" s="319">
        <f>IF(ISNUMBER(SEARCH("목1",$H64)),1,"")</f>
        <v/>
      </c>
      <c r="S64" s="319">
        <f>IF(OR(ISNUMBER(SEARCH("목2",$H64)),ISNUMBER(SEARCH("목1.2",$H64))),1,"")</f>
        <v/>
      </c>
      <c r="T64" s="319">
        <f>IF(OR(ISNUMBER(SEARCH("목3",$H64)),ISNUMBER(SEARCH("목1.3",$H64)),ISNUMBER(SEARCH("목2.3",$H64)),ISNUMBER(SEARCH("목1.2.3",$H64))),1,"")</f>
        <v/>
      </c>
      <c r="U64" s="319">
        <f>IF(ISNUMBER(SEARCH("금1",$H64)),1,"")</f>
        <v/>
      </c>
      <c r="V64" s="319">
        <f>IF(OR(ISNUMBER(SEARCH("금2",$H64)),ISNUMBER(SEARCH("금1.2",$H64))),1,"")</f>
        <v/>
      </c>
      <c r="W64" s="319">
        <f>IF(OR(ISNUMBER(SEARCH("금3",$H64)),ISNUMBER(SEARCH("금1.3",$H64)),ISNUMBER(SEARCH("금2.3",$H64)),ISNUMBER(SEARCH("금1.2.3",$H64))),1,"")</f>
        <v/>
      </c>
      <c r="X64" s="319">
        <f>IF(ISNUMBER(SEARCH("토1",$H64)),1,"")</f>
        <v/>
      </c>
      <c r="Y64" s="319">
        <f>IF(OR(ISNUMBER(SEARCH("토2",$H64)),ISNUMBER(SEARCH("토1.2",$H64))),1,"")</f>
        <v/>
      </c>
      <c r="Z64" s="319">
        <f>IF(OR(ISNUMBER(SEARCH("토3",$H64)),ISNUMBER(SEARCH("토1.3",$H64)),ISNUMBER(SEARCH("토2.3",$H64)),ISNUMBER(SEARCH("토1.2.3",$H64))),1,"")</f>
        <v/>
      </c>
      <c r="AA64" s="319">
        <f>IF(ISNUMBER(SEARCH("일1",$H64)),1,"")</f>
        <v/>
      </c>
      <c r="AB64" s="319">
        <f>IF(OR(ISNUMBER(SEARCH("일2",$H64)),ISNUMBER(SEARCH("일1.2",$H64))),1,"")</f>
        <v/>
      </c>
      <c r="AC64" s="319">
        <f>IF(OR(ISNUMBER(SEARCH("일3",$H64)),ISNUMBER(SEARCH("일1.3",$H64)),ISNUMBER(SEARCH("일2.3",$H64)),ISNUMBER(SEARCH("일1.2.3",$H64))),1,"")</f>
        <v/>
      </c>
      <c r="AD64" s="319">
        <f>SUM(I64:AC64)</f>
        <v/>
      </c>
      <c r="AE64" s="323" t="n"/>
    </row>
    <row r="65" ht="24" customHeight="1">
      <c r="A65" s="168" t="n"/>
      <c r="B65" s="319" t="n"/>
      <c r="C65" s="319" t="n"/>
      <c r="D65" s="319" t="n"/>
      <c r="E65" s="341" t="n"/>
      <c r="F65" s="341" t="n"/>
      <c r="G65" s="342" t="n"/>
      <c r="H65" s="322" t="n"/>
      <c r="I65" s="319">
        <f>IF(ISNUMBER(SEARCH("월1",$H65)),1,"")</f>
        <v/>
      </c>
      <c r="J65" s="319">
        <f>IF(OR(ISNUMBER(SEARCH("월2",$H65)),ISNUMBER(SEARCH("월1.2",$H65))),1,"")</f>
        <v/>
      </c>
      <c r="K65" s="319">
        <f>IF(OR(ISNUMBER(SEARCH("월3",$H65)),ISNUMBER(SEARCH("월1.3",$H65)),ISNUMBER(SEARCH("월2.3",$H65)),ISNUMBER(SEARCH("월1.2.3",$H65))),1,"")</f>
        <v/>
      </c>
      <c r="L65" s="319">
        <f>IF(ISNUMBER(SEARCH("화1",$H65)),1,"")</f>
        <v/>
      </c>
      <c r="M65" s="319">
        <f>IF(OR(ISNUMBER(SEARCH("화2",$H65)),ISNUMBER(SEARCH("화1.2",$H65))),1,"")</f>
        <v/>
      </c>
      <c r="N65" s="319">
        <f>IF(OR(ISNUMBER(SEARCH("화3",$H65)),ISNUMBER(SEARCH("화1.3",$H65)),ISNUMBER(SEARCH("화2.3",$H65)),ISNUMBER(SEARCH("화1.2.3",$H65))),1,"")</f>
        <v/>
      </c>
      <c r="O65" s="319">
        <f>IF(ISNUMBER(SEARCH("수1",$H65)),1,"")</f>
        <v/>
      </c>
      <c r="P65" s="319">
        <f>IF(OR(ISNUMBER(SEARCH("수2",$H65)),ISNUMBER(SEARCH("수1.2",$H65))),1,"")</f>
        <v/>
      </c>
      <c r="Q65" s="319">
        <f>IF(OR(ISNUMBER(SEARCH("수3",$H65)),ISNUMBER(SEARCH("수1.3",$H65)),ISNUMBER(SEARCH("수2.3",$H65)),ISNUMBER(SEARCH("수1.2.3",$H65))),1,"")</f>
        <v/>
      </c>
      <c r="R65" s="319">
        <f>IF(ISNUMBER(SEARCH("목1",$H65)),1,"")</f>
        <v/>
      </c>
      <c r="S65" s="319">
        <f>IF(OR(ISNUMBER(SEARCH("목2",$H65)),ISNUMBER(SEARCH("목1.2",$H65))),1,"")</f>
        <v/>
      </c>
      <c r="T65" s="319">
        <f>IF(OR(ISNUMBER(SEARCH("목3",$H65)),ISNUMBER(SEARCH("목1.3",$H65)),ISNUMBER(SEARCH("목2.3",$H65)),ISNUMBER(SEARCH("목1.2.3",$H65))),1,"")</f>
        <v/>
      </c>
      <c r="U65" s="319">
        <f>IF(ISNUMBER(SEARCH("금1",$H65)),1,"")</f>
        <v/>
      </c>
      <c r="V65" s="319">
        <f>IF(OR(ISNUMBER(SEARCH("금2",$H65)),ISNUMBER(SEARCH("금1.2",$H65))),1,"")</f>
        <v/>
      </c>
      <c r="W65" s="319">
        <f>IF(OR(ISNUMBER(SEARCH("금3",$H65)),ISNUMBER(SEARCH("금1.3",$H65)),ISNUMBER(SEARCH("금2.3",$H65)),ISNUMBER(SEARCH("금1.2.3",$H65))),1,"")</f>
        <v/>
      </c>
      <c r="X65" s="319">
        <f>IF(ISNUMBER(SEARCH("토1",$H65)),1,"")</f>
        <v/>
      </c>
      <c r="Y65" s="319">
        <f>IF(OR(ISNUMBER(SEARCH("토2",$H65)),ISNUMBER(SEARCH("토1.2",$H65))),1,"")</f>
        <v/>
      </c>
      <c r="Z65" s="319">
        <f>IF(OR(ISNUMBER(SEARCH("토3",$H65)),ISNUMBER(SEARCH("토1.3",$H65)),ISNUMBER(SEARCH("토2.3",$H65)),ISNUMBER(SEARCH("토1.2.3",$H65))),1,"")</f>
        <v/>
      </c>
      <c r="AA65" s="319">
        <f>IF(ISNUMBER(SEARCH("일1",$H65)),1,"")</f>
        <v/>
      </c>
      <c r="AB65" s="319">
        <f>IF(OR(ISNUMBER(SEARCH("일2",$H65)),ISNUMBER(SEARCH("일1.2",$H65))),1,"")</f>
        <v/>
      </c>
      <c r="AC65" s="319">
        <f>IF(OR(ISNUMBER(SEARCH("일3",$H65)),ISNUMBER(SEARCH("일1.3",$H65)),ISNUMBER(SEARCH("일2.3",$H65)),ISNUMBER(SEARCH("일1.2.3",$H65))),1,"")</f>
        <v/>
      </c>
      <c r="AD65" s="319">
        <f>SUM(I65:AC65)</f>
        <v/>
      </c>
      <c r="AE65" s="323" t="n"/>
    </row>
    <row r="66" ht="24" customHeight="1">
      <c r="A66" s="168" t="n"/>
      <c r="B66" s="319" t="n"/>
      <c r="C66" s="319" t="n"/>
      <c r="D66" s="319" t="n"/>
      <c r="E66" s="341" t="n"/>
      <c r="F66" s="341" t="n"/>
      <c r="G66" s="342" t="n"/>
      <c r="H66" s="322" t="n"/>
      <c r="I66" s="319">
        <f>IF(ISNUMBER(SEARCH("월1",$H66)),1,"")</f>
        <v/>
      </c>
      <c r="J66" s="319">
        <f>IF(OR(ISNUMBER(SEARCH("월2",$H66)),ISNUMBER(SEARCH("월1.2",$H66))),1,"")</f>
        <v/>
      </c>
      <c r="K66" s="319">
        <f>IF(OR(ISNUMBER(SEARCH("월3",$H66)),ISNUMBER(SEARCH("월1.3",$H66)),ISNUMBER(SEARCH("월2.3",$H66)),ISNUMBER(SEARCH("월1.2.3",$H66))),1,"")</f>
        <v/>
      </c>
      <c r="L66" s="319">
        <f>IF(ISNUMBER(SEARCH("화1",$H66)),1,"")</f>
        <v/>
      </c>
      <c r="M66" s="319">
        <f>IF(OR(ISNUMBER(SEARCH("화2",$H66)),ISNUMBER(SEARCH("화1.2",$H66))),1,"")</f>
        <v/>
      </c>
      <c r="N66" s="319">
        <f>IF(OR(ISNUMBER(SEARCH("화3",$H66)),ISNUMBER(SEARCH("화1.3",$H66)),ISNUMBER(SEARCH("화2.3",$H66)),ISNUMBER(SEARCH("화1.2.3",$H66))),1,"")</f>
        <v/>
      </c>
      <c r="O66" s="319">
        <f>IF(ISNUMBER(SEARCH("수1",$H66)),1,"")</f>
        <v/>
      </c>
      <c r="P66" s="319">
        <f>IF(OR(ISNUMBER(SEARCH("수2",$H66)),ISNUMBER(SEARCH("수1.2",$H66))),1,"")</f>
        <v/>
      </c>
      <c r="Q66" s="319">
        <f>IF(OR(ISNUMBER(SEARCH("수3",$H66)),ISNUMBER(SEARCH("수1.3",$H66)),ISNUMBER(SEARCH("수2.3",$H66)),ISNUMBER(SEARCH("수1.2.3",$H66))),1,"")</f>
        <v/>
      </c>
      <c r="R66" s="319">
        <f>IF(ISNUMBER(SEARCH("목1",$H66)),1,"")</f>
        <v/>
      </c>
      <c r="S66" s="319">
        <f>IF(OR(ISNUMBER(SEARCH("목2",$H66)),ISNUMBER(SEARCH("목1.2",$H66))),1,"")</f>
        <v/>
      </c>
      <c r="T66" s="319">
        <f>IF(OR(ISNUMBER(SEARCH("목3",$H66)),ISNUMBER(SEARCH("목1.3",$H66)),ISNUMBER(SEARCH("목2.3",$H66)),ISNUMBER(SEARCH("목1.2.3",$H66))),1,"")</f>
        <v/>
      </c>
      <c r="U66" s="319">
        <f>IF(ISNUMBER(SEARCH("금1",$H66)),1,"")</f>
        <v/>
      </c>
      <c r="V66" s="319">
        <f>IF(OR(ISNUMBER(SEARCH("금2",$H66)),ISNUMBER(SEARCH("금1.2",$H66))),1,"")</f>
        <v/>
      </c>
      <c r="W66" s="319">
        <f>IF(OR(ISNUMBER(SEARCH("금3",$H66)),ISNUMBER(SEARCH("금1.3",$H66)),ISNUMBER(SEARCH("금2.3",$H66)),ISNUMBER(SEARCH("금1.2.3",$H66))),1,"")</f>
        <v/>
      </c>
      <c r="X66" s="319">
        <f>IF(ISNUMBER(SEARCH("토1",$H66)),1,"")</f>
        <v/>
      </c>
      <c r="Y66" s="319">
        <f>IF(OR(ISNUMBER(SEARCH("토2",$H66)),ISNUMBER(SEARCH("토1.2",$H66))),1,"")</f>
        <v/>
      </c>
      <c r="Z66" s="319">
        <f>IF(OR(ISNUMBER(SEARCH("토3",$H66)),ISNUMBER(SEARCH("토1.3",$H66)),ISNUMBER(SEARCH("토2.3",$H66)),ISNUMBER(SEARCH("토1.2.3",$H66))),1,"")</f>
        <v/>
      </c>
      <c r="AA66" s="319">
        <f>IF(ISNUMBER(SEARCH("일1",$H66)),1,"")</f>
        <v/>
      </c>
      <c r="AB66" s="319">
        <f>IF(OR(ISNUMBER(SEARCH("일2",$H66)),ISNUMBER(SEARCH("일1.2",$H66))),1,"")</f>
        <v/>
      </c>
      <c r="AC66" s="319">
        <f>IF(OR(ISNUMBER(SEARCH("일3",$H66)),ISNUMBER(SEARCH("일1.3",$H66)),ISNUMBER(SEARCH("일2.3",$H66)),ISNUMBER(SEARCH("일1.2.3",$H66))),1,"")</f>
        <v/>
      </c>
      <c r="AD66" s="319">
        <f>SUM(I66:AC66)</f>
        <v/>
      </c>
      <c r="AE66" s="323" t="n"/>
    </row>
    <row r="67" ht="24" customHeight="1">
      <c r="A67" s="168" t="n"/>
      <c r="B67" s="319" t="n"/>
      <c r="C67" s="319" t="n"/>
      <c r="D67" s="319" t="n"/>
      <c r="E67" s="341" t="n"/>
      <c r="F67" s="341" t="n"/>
      <c r="G67" s="342" t="n"/>
      <c r="H67" s="322" t="n"/>
      <c r="I67" s="319">
        <f>IF(ISNUMBER(SEARCH("월1",$H67)),1,"")</f>
        <v/>
      </c>
      <c r="J67" s="319">
        <f>IF(OR(ISNUMBER(SEARCH("월2",$H67)),ISNUMBER(SEARCH("월1.2",$H67))),1,"")</f>
        <v/>
      </c>
      <c r="K67" s="319">
        <f>IF(OR(ISNUMBER(SEARCH("월3",$H67)),ISNUMBER(SEARCH("월1.3",$H67)),ISNUMBER(SEARCH("월2.3",$H67)),ISNUMBER(SEARCH("월1.2.3",$H67))),1,"")</f>
        <v/>
      </c>
      <c r="L67" s="319">
        <f>IF(ISNUMBER(SEARCH("화1",$H67)),1,"")</f>
        <v/>
      </c>
      <c r="M67" s="319">
        <f>IF(OR(ISNUMBER(SEARCH("화2",$H67)),ISNUMBER(SEARCH("화1.2",$H67))),1,"")</f>
        <v/>
      </c>
      <c r="N67" s="319">
        <f>IF(OR(ISNUMBER(SEARCH("화3",$H67)),ISNUMBER(SEARCH("화1.3",$H67)),ISNUMBER(SEARCH("화2.3",$H67)),ISNUMBER(SEARCH("화1.2.3",$H67))),1,"")</f>
        <v/>
      </c>
      <c r="O67" s="319">
        <f>IF(ISNUMBER(SEARCH("수1",$H67)),1,"")</f>
        <v/>
      </c>
      <c r="P67" s="319">
        <f>IF(OR(ISNUMBER(SEARCH("수2",$H67)),ISNUMBER(SEARCH("수1.2",$H67))),1,"")</f>
        <v/>
      </c>
      <c r="Q67" s="319">
        <f>IF(OR(ISNUMBER(SEARCH("수3",$H67)),ISNUMBER(SEARCH("수1.3",$H67)),ISNUMBER(SEARCH("수2.3",$H67)),ISNUMBER(SEARCH("수1.2.3",$H67))),1,"")</f>
        <v/>
      </c>
      <c r="R67" s="319">
        <f>IF(ISNUMBER(SEARCH("목1",$H67)),1,"")</f>
        <v/>
      </c>
      <c r="S67" s="319">
        <f>IF(OR(ISNUMBER(SEARCH("목2",$H67)),ISNUMBER(SEARCH("목1.2",$H67))),1,"")</f>
        <v/>
      </c>
      <c r="T67" s="319">
        <f>IF(OR(ISNUMBER(SEARCH("목3",$H67)),ISNUMBER(SEARCH("목1.3",$H67)),ISNUMBER(SEARCH("목2.3",$H67)),ISNUMBER(SEARCH("목1.2.3",$H67))),1,"")</f>
        <v/>
      </c>
      <c r="U67" s="319">
        <f>IF(ISNUMBER(SEARCH("금1",$H67)),1,"")</f>
        <v/>
      </c>
      <c r="V67" s="319">
        <f>IF(OR(ISNUMBER(SEARCH("금2",$H67)),ISNUMBER(SEARCH("금1.2",$H67))),1,"")</f>
        <v/>
      </c>
      <c r="W67" s="319">
        <f>IF(OR(ISNUMBER(SEARCH("금3",$H67)),ISNUMBER(SEARCH("금1.3",$H67)),ISNUMBER(SEARCH("금2.3",$H67)),ISNUMBER(SEARCH("금1.2.3",$H67))),1,"")</f>
        <v/>
      </c>
      <c r="X67" s="319">
        <f>IF(ISNUMBER(SEARCH("토1",$H67)),1,"")</f>
        <v/>
      </c>
      <c r="Y67" s="319">
        <f>IF(OR(ISNUMBER(SEARCH("토2",$H67)),ISNUMBER(SEARCH("토1.2",$H67))),1,"")</f>
        <v/>
      </c>
      <c r="Z67" s="319">
        <f>IF(OR(ISNUMBER(SEARCH("토3",$H67)),ISNUMBER(SEARCH("토1.3",$H67)),ISNUMBER(SEARCH("토2.3",$H67)),ISNUMBER(SEARCH("토1.2.3",$H67))),1,"")</f>
        <v/>
      </c>
      <c r="AA67" s="319">
        <f>IF(ISNUMBER(SEARCH("일1",$H67)),1,"")</f>
        <v/>
      </c>
      <c r="AB67" s="319">
        <f>IF(OR(ISNUMBER(SEARCH("일2",$H67)),ISNUMBER(SEARCH("일1.2",$H67))),1,"")</f>
        <v/>
      </c>
      <c r="AC67" s="319">
        <f>IF(OR(ISNUMBER(SEARCH("일3",$H67)),ISNUMBER(SEARCH("일1.3",$H67)),ISNUMBER(SEARCH("일2.3",$H67)),ISNUMBER(SEARCH("일1.2.3",$H67))),1,"")</f>
        <v/>
      </c>
      <c r="AD67" s="319">
        <f>SUM(I67:AC67)</f>
        <v/>
      </c>
      <c r="AE67" s="323" t="n"/>
    </row>
    <row r="68" ht="24" customHeight="1">
      <c r="A68" s="168" t="n"/>
      <c r="B68" s="319" t="n"/>
      <c r="C68" s="319" t="n"/>
      <c r="D68" s="319" t="n"/>
      <c r="E68" s="341" t="n"/>
      <c r="F68" s="341" t="n"/>
      <c r="G68" s="342" t="n"/>
      <c r="H68" s="322" t="n"/>
      <c r="I68" s="319">
        <f>IF(ISNUMBER(SEARCH("월1",$H68)),1,"")</f>
        <v/>
      </c>
      <c r="J68" s="319">
        <f>IF(OR(ISNUMBER(SEARCH("월2",$H68)),ISNUMBER(SEARCH("월1.2",$H68))),1,"")</f>
        <v/>
      </c>
      <c r="K68" s="319">
        <f>IF(OR(ISNUMBER(SEARCH("월3",$H68)),ISNUMBER(SEARCH("월1.3",$H68)),ISNUMBER(SEARCH("월2.3",$H68)),ISNUMBER(SEARCH("월1.2.3",$H68))),1,"")</f>
        <v/>
      </c>
      <c r="L68" s="319">
        <f>IF(ISNUMBER(SEARCH("화1",$H68)),1,"")</f>
        <v/>
      </c>
      <c r="M68" s="319">
        <f>IF(OR(ISNUMBER(SEARCH("화2",$H68)),ISNUMBER(SEARCH("화1.2",$H68))),1,"")</f>
        <v/>
      </c>
      <c r="N68" s="319">
        <f>IF(OR(ISNUMBER(SEARCH("화3",$H68)),ISNUMBER(SEARCH("화1.3",$H68)),ISNUMBER(SEARCH("화2.3",$H68)),ISNUMBER(SEARCH("화1.2.3",$H68))),1,"")</f>
        <v/>
      </c>
      <c r="O68" s="319">
        <f>IF(ISNUMBER(SEARCH("수1",$H68)),1,"")</f>
        <v/>
      </c>
      <c r="P68" s="319">
        <f>IF(OR(ISNUMBER(SEARCH("수2",$H68)),ISNUMBER(SEARCH("수1.2",$H68))),1,"")</f>
        <v/>
      </c>
      <c r="Q68" s="319">
        <f>IF(OR(ISNUMBER(SEARCH("수3",$H68)),ISNUMBER(SEARCH("수1.3",$H68)),ISNUMBER(SEARCH("수2.3",$H68)),ISNUMBER(SEARCH("수1.2.3",$H68))),1,"")</f>
        <v/>
      </c>
      <c r="R68" s="319">
        <f>IF(ISNUMBER(SEARCH("목1",$H68)),1,"")</f>
        <v/>
      </c>
      <c r="S68" s="319">
        <f>IF(OR(ISNUMBER(SEARCH("목2",$H68)),ISNUMBER(SEARCH("목1.2",$H68))),1,"")</f>
        <v/>
      </c>
      <c r="T68" s="319">
        <f>IF(OR(ISNUMBER(SEARCH("목3",$H68)),ISNUMBER(SEARCH("목1.3",$H68)),ISNUMBER(SEARCH("목2.3",$H68)),ISNUMBER(SEARCH("목1.2.3",$H68))),1,"")</f>
        <v/>
      </c>
      <c r="U68" s="319">
        <f>IF(ISNUMBER(SEARCH("금1",$H68)),1,"")</f>
        <v/>
      </c>
      <c r="V68" s="319">
        <f>IF(OR(ISNUMBER(SEARCH("금2",$H68)),ISNUMBER(SEARCH("금1.2",$H68))),1,"")</f>
        <v/>
      </c>
      <c r="W68" s="319">
        <f>IF(OR(ISNUMBER(SEARCH("금3",$H68)),ISNUMBER(SEARCH("금1.3",$H68)),ISNUMBER(SEARCH("금2.3",$H68)),ISNUMBER(SEARCH("금1.2.3",$H68))),1,"")</f>
        <v/>
      </c>
      <c r="X68" s="319">
        <f>IF(ISNUMBER(SEARCH("토1",$H68)),1,"")</f>
        <v/>
      </c>
      <c r="Y68" s="319">
        <f>IF(OR(ISNUMBER(SEARCH("토2",$H68)),ISNUMBER(SEARCH("토1.2",$H68))),1,"")</f>
        <v/>
      </c>
      <c r="Z68" s="319">
        <f>IF(OR(ISNUMBER(SEARCH("토3",$H68)),ISNUMBER(SEARCH("토1.3",$H68)),ISNUMBER(SEARCH("토2.3",$H68)),ISNUMBER(SEARCH("토1.2.3",$H68))),1,"")</f>
        <v/>
      </c>
      <c r="AA68" s="319">
        <f>IF(ISNUMBER(SEARCH("일1",$H68)),1,"")</f>
        <v/>
      </c>
      <c r="AB68" s="319">
        <f>IF(OR(ISNUMBER(SEARCH("일2",$H68)),ISNUMBER(SEARCH("일1.2",$H68))),1,"")</f>
        <v/>
      </c>
      <c r="AC68" s="319">
        <f>IF(OR(ISNUMBER(SEARCH("일3",$H68)),ISNUMBER(SEARCH("일1.3",$H68)),ISNUMBER(SEARCH("일2.3",$H68)),ISNUMBER(SEARCH("일1.2.3",$H68))),1,"")</f>
        <v/>
      </c>
      <c r="AD68" s="319">
        <f>SUM(I68:AC68)</f>
        <v/>
      </c>
      <c r="AE68" s="323" t="n"/>
    </row>
    <row r="69" ht="24" customHeight="1">
      <c r="A69" s="168" t="n"/>
      <c r="B69" s="319" t="n"/>
      <c r="C69" s="319" t="n"/>
      <c r="D69" s="319" t="n"/>
      <c r="E69" s="341" t="n"/>
      <c r="F69" s="341" t="n"/>
      <c r="G69" s="342" t="n"/>
      <c r="H69" s="322" t="n"/>
      <c r="I69" s="319">
        <f>IF(ISNUMBER(SEARCH("월1",$H69)),1,"")</f>
        <v/>
      </c>
      <c r="J69" s="319">
        <f>IF(OR(ISNUMBER(SEARCH("월2",$H69)),ISNUMBER(SEARCH("월1.2",$H69))),1,"")</f>
        <v/>
      </c>
      <c r="K69" s="319">
        <f>IF(OR(ISNUMBER(SEARCH("월3",$H69)),ISNUMBER(SEARCH("월1.3",$H69)),ISNUMBER(SEARCH("월2.3",$H69)),ISNUMBER(SEARCH("월1.2.3",$H69))),1,"")</f>
        <v/>
      </c>
      <c r="L69" s="319">
        <f>IF(ISNUMBER(SEARCH("화1",$H69)),1,"")</f>
        <v/>
      </c>
      <c r="M69" s="319">
        <f>IF(OR(ISNUMBER(SEARCH("화2",$H69)),ISNUMBER(SEARCH("화1.2",$H69))),1,"")</f>
        <v/>
      </c>
      <c r="N69" s="319">
        <f>IF(OR(ISNUMBER(SEARCH("화3",$H69)),ISNUMBER(SEARCH("화1.3",$H69)),ISNUMBER(SEARCH("화2.3",$H69)),ISNUMBER(SEARCH("화1.2.3",$H69))),1,"")</f>
        <v/>
      </c>
      <c r="O69" s="319">
        <f>IF(ISNUMBER(SEARCH("수1",$H69)),1,"")</f>
        <v/>
      </c>
      <c r="P69" s="319">
        <f>IF(OR(ISNUMBER(SEARCH("수2",$H69)),ISNUMBER(SEARCH("수1.2",$H69))),1,"")</f>
        <v/>
      </c>
      <c r="Q69" s="319">
        <f>IF(OR(ISNUMBER(SEARCH("수3",$H69)),ISNUMBER(SEARCH("수1.3",$H69)),ISNUMBER(SEARCH("수2.3",$H69)),ISNUMBER(SEARCH("수1.2.3",$H69))),1,"")</f>
        <v/>
      </c>
      <c r="R69" s="319">
        <f>IF(ISNUMBER(SEARCH("목1",$H69)),1,"")</f>
        <v/>
      </c>
      <c r="S69" s="319">
        <f>IF(OR(ISNUMBER(SEARCH("목2",$H69)),ISNUMBER(SEARCH("목1.2",$H69))),1,"")</f>
        <v/>
      </c>
      <c r="T69" s="319">
        <f>IF(OR(ISNUMBER(SEARCH("목3",$H69)),ISNUMBER(SEARCH("목1.3",$H69)),ISNUMBER(SEARCH("목2.3",$H69)),ISNUMBER(SEARCH("목1.2.3",$H69))),1,"")</f>
        <v/>
      </c>
      <c r="U69" s="319">
        <f>IF(ISNUMBER(SEARCH("금1",$H69)),1,"")</f>
        <v/>
      </c>
      <c r="V69" s="319">
        <f>IF(OR(ISNUMBER(SEARCH("금2",$H69)),ISNUMBER(SEARCH("금1.2",$H69))),1,"")</f>
        <v/>
      </c>
      <c r="W69" s="319">
        <f>IF(OR(ISNUMBER(SEARCH("금3",$H69)),ISNUMBER(SEARCH("금1.3",$H69)),ISNUMBER(SEARCH("금2.3",$H69)),ISNUMBER(SEARCH("금1.2.3",$H69))),1,"")</f>
        <v/>
      </c>
      <c r="X69" s="319">
        <f>IF(ISNUMBER(SEARCH("토1",$H69)),1,"")</f>
        <v/>
      </c>
      <c r="Y69" s="319">
        <f>IF(OR(ISNUMBER(SEARCH("토2",$H69)),ISNUMBER(SEARCH("토1.2",$H69))),1,"")</f>
        <v/>
      </c>
      <c r="Z69" s="319">
        <f>IF(OR(ISNUMBER(SEARCH("토3",$H69)),ISNUMBER(SEARCH("토1.3",$H69)),ISNUMBER(SEARCH("토2.3",$H69)),ISNUMBER(SEARCH("토1.2.3",$H69))),1,"")</f>
        <v/>
      </c>
      <c r="AA69" s="319">
        <f>IF(ISNUMBER(SEARCH("일1",$H69)),1,"")</f>
        <v/>
      </c>
      <c r="AB69" s="319">
        <f>IF(OR(ISNUMBER(SEARCH("일2",$H69)),ISNUMBER(SEARCH("일1.2",$H69))),1,"")</f>
        <v/>
      </c>
      <c r="AC69" s="319">
        <f>IF(OR(ISNUMBER(SEARCH("일3",$H69)),ISNUMBER(SEARCH("일1.3",$H69)),ISNUMBER(SEARCH("일2.3",$H69)),ISNUMBER(SEARCH("일1.2.3",$H69))),1,"")</f>
        <v/>
      </c>
      <c r="AD69" s="319">
        <f>SUM(I69:AC69)</f>
        <v/>
      </c>
      <c r="AE69" s="323" t="n"/>
    </row>
    <row r="70" ht="24" customHeight="1">
      <c r="A70" s="168" t="n"/>
      <c r="B70" s="319" t="n"/>
      <c r="C70" s="319" t="n"/>
      <c r="D70" s="319" t="n"/>
      <c r="E70" s="341" t="n"/>
      <c r="F70" s="341" t="n"/>
      <c r="G70" s="342" t="n"/>
      <c r="H70" s="322" t="n"/>
      <c r="I70" s="319">
        <f>IF(ISNUMBER(SEARCH("월1",$H70)),1,"")</f>
        <v/>
      </c>
      <c r="J70" s="319">
        <f>IF(OR(ISNUMBER(SEARCH("월2",$H70)),ISNUMBER(SEARCH("월1.2",$H70))),1,"")</f>
        <v/>
      </c>
      <c r="K70" s="319">
        <f>IF(OR(ISNUMBER(SEARCH("월3",$H70)),ISNUMBER(SEARCH("월1.3",$H70)),ISNUMBER(SEARCH("월2.3",$H70)),ISNUMBER(SEARCH("월1.2.3",$H70))),1,"")</f>
        <v/>
      </c>
      <c r="L70" s="319">
        <f>IF(ISNUMBER(SEARCH("화1",$H70)),1,"")</f>
        <v/>
      </c>
      <c r="M70" s="319">
        <f>IF(OR(ISNUMBER(SEARCH("화2",$H70)),ISNUMBER(SEARCH("화1.2",$H70))),1,"")</f>
        <v/>
      </c>
      <c r="N70" s="319">
        <f>IF(OR(ISNUMBER(SEARCH("화3",$H70)),ISNUMBER(SEARCH("화1.3",$H70)),ISNUMBER(SEARCH("화2.3",$H70)),ISNUMBER(SEARCH("화1.2.3",$H70))),1,"")</f>
        <v/>
      </c>
      <c r="O70" s="319">
        <f>IF(ISNUMBER(SEARCH("수1",$H70)),1,"")</f>
        <v/>
      </c>
      <c r="P70" s="319">
        <f>IF(OR(ISNUMBER(SEARCH("수2",$H70)),ISNUMBER(SEARCH("수1.2",$H70))),1,"")</f>
        <v/>
      </c>
      <c r="Q70" s="319">
        <f>IF(OR(ISNUMBER(SEARCH("수3",$H70)),ISNUMBER(SEARCH("수1.3",$H70)),ISNUMBER(SEARCH("수2.3",$H70)),ISNUMBER(SEARCH("수1.2.3",$H70))),1,"")</f>
        <v/>
      </c>
      <c r="R70" s="319">
        <f>IF(ISNUMBER(SEARCH("목1",$H70)),1,"")</f>
        <v/>
      </c>
      <c r="S70" s="319">
        <f>IF(OR(ISNUMBER(SEARCH("목2",$H70)),ISNUMBER(SEARCH("목1.2",$H70))),1,"")</f>
        <v/>
      </c>
      <c r="T70" s="319">
        <f>IF(OR(ISNUMBER(SEARCH("목3",$H70)),ISNUMBER(SEARCH("목1.3",$H70)),ISNUMBER(SEARCH("목2.3",$H70)),ISNUMBER(SEARCH("목1.2.3",$H70))),1,"")</f>
        <v/>
      </c>
      <c r="U70" s="319">
        <f>IF(ISNUMBER(SEARCH("금1",$H70)),1,"")</f>
        <v/>
      </c>
      <c r="V70" s="319">
        <f>IF(OR(ISNUMBER(SEARCH("금2",$H70)),ISNUMBER(SEARCH("금1.2",$H70))),1,"")</f>
        <v/>
      </c>
      <c r="W70" s="319">
        <f>IF(OR(ISNUMBER(SEARCH("금3",$H70)),ISNUMBER(SEARCH("금1.3",$H70)),ISNUMBER(SEARCH("금2.3",$H70)),ISNUMBER(SEARCH("금1.2.3",$H70))),1,"")</f>
        <v/>
      </c>
      <c r="X70" s="319">
        <f>IF(ISNUMBER(SEARCH("토1",$H70)),1,"")</f>
        <v/>
      </c>
      <c r="Y70" s="319">
        <f>IF(OR(ISNUMBER(SEARCH("토2",$H70)),ISNUMBER(SEARCH("토1.2",$H70))),1,"")</f>
        <v/>
      </c>
      <c r="Z70" s="319">
        <f>IF(OR(ISNUMBER(SEARCH("토3",$H70)),ISNUMBER(SEARCH("토1.3",$H70)),ISNUMBER(SEARCH("토2.3",$H70)),ISNUMBER(SEARCH("토1.2.3",$H70))),1,"")</f>
        <v/>
      </c>
      <c r="AA70" s="319">
        <f>IF(ISNUMBER(SEARCH("일1",$H70)),1,"")</f>
        <v/>
      </c>
      <c r="AB70" s="319">
        <f>IF(OR(ISNUMBER(SEARCH("일2",$H70)),ISNUMBER(SEARCH("일1.2",$H70))),1,"")</f>
        <v/>
      </c>
      <c r="AC70" s="319">
        <f>IF(OR(ISNUMBER(SEARCH("일3",$H70)),ISNUMBER(SEARCH("일1.3",$H70)),ISNUMBER(SEARCH("일2.3",$H70)),ISNUMBER(SEARCH("일1.2.3",$H70))),1,"")</f>
        <v/>
      </c>
      <c r="AD70" s="319">
        <f>SUM(I70:AC70)</f>
        <v/>
      </c>
      <c r="AE70" s="323" t="n"/>
    </row>
    <row r="71" ht="24" customHeight="1">
      <c r="A71" s="168" t="n"/>
      <c r="B71" s="319" t="n"/>
      <c r="C71" s="319" t="n"/>
      <c r="D71" s="319" t="n"/>
      <c r="E71" s="341" t="n"/>
      <c r="F71" s="341" t="n"/>
      <c r="G71" s="342" t="n"/>
      <c r="H71" s="322" t="n"/>
      <c r="I71" s="319">
        <f>IF(ISNUMBER(SEARCH("월1",$H71)),1,"")</f>
        <v/>
      </c>
      <c r="J71" s="319">
        <f>IF(OR(ISNUMBER(SEARCH("월2",$H71)),ISNUMBER(SEARCH("월1.2",$H71))),1,"")</f>
        <v/>
      </c>
      <c r="K71" s="319">
        <f>IF(OR(ISNUMBER(SEARCH("월3",$H71)),ISNUMBER(SEARCH("월1.3",$H71)),ISNUMBER(SEARCH("월2.3",$H71)),ISNUMBER(SEARCH("월1.2.3",$H71))),1,"")</f>
        <v/>
      </c>
      <c r="L71" s="319">
        <f>IF(ISNUMBER(SEARCH("화1",$H71)),1,"")</f>
        <v/>
      </c>
      <c r="M71" s="319">
        <f>IF(OR(ISNUMBER(SEARCH("화2",$H71)),ISNUMBER(SEARCH("화1.2",$H71))),1,"")</f>
        <v/>
      </c>
      <c r="N71" s="319">
        <f>IF(OR(ISNUMBER(SEARCH("화3",$H71)),ISNUMBER(SEARCH("화1.3",$H71)),ISNUMBER(SEARCH("화2.3",$H71)),ISNUMBER(SEARCH("화1.2.3",$H71))),1,"")</f>
        <v/>
      </c>
      <c r="O71" s="319">
        <f>IF(ISNUMBER(SEARCH("수1",$H71)),1,"")</f>
        <v/>
      </c>
      <c r="P71" s="319">
        <f>IF(OR(ISNUMBER(SEARCH("수2",$H71)),ISNUMBER(SEARCH("수1.2",$H71))),1,"")</f>
        <v/>
      </c>
      <c r="Q71" s="319">
        <f>IF(OR(ISNUMBER(SEARCH("수3",$H71)),ISNUMBER(SEARCH("수1.3",$H71)),ISNUMBER(SEARCH("수2.3",$H71)),ISNUMBER(SEARCH("수1.2.3",$H71))),1,"")</f>
        <v/>
      </c>
      <c r="R71" s="319">
        <f>IF(ISNUMBER(SEARCH("목1",$H71)),1,"")</f>
        <v/>
      </c>
      <c r="S71" s="319">
        <f>IF(OR(ISNUMBER(SEARCH("목2",$H71)),ISNUMBER(SEARCH("목1.2",$H71))),1,"")</f>
        <v/>
      </c>
      <c r="T71" s="319">
        <f>IF(OR(ISNUMBER(SEARCH("목3",$H71)),ISNUMBER(SEARCH("목1.3",$H71)),ISNUMBER(SEARCH("목2.3",$H71)),ISNUMBER(SEARCH("목1.2.3",$H71))),1,"")</f>
        <v/>
      </c>
      <c r="U71" s="319">
        <f>IF(ISNUMBER(SEARCH("금1",$H71)),1,"")</f>
        <v/>
      </c>
      <c r="V71" s="319">
        <f>IF(OR(ISNUMBER(SEARCH("금2",$H71)),ISNUMBER(SEARCH("금1.2",$H71))),1,"")</f>
        <v/>
      </c>
      <c r="W71" s="319">
        <f>IF(OR(ISNUMBER(SEARCH("금3",$H71)),ISNUMBER(SEARCH("금1.3",$H71)),ISNUMBER(SEARCH("금2.3",$H71)),ISNUMBER(SEARCH("금1.2.3",$H71))),1,"")</f>
        <v/>
      </c>
      <c r="X71" s="319">
        <f>IF(ISNUMBER(SEARCH("토1",$H71)),1,"")</f>
        <v/>
      </c>
      <c r="Y71" s="319">
        <f>IF(OR(ISNUMBER(SEARCH("토2",$H71)),ISNUMBER(SEARCH("토1.2",$H71))),1,"")</f>
        <v/>
      </c>
      <c r="Z71" s="319">
        <f>IF(OR(ISNUMBER(SEARCH("토3",$H71)),ISNUMBER(SEARCH("토1.3",$H71)),ISNUMBER(SEARCH("토2.3",$H71)),ISNUMBER(SEARCH("토1.2.3",$H71))),1,"")</f>
        <v/>
      </c>
      <c r="AA71" s="319">
        <f>IF(ISNUMBER(SEARCH("일1",$H71)),1,"")</f>
        <v/>
      </c>
      <c r="AB71" s="319">
        <f>IF(OR(ISNUMBER(SEARCH("일2",$H71)),ISNUMBER(SEARCH("일1.2",$H71))),1,"")</f>
        <v/>
      </c>
      <c r="AC71" s="319">
        <f>IF(OR(ISNUMBER(SEARCH("일3",$H71)),ISNUMBER(SEARCH("일1.3",$H71)),ISNUMBER(SEARCH("일2.3",$H71)),ISNUMBER(SEARCH("일1.2.3",$H71))),1,"")</f>
        <v/>
      </c>
      <c r="AD71" s="319">
        <f>SUM(I71:AC71)</f>
        <v/>
      </c>
      <c r="AE71" s="323" t="n"/>
    </row>
    <row r="72" ht="24" customHeight="1">
      <c r="A72" s="168" t="n"/>
      <c r="B72" s="319" t="n"/>
      <c r="C72" s="319" t="n"/>
      <c r="D72" s="319" t="n"/>
      <c r="E72" s="341" t="n"/>
      <c r="F72" s="341" t="n"/>
      <c r="G72" s="342" t="n"/>
      <c r="H72" s="322" t="n"/>
      <c r="I72" s="319">
        <f>IF(ISNUMBER(SEARCH("월1",$H72)),1,"")</f>
        <v/>
      </c>
      <c r="J72" s="319">
        <f>IF(OR(ISNUMBER(SEARCH("월2",$H72)),ISNUMBER(SEARCH("월1.2",$H72))),1,"")</f>
        <v/>
      </c>
      <c r="K72" s="319">
        <f>IF(OR(ISNUMBER(SEARCH("월3",$H72)),ISNUMBER(SEARCH("월1.3",$H72)),ISNUMBER(SEARCH("월2.3",$H72)),ISNUMBER(SEARCH("월1.2.3",$H72))),1,"")</f>
        <v/>
      </c>
      <c r="L72" s="319">
        <f>IF(ISNUMBER(SEARCH("화1",$H72)),1,"")</f>
        <v/>
      </c>
      <c r="M72" s="319">
        <f>IF(OR(ISNUMBER(SEARCH("화2",$H72)),ISNUMBER(SEARCH("화1.2",$H72))),1,"")</f>
        <v/>
      </c>
      <c r="N72" s="319">
        <f>IF(OR(ISNUMBER(SEARCH("화3",$H72)),ISNUMBER(SEARCH("화1.3",$H72)),ISNUMBER(SEARCH("화2.3",$H72)),ISNUMBER(SEARCH("화1.2.3",$H72))),1,"")</f>
        <v/>
      </c>
      <c r="O72" s="319">
        <f>IF(ISNUMBER(SEARCH("수1",$H72)),1,"")</f>
        <v/>
      </c>
      <c r="P72" s="319">
        <f>IF(OR(ISNUMBER(SEARCH("수2",$H72)),ISNUMBER(SEARCH("수1.2",$H72))),1,"")</f>
        <v/>
      </c>
      <c r="Q72" s="319">
        <f>IF(OR(ISNUMBER(SEARCH("수3",$H72)),ISNUMBER(SEARCH("수1.3",$H72)),ISNUMBER(SEARCH("수2.3",$H72)),ISNUMBER(SEARCH("수1.2.3",$H72))),1,"")</f>
        <v/>
      </c>
      <c r="R72" s="319">
        <f>IF(ISNUMBER(SEARCH("목1",$H72)),1,"")</f>
        <v/>
      </c>
      <c r="S72" s="319">
        <f>IF(OR(ISNUMBER(SEARCH("목2",$H72)),ISNUMBER(SEARCH("목1.2",$H72))),1,"")</f>
        <v/>
      </c>
      <c r="T72" s="319">
        <f>IF(OR(ISNUMBER(SEARCH("목3",$H72)),ISNUMBER(SEARCH("목1.3",$H72)),ISNUMBER(SEARCH("목2.3",$H72)),ISNUMBER(SEARCH("목1.2.3",$H72))),1,"")</f>
        <v/>
      </c>
      <c r="U72" s="319">
        <f>IF(ISNUMBER(SEARCH("금1",$H72)),1,"")</f>
        <v/>
      </c>
      <c r="V72" s="319">
        <f>IF(OR(ISNUMBER(SEARCH("금2",$H72)),ISNUMBER(SEARCH("금1.2",$H72))),1,"")</f>
        <v/>
      </c>
      <c r="W72" s="319">
        <f>IF(OR(ISNUMBER(SEARCH("금3",$H72)),ISNUMBER(SEARCH("금1.3",$H72)),ISNUMBER(SEARCH("금2.3",$H72)),ISNUMBER(SEARCH("금1.2.3",$H72))),1,"")</f>
        <v/>
      </c>
      <c r="X72" s="319">
        <f>IF(ISNUMBER(SEARCH("토1",$H72)),1,"")</f>
        <v/>
      </c>
      <c r="Y72" s="319">
        <f>IF(OR(ISNUMBER(SEARCH("토2",$H72)),ISNUMBER(SEARCH("토1.2",$H72))),1,"")</f>
        <v/>
      </c>
      <c r="Z72" s="319">
        <f>IF(OR(ISNUMBER(SEARCH("토3",$H72)),ISNUMBER(SEARCH("토1.3",$H72)),ISNUMBER(SEARCH("토2.3",$H72)),ISNUMBER(SEARCH("토1.2.3",$H72))),1,"")</f>
        <v/>
      </c>
      <c r="AA72" s="319">
        <f>IF(ISNUMBER(SEARCH("일1",$H72)),1,"")</f>
        <v/>
      </c>
      <c r="AB72" s="319">
        <f>IF(OR(ISNUMBER(SEARCH("일2",$H72)),ISNUMBER(SEARCH("일1.2",$H72))),1,"")</f>
        <v/>
      </c>
      <c r="AC72" s="319">
        <f>IF(OR(ISNUMBER(SEARCH("일3",$H72)),ISNUMBER(SEARCH("일1.3",$H72)),ISNUMBER(SEARCH("일2.3",$H72)),ISNUMBER(SEARCH("일1.2.3",$H72))),1,"")</f>
        <v/>
      </c>
      <c r="AD72" s="319">
        <f>SUM(I72:AC72)</f>
        <v/>
      </c>
      <c r="AE72" s="323" t="n"/>
    </row>
    <row r="73" ht="24" customHeight="1">
      <c r="A73" s="168" t="n"/>
      <c r="B73" s="319" t="n"/>
      <c r="C73" s="319" t="n"/>
      <c r="D73" s="319" t="n"/>
      <c r="E73" s="341" t="n"/>
      <c r="F73" s="341" t="n"/>
      <c r="G73" s="342" t="n"/>
      <c r="H73" s="322" t="n"/>
      <c r="I73" s="319">
        <f>IF(ISNUMBER(SEARCH("월1",$H73)),1,"")</f>
        <v/>
      </c>
      <c r="J73" s="319">
        <f>IF(OR(ISNUMBER(SEARCH("월2",$H73)),ISNUMBER(SEARCH("월1.2",$H73))),1,"")</f>
        <v/>
      </c>
      <c r="K73" s="319">
        <f>IF(OR(ISNUMBER(SEARCH("월3",$H73)),ISNUMBER(SEARCH("월1.3",$H73)),ISNUMBER(SEARCH("월2.3",$H73)),ISNUMBER(SEARCH("월1.2.3",$H73))),1,"")</f>
        <v/>
      </c>
      <c r="L73" s="319">
        <f>IF(ISNUMBER(SEARCH("화1",$H73)),1,"")</f>
        <v/>
      </c>
      <c r="M73" s="319">
        <f>IF(OR(ISNUMBER(SEARCH("화2",$H73)),ISNUMBER(SEARCH("화1.2",$H73))),1,"")</f>
        <v/>
      </c>
      <c r="N73" s="319">
        <f>IF(OR(ISNUMBER(SEARCH("화3",$H73)),ISNUMBER(SEARCH("화1.3",$H73)),ISNUMBER(SEARCH("화2.3",$H73)),ISNUMBER(SEARCH("화1.2.3",$H73))),1,"")</f>
        <v/>
      </c>
      <c r="O73" s="319">
        <f>IF(ISNUMBER(SEARCH("수1",$H73)),1,"")</f>
        <v/>
      </c>
      <c r="P73" s="319">
        <f>IF(OR(ISNUMBER(SEARCH("수2",$H73)),ISNUMBER(SEARCH("수1.2",$H73))),1,"")</f>
        <v/>
      </c>
      <c r="Q73" s="319">
        <f>IF(OR(ISNUMBER(SEARCH("수3",$H73)),ISNUMBER(SEARCH("수1.3",$H73)),ISNUMBER(SEARCH("수2.3",$H73)),ISNUMBER(SEARCH("수1.2.3",$H73))),1,"")</f>
        <v/>
      </c>
      <c r="R73" s="319">
        <f>IF(ISNUMBER(SEARCH("목1",$H73)),1,"")</f>
        <v/>
      </c>
      <c r="S73" s="319">
        <f>IF(OR(ISNUMBER(SEARCH("목2",$H73)),ISNUMBER(SEARCH("목1.2",$H73))),1,"")</f>
        <v/>
      </c>
      <c r="T73" s="319">
        <f>IF(OR(ISNUMBER(SEARCH("목3",$H73)),ISNUMBER(SEARCH("목1.3",$H73)),ISNUMBER(SEARCH("목2.3",$H73)),ISNUMBER(SEARCH("목1.2.3",$H73))),1,"")</f>
        <v/>
      </c>
      <c r="U73" s="319">
        <f>IF(ISNUMBER(SEARCH("금1",$H73)),1,"")</f>
        <v/>
      </c>
      <c r="V73" s="319">
        <f>IF(OR(ISNUMBER(SEARCH("금2",$H73)),ISNUMBER(SEARCH("금1.2",$H73))),1,"")</f>
        <v/>
      </c>
      <c r="W73" s="319">
        <f>IF(OR(ISNUMBER(SEARCH("금3",$H73)),ISNUMBER(SEARCH("금1.3",$H73)),ISNUMBER(SEARCH("금2.3",$H73)),ISNUMBER(SEARCH("금1.2.3",$H73))),1,"")</f>
        <v/>
      </c>
      <c r="X73" s="319">
        <f>IF(ISNUMBER(SEARCH("토1",$H73)),1,"")</f>
        <v/>
      </c>
      <c r="Y73" s="319">
        <f>IF(OR(ISNUMBER(SEARCH("토2",$H73)),ISNUMBER(SEARCH("토1.2",$H73))),1,"")</f>
        <v/>
      </c>
      <c r="Z73" s="319">
        <f>IF(OR(ISNUMBER(SEARCH("토3",$H73)),ISNUMBER(SEARCH("토1.3",$H73)),ISNUMBER(SEARCH("토2.3",$H73)),ISNUMBER(SEARCH("토1.2.3",$H73))),1,"")</f>
        <v/>
      </c>
      <c r="AA73" s="319">
        <f>IF(ISNUMBER(SEARCH("일1",$H73)),1,"")</f>
        <v/>
      </c>
      <c r="AB73" s="319">
        <f>IF(OR(ISNUMBER(SEARCH("일2",$H73)),ISNUMBER(SEARCH("일1.2",$H73))),1,"")</f>
        <v/>
      </c>
      <c r="AC73" s="319">
        <f>IF(OR(ISNUMBER(SEARCH("일3",$H73)),ISNUMBER(SEARCH("일1.3",$H73)),ISNUMBER(SEARCH("일2.3",$H73)),ISNUMBER(SEARCH("일1.2.3",$H73))),1,"")</f>
        <v/>
      </c>
      <c r="AD73" s="319">
        <f>SUM(I73:AC73)</f>
        <v/>
      </c>
      <c r="AE73" s="323" t="n"/>
    </row>
    <row r="74" ht="24" customHeight="1">
      <c r="A74" s="168" t="n"/>
      <c r="B74" s="319" t="n"/>
      <c r="C74" s="319" t="n"/>
      <c r="D74" s="319" t="n"/>
      <c r="E74" s="341" t="n"/>
      <c r="F74" s="341" t="n"/>
      <c r="G74" s="342" t="n"/>
      <c r="H74" s="322" t="n"/>
      <c r="I74" s="319">
        <f>IF(ISNUMBER(SEARCH("월1",$H74)),1,"")</f>
        <v/>
      </c>
      <c r="J74" s="319">
        <f>IF(OR(ISNUMBER(SEARCH("월2",$H74)),ISNUMBER(SEARCH("월1.2",$H74))),1,"")</f>
        <v/>
      </c>
      <c r="K74" s="319">
        <f>IF(OR(ISNUMBER(SEARCH("월3",$H74)),ISNUMBER(SEARCH("월1.3",$H74)),ISNUMBER(SEARCH("월2.3",$H74)),ISNUMBER(SEARCH("월1.2.3",$H74))),1,"")</f>
        <v/>
      </c>
      <c r="L74" s="319">
        <f>IF(ISNUMBER(SEARCH("화1",$H74)),1,"")</f>
        <v/>
      </c>
      <c r="M74" s="319">
        <f>IF(OR(ISNUMBER(SEARCH("화2",$H74)),ISNUMBER(SEARCH("화1.2",$H74))),1,"")</f>
        <v/>
      </c>
      <c r="N74" s="319">
        <f>IF(OR(ISNUMBER(SEARCH("화3",$H74)),ISNUMBER(SEARCH("화1.3",$H74)),ISNUMBER(SEARCH("화2.3",$H74)),ISNUMBER(SEARCH("화1.2.3",$H74))),1,"")</f>
        <v/>
      </c>
      <c r="O74" s="319">
        <f>IF(ISNUMBER(SEARCH("수1",$H74)),1,"")</f>
        <v/>
      </c>
      <c r="P74" s="319">
        <f>IF(OR(ISNUMBER(SEARCH("수2",$H74)),ISNUMBER(SEARCH("수1.2",$H74))),1,"")</f>
        <v/>
      </c>
      <c r="Q74" s="319">
        <f>IF(OR(ISNUMBER(SEARCH("수3",$H74)),ISNUMBER(SEARCH("수1.3",$H74)),ISNUMBER(SEARCH("수2.3",$H74)),ISNUMBER(SEARCH("수1.2.3",$H74))),1,"")</f>
        <v/>
      </c>
      <c r="R74" s="319">
        <f>IF(ISNUMBER(SEARCH("목1",$H74)),1,"")</f>
        <v/>
      </c>
      <c r="S74" s="319">
        <f>IF(OR(ISNUMBER(SEARCH("목2",$H74)),ISNUMBER(SEARCH("목1.2",$H74))),1,"")</f>
        <v/>
      </c>
      <c r="T74" s="319">
        <f>IF(OR(ISNUMBER(SEARCH("목3",$H74)),ISNUMBER(SEARCH("목1.3",$H74)),ISNUMBER(SEARCH("목2.3",$H74)),ISNUMBER(SEARCH("목1.2.3",$H74))),1,"")</f>
        <v/>
      </c>
      <c r="U74" s="319">
        <f>IF(ISNUMBER(SEARCH("금1",$H74)),1,"")</f>
        <v/>
      </c>
      <c r="V74" s="319">
        <f>IF(OR(ISNUMBER(SEARCH("금2",$H74)),ISNUMBER(SEARCH("금1.2",$H74))),1,"")</f>
        <v/>
      </c>
      <c r="W74" s="319">
        <f>IF(OR(ISNUMBER(SEARCH("금3",$H74)),ISNUMBER(SEARCH("금1.3",$H74)),ISNUMBER(SEARCH("금2.3",$H74)),ISNUMBER(SEARCH("금1.2.3",$H74))),1,"")</f>
        <v/>
      </c>
      <c r="X74" s="319">
        <f>IF(ISNUMBER(SEARCH("토1",$H74)),1,"")</f>
        <v/>
      </c>
      <c r="Y74" s="319">
        <f>IF(OR(ISNUMBER(SEARCH("토2",$H74)),ISNUMBER(SEARCH("토1.2",$H74))),1,"")</f>
        <v/>
      </c>
      <c r="Z74" s="319">
        <f>IF(OR(ISNUMBER(SEARCH("토3",$H74)),ISNUMBER(SEARCH("토1.3",$H74)),ISNUMBER(SEARCH("토2.3",$H74)),ISNUMBER(SEARCH("토1.2.3",$H74))),1,"")</f>
        <v/>
      </c>
      <c r="AA74" s="319">
        <f>IF(ISNUMBER(SEARCH("일1",$H74)),1,"")</f>
        <v/>
      </c>
      <c r="AB74" s="319">
        <f>IF(OR(ISNUMBER(SEARCH("일2",$H74)),ISNUMBER(SEARCH("일1.2",$H74))),1,"")</f>
        <v/>
      </c>
      <c r="AC74" s="319">
        <f>IF(OR(ISNUMBER(SEARCH("일3",$H74)),ISNUMBER(SEARCH("일1.3",$H74)),ISNUMBER(SEARCH("일2.3",$H74)),ISNUMBER(SEARCH("일1.2.3",$H74))),1,"")</f>
        <v/>
      </c>
      <c r="AD74" s="319">
        <f>SUM(I74:AC74)</f>
        <v/>
      </c>
      <c r="AE74" s="323" t="n"/>
    </row>
    <row r="75" ht="24" customHeight="1">
      <c r="A75" s="168" t="n"/>
      <c r="B75" s="319" t="n"/>
      <c r="C75" s="319" t="n"/>
      <c r="D75" s="319" t="n"/>
      <c r="E75" s="341" t="n"/>
      <c r="F75" s="341" t="n"/>
      <c r="G75" s="342" t="n"/>
      <c r="H75" s="322" t="n"/>
      <c r="I75" s="319">
        <f>IF(ISNUMBER(SEARCH("월1",$H75)),1,"")</f>
        <v/>
      </c>
      <c r="J75" s="319">
        <f>IF(OR(ISNUMBER(SEARCH("월2",$H75)),ISNUMBER(SEARCH("월1.2",$H75))),1,"")</f>
        <v/>
      </c>
      <c r="K75" s="319">
        <f>IF(OR(ISNUMBER(SEARCH("월3",$H75)),ISNUMBER(SEARCH("월1.3",$H75)),ISNUMBER(SEARCH("월2.3",$H75)),ISNUMBER(SEARCH("월1.2.3",$H75))),1,"")</f>
        <v/>
      </c>
      <c r="L75" s="319">
        <f>IF(ISNUMBER(SEARCH("화1",$H75)),1,"")</f>
        <v/>
      </c>
      <c r="M75" s="319">
        <f>IF(OR(ISNUMBER(SEARCH("화2",$H75)),ISNUMBER(SEARCH("화1.2",$H75))),1,"")</f>
        <v/>
      </c>
      <c r="N75" s="319">
        <f>IF(OR(ISNUMBER(SEARCH("화3",$H75)),ISNUMBER(SEARCH("화1.3",$H75)),ISNUMBER(SEARCH("화2.3",$H75)),ISNUMBER(SEARCH("화1.2.3",$H75))),1,"")</f>
        <v/>
      </c>
      <c r="O75" s="319">
        <f>IF(ISNUMBER(SEARCH("수1",$H75)),1,"")</f>
        <v/>
      </c>
      <c r="P75" s="319">
        <f>IF(OR(ISNUMBER(SEARCH("수2",$H75)),ISNUMBER(SEARCH("수1.2",$H75))),1,"")</f>
        <v/>
      </c>
      <c r="Q75" s="319">
        <f>IF(OR(ISNUMBER(SEARCH("수3",$H75)),ISNUMBER(SEARCH("수1.3",$H75)),ISNUMBER(SEARCH("수2.3",$H75)),ISNUMBER(SEARCH("수1.2.3",$H75))),1,"")</f>
        <v/>
      </c>
      <c r="R75" s="319">
        <f>IF(ISNUMBER(SEARCH("목1",$H75)),1,"")</f>
        <v/>
      </c>
      <c r="S75" s="319">
        <f>IF(OR(ISNUMBER(SEARCH("목2",$H75)),ISNUMBER(SEARCH("목1.2",$H75))),1,"")</f>
        <v/>
      </c>
      <c r="T75" s="319">
        <f>IF(OR(ISNUMBER(SEARCH("목3",$H75)),ISNUMBER(SEARCH("목1.3",$H75)),ISNUMBER(SEARCH("목2.3",$H75)),ISNUMBER(SEARCH("목1.2.3",$H75))),1,"")</f>
        <v/>
      </c>
      <c r="U75" s="319">
        <f>IF(ISNUMBER(SEARCH("금1",$H75)),1,"")</f>
        <v/>
      </c>
      <c r="V75" s="319">
        <f>IF(OR(ISNUMBER(SEARCH("금2",$H75)),ISNUMBER(SEARCH("금1.2",$H75))),1,"")</f>
        <v/>
      </c>
      <c r="W75" s="319">
        <f>IF(OR(ISNUMBER(SEARCH("금3",$H75)),ISNUMBER(SEARCH("금1.3",$H75)),ISNUMBER(SEARCH("금2.3",$H75)),ISNUMBER(SEARCH("금1.2.3",$H75))),1,"")</f>
        <v/>
      </c>
      <c r="X75" s="319">
        <f>IF(ISNUMBER(SEARCH("토1",$H75)),1,"")</f>
        <v/>
      </c>
      <c r="Y75" s="319">
        <f>IF(OR(ISNUMBER(SEARCH("토2",$H75)),ISNUMBER(SEARCH("토1.2",$H75))),1,"")</f>
        <v/>
      </c>
      <c r="Z75" s="319">
        <f>IF(OR(ISNUMBER(SEARCH("토3",$H75)),ISNUMBER(SEARCH("토1.3",$H75)),ISNUMBER(SEARCH("토2.3",$H75)),ISNUMBER(SEARCH("토1.2.3",$H75))),1,"")</f>
        <v/>
      </c>
      <c r="AA75" s="319">
        <f>IF(ISNUMBER(SEARCH("일1",$H75)),1,"")</f>
        <v/>
      </c>
      <c r="AB75" s="319">
        <f>IF(OR(ISNUMBER(SEARCH("일2",$H75)),ISNUMBER(SEARCH("일1.2",$H75))),1,"")</f>
        <v/>
      </c>
      <c r="AC75" s="319">
        <f>IF(OR(ISNUMBER(SEARCH("일3",$H75)),ISNUMBER(SEARCH("일1.3",$H75)),ISNUMBER(SEARCH("일2.3",$H75)),ISNUMBER(SEARCH("일1.2.3",$H75))),1,"")</f>
        <v/>
      </c>
      <c r="AD75" s="319">
        <f>SUM(I75:AC75)</f>
        <v/>
      </c>
      <c r="AE75" s="323" t="n"/>
    </row>
    <row r="76" ht="24" customHeight="1">
      <c r="A76" s="168" t="n"/>
      <c r="B76" s="319" t="n"/>
      <c r="C76" s="319" t="n"/>
      <c r="D76" s="319" t="n"/>
      <c r="E76" s="341" t="n"/>
      <c r="F76" s="341" t="n"/>
      <c r="G76" s="342" t="n"/>
      <c r="H76" s="322" t="n"/>
      <c r="I76" s="319">
        <f>IF(ISNUMBER(SEARCH("월1",$H76)),1,"")</f>
        <v/>
      </c>
      <c r="J76" s="319">
        <f>IF(OR(ISNUMBER(SEARCH("월2",$H76)),ISNUMBER(SEARCH("월1.2",$H76))),1,"")</f>
        <v/>
      </c>
      <c r="K76" s="319">
        <f>IF(OR(ISNUMBER(SEARCH("월3",$H76)),ISNUMBER(SEARCH("월1.3",$H76)),ISNUMBER(SEARCH("월2.3",$H76)),ISNUMBER(SEARCH("월1.2.3",$H76))),1,"")</f>
        <v/>
      </c>
      <c r="L76" s="319">
        <f>IF(ISNUMBER(SEARCH("화1",$H76)),1,"")</f>
        <v/>
      </c>
      <c r="M76" s="319">
        <f>IF(OR(ISNUMBER(SEARCH("화2",$H76)),ISNUMBER(SEARCH("화1.2",$H76))),1,"")</f>
        <v/>
      </c>
      <c r="N76" s="319">
        <f>IF(OR(ISNUMBER(SEARCH("화3",$H76)),ISNUMBER(SEARCH("화1.3",$H76)),ISNUMBER(SEARCH("화2.3",$H76)),ISNUMBER(SEARCH("화1.2.3",$H76))),1,"")</f>
        <v/>
      </c>
      <c r="O76" s="319">
        <f>IF(ISNUMBER(SEARCH("수1",$H76)),1,"")</f>
        <v/>
      </c>
      <c r="P76" s="319">
        <f>IF(OR(ISNUMBER(SEARCH("수2",$H76)),ISNUMBER(SEARCH("수1.2",$H76))),1,"")</f>
        <v/>
      </c>
      <c r="Q76" s="319">
        <f>IF(OR(ISNUMBER(SEARCH("수3",$H76)),ISNUMBER(SEARCH("수1.3",$H76)),ISNUMBER(SEARCH("수2.3",$H76)),ISNUMBER(SEARCH("수1.2.3",$H76))),1,"")</f>
        <v/>
      </c>
      <c r="R76" s="319">
        <f>IF(ISNUMBER(SEARCH("목1",$H76)),1,"")</f>
        <v/>
      </c>
      <c r="S76" s="319">
        <f>IF(OR(ISNUMBER(SEARCH("목2",$H76)),ISNUMBER(SEARCH("목1.2",$H76))),1,"")</f>
        <v/>
      </c>
      <c r="T76" s="319">
        <f>IF(OR(ISNUMBER(SEARCH("목3",$H76)),ISNUMBER(SEARCH("목1.3",$H76)),ISNUMBER(SEARCH("목2.3",$H76)),ISNUMBER(SEARCH("목1.2.3",$H76))),1,"")</f>
        <v/>
      </c>
      <c r="U76" s="319">
        <f>IF(ISNUMBER(SEARCH("금1",$H76)),1,"")</f>
        <v/>
      </c>
      <c r="V76" s="319">
        <f>IF(OR(ISNUMBER(SEARCH("금2",$H76)),ISNUMBER(SEARCH("금1.2",$H76))),1,"")</f>
        <v/>
      </c>
      <c r="W76" s="319">
        <f>IF(OR(ISNUMBER(SEARCH("금3",$H76)),ISNUMBER(SEARCH("금1.3",$H76)),ISNUMBER(SEARCH("금2.3",$H76)),ISNUMBER(SEARCH("금1.2.3",$H76))),1,"")</f>
        <v/>
      </c>
      <c r="X76" s="319">
        <f>IF(ISNUMBER(SEARCH("토1",$H76)),1,"")</f>
        <v/>
      </c>
      <c r="Y76" s="319">
        <f>IF(OR(ISNUMBER(SEARCH("토2",$H76)),ISNUMBER(SEARCH("토1.2",$H76))),1,"")</f>
        <v/>
      </c>
      <c r="Z76" s="319">
        <f>IF(OR(ISNUMBER(SEARCH("토3",$H76)),ISNUMBER(SEARCH("토1.3",$H76)),ISNUMBER(SEARCH("토2.3",$H76)),ISNUMBER(SEARCH("토1.2.3",$H76))),1,"")</f>
        <v/>
      </c>
      <c r="AA76" s="319">
        <f>IF(ISNUMBER(SEARCH("일1",$H76)),1,"")</f>
        <v/>
      </c>
      <c r="AB76" s="319">
        <f>IF(OR(ISNUMBER(SEARCH("일2",$H76)),ISNUMBER(SEARCH("일1.2",$H76))),1,"")</f>
        <v/>
      </c>
      <c r="AC76" s="319">
        <f>IF(OR(ISNUMBER(SEARCH("일3",$H76)),ISNUMBER(SEARCH("일1.3",$H76)),ISNUMBER(SEARCH("일2.3",$H76)),ISNUMBER(SEARCH("일1.2.3",$H76))),1,"")</f>
        <v/>
      </c>
      <c r="AD76" s="319">
        <f>SUM(I76:AC76)</f>
        <v/>
      </c>
      <c r="AE76" s="323" t="n"/>
    </row>
    <row r="77" ht="24" customHeight="1">
      <c r="A77" s="168" t="n"/>
      <c r="B77" s="319" t="n"/>
      <c r="C77" s="319" t="n"/>
      <c r="D77" s="319" t="n"/>
      <c r="E77" s="341" t="n"/>
      <c r="F77" s="341" t="n"/>
      <c r="G77" s="342" t="n"/>
      <c r="H77" s="322" t="n"/>
      <c r="I77" s="319">
        <f>IF(ISNUMBER(SEARCH("월1",$H77)),1,"")</f>
        <v/>
      </c>
      <c r="J77" s="319">
        <f>IF(OR(ISNUMBER(SEARCH("월2",$H77)),ISNUMBER(SEARCH("월1.2",$H77))),1,"")</f>
        <v/>
      </c>
      <c r="K77" s="319">
        <f>IF(OR(ISNUMBER(SEARCH("월3",$H77)),ISNUMBER(SEARCH("월1.3",$H77)),ISNUMBER(SEARCH("월2.3",$H77)),ISNUMBER(SEARCH("월1.2.3",$H77))),1,"")</f>
        <v/>
      </c>
      <c r="L77" s="319">
        <f>IF(ISNUMBER(SEARCH("화1",$H77)),1,"")</f>
        <v/>
      </c>
      <c r="M77" s="319">
        <f>IF(OR(ISNUMBER(SEARCH("화2",$H77)),ISNUMBER(SEARCH("화1.2",$H77))),1,"")</f>
        <v/>
      </c>
      <c r="N77" s="319">
        <f>IF(OR(ISNUMBER(SEARCH("화3",$H77)),ISNUMBER(SEARCH("화1.3",$H77)),ISNUMBER(SEARCH("화2.3",$H77)),ISNUMBER(SEARCH("화1.2.3",$H77))),1,"")</f>
        <v/>
      </c>
      <c r="O77" s="319">
        <f>IF(ISNUMBER(SEARCH("수1",$H77)),1,"")</f>
        <v/>
      </c>
      <c r="P77" s="319">
        <f>IF(OR(ISNUMBER(SEARCH("수2",$H77)),ISNUMBER(SEARCH("수1.2",$H77))),1,"")</f>
        <v/>
      </c>
      <c r="Q77" s="319">
        <f>IF(OR(ISNUMBER(SEARCH("수3",$H77)),ISNUMBER(SEARCH("수1.3",$H77)),ISNUMBER(SEARCH("수2.3",$H77)),ISNUMBER(SEARCH("수1.2.3",$H77))),1,"")</f>
        <v/>
      </c>
      <c r="R77" s="319">
        <f>IF(ISNUMBER(SEARCH("목1",$H77)),1,"")</f>
        <v/>
      </c>
      <c r="S77" s="319">
        <f>IF(OR(ISNUMBER(SEARCH("목2",$H77)),ISNUMBER(SEARCH("목1.2",$H77))),1,"")</f>
        <v/>
      </c>
      <c r="T77" s="319">
        <f>IF(OR(ISNUMBER(SEARCH("목3",$H77)),ISNUMBER(SEARCH("목1.3",$H77)),ISNUMBER(SEARCH("목2.3",$H77)),ISNUMBER(SEARCH("목1.2.3",$H77))),1,"")</f>
        <v/>
      </c>
      <c r="U77" s="319">
        <f>IF(ISNUMBER(SEARCH("금1",$H77)),1,"")</f>
        <v/>
      </c>
      <c r="V77" s="319">
        <f>IF(OR(ISNUMBER(SEARCH("금2",$H77)),ISNUMBER(SEARCH("금1.2",$H77))),1,"")</f>
        <v/>
      </c>
      <c r="W77" s="319">
        <f>IF(OR(ISNUMBER(SEARCH("금3",$H77)),ISNUMBER(SEARCH("금1.3",$H77)),ISNUMBER(SEARCH("금2.3",$H77)),ISNUMBER(SEARCH("금1.2.3",$H77))),1,"")</f>
        <v/>
      </c>
      <c r="X77" s="319">
        <f>IF(ISNUMBER(SEARCH("토1",$H77)),1,"")</f>
        <v/>
      </c>
      <c r="Y77" s="319">
        <f>IF(OR(ISNUMBER(SEARCH("토2",$H77)),ISNUMBER(SEARCH("토1.2",$H77))),1,"")</f>
        <v/>
      </c>
      <c r="Z77" s="319">
        <f>IF(OR(ISNUMBER(SEARCH("토3",$H77)),ISNUMBER(SEARCH("토1.3",$H77)),ISNUMBER(SEARCH("토2.3",$H77)),ISNUMBER(SEARCH("토1.2.3",$H77))),1,"")</f>
        <v/>
      </c>
      <c r="AA77" s="319">
        <f>IF(ISNUMBER(SEARCH("일1",$H77)),1,"")</f>
        <v/>
      </c>
      <c r="AB77" s="319">
        <f>IF(OR(ISNUMBER(SEARCH("일2",$H77)),ISNUMBER(SEARCH("일1.2",$H77))),1,"")</f>
        <v/>
      </c>
      <c r="AC77" s="319">
        <f>IF(OR(ISNUMBER(SEARCH("일3",$H77)),ISNUMBER(SEARCH("일1.3",$H77)),ISNUMBER(SEARCH("일2.3",$H77)),ISNUMBER(SEARCH("일1.2.3",$H77))),1,"")</f>
        <v/>
      </c>
      <c r="AD77" s="319">
        <f>SUM(I77:AC77)</f>
        <v/>
      </c>
      <c r="AE77" s="323" t="n"/>
    </row>
    <row r="78" ht="24" customHeight="1">
      <c r="A78" s="168" t="n"/>
      <c r="B78" s="319" t="n"/>
      <c r="C78" s="319" t="n"/>
      <c r="D78" s="319" t="n"/>
      <c r="E78" s="341" t="n"/>
      <c r="F78" s="341" t="n"/>
      <c r="G78" s="342" t="n"/>
      <c r="H78" s="322" t="n"/>
      <c r="I78" s="319">
        <f>IF(ISNUMBER(SEARCH("월1",$H78)),1,"")</f>
        <v/>
      </c>
      <c r="J78" s="319">
        <f>IF(OR(ISNUMBER(SEARCH("월2",$H78)),ISNUMBER(SEARCH("월1.2",$H78))),1,"")</f>
        <v/>
      </c>
      <c r="K78" s="319">
        <f>IF(OR(ISNUMBER(SEARCH("월3",$H78)),ISNUMBER(SEARCH("월1.3",$H78)),ISNUMBER(SEARCH("월2.3",$H78)),ISNUMBER(SEARCH("월1.2.3",$H78))),1,"")</f>
        <v/>
      </c>
      <c r="L78" s="319">
        <f>IF(ISNUMBER(SEARCH("화1",$H78)),1,"")</f>
        <v/>
      </c>
      <c r="M78" s="319">
        <f>IF(OR(ISNUMBER(SEARCH("화2",$H78)),ISNUMBER(SEARCH("화1.2",$H78))),1,"")</f>
        <v/>
      </c>
      <c r="N78" s="319">
        <f>IF(OR(ISNUMBER(SEARCH("화3",$H78)),ISNUMBER(SEARCH("화1.3",$H78)),ISNUMBER(SEARCH("화2.3",$H78)),ISNUMBER(SEARCH("화1.2.3",$H78))),1,"")</f>
        <v/>
      </c>
      <c r="O78" s="319">
        <f>IF(ISNUMBER(SEARCH("수1",$H78)),1,"")</f>
        <v/>
      </c>
      <c r="P78" s="319">
        <f>IF(OR(ISNUMBER(SEARCH("수2",$H78)),ISNUMBER(SEARCH("수1.2",$H78))),1,"")</f>
        <v/>
      </c>
      <c r="Q78" s="319">
        <f>IF(OR(ISNUMBER(SEARCH("수3",$H78)),ISNUMBER(SEARCH("수1.3",$H78)),ISNUMBER(SEARCH("수2.3",$H78)),ISNUMBER(SEARCH("수1.2.3",$H78))),1,"")</f>
        <v/>
      </c>
      <c r="R78" s="319">
        <f>IF(ISNUMBER(SEARCH("목1",$H78)),1,"")</f>
        <v/>
      </c>
      <c r="S78" s="319">
        <f>IF(OR(ISNUMBER(SEARCH("목2",$H78)),ISNUMBER(SEARCH("목1.2",$H78))),1,"")</f>
        <v/>
      </c>
      <c r="T78" s="319">
        <f>IF(OR(ISNUMBER(SEARCH("목3",$H78)),ISNUMBER(SEARCH("목1.3",$H78)),ISNUMBER(SEARCH("목2.3",$H78)),ISNUMBER(SEARCH("목1.2.3",$H78))),1,"")</f>
        <v/>
      </c>
      <c r="U78" s="319">
        <f>IF(ISNUMBER(SEARCH("금1",$H78)),1,"")</f>
        <v/>
      </c>
      <c r="V78" s="319">
        <f>IF(OR(ISNUMBER(SEARCH("금2",$H78)),ISNUMBER(SEARCH("금1.2",$H78))),1,"")</f>
        <v/>
      </c>
      <c r="W78" s="319">
        <f>IF(OR(ISNUMBER(SEARCH("금3",$H78)),ISNUMBER(SEARCH("금1.3",$H78)),ISNUMBER(SEARCH("금2.3",$H78)),ISNUMBER(SEARCH("금1.2.3",$H78))),1,"")</f>
        <v/>
      </c>
      <c r="X78" s="319">
        <f>IF(ISNUMBER(SEARCH("토1",$H78)),1,"")</f>
        <v/>
      </c>
      <c r="Y78" s="319">
        <f>IF(OR(ISNUMBER(SEARCH("토2",$H78)),ISNUMBER(SEARCH("토1.2",$H78))),1,"")</f>
        <v/>
      </c>
      <c r="Z78" s="319">
        <f>IF(OR(ISNUMBER(SEARCH("토3",$H78)),ISNUMBER(SEARCH("토1.3",$H78)),ISNUMBER(SEARCH("토2.3",$H78)),ISNUMBER(SEARCH("토1.2.3",$H78))),1,"")</f>
        <v/>
      </c>
      <c r="AA78" s="319">
        <f>IF(ISNUMBER(SEARCH("일1",$H78)),1,"")</f>
        <v/>
      </c>
      <c r="AB78" s="319">
        <f>IF(OR(ISNUMBER(SEARCH("일2",$H78)),ISNUMBER(SEARCH("일1.2",$H78))),1,"")</f>
        <v/>
      </c>
      <c r="AC78" s="319">
        <f>IF(OR(ISNUMBER(SEARCH("일3",$H78)),ISNUMBER(SEARCH("일1.3",$H78)),ISNUMBER(SEARCH("일2.3",$H78)),ISNUMBER(SEARCH("일1.2.3",$H78))),1,"")</f>
        <v/>
      </c>
      <c r="AD78" s="319">
        <f>SUM(I78:AC78)</f>
        <v/>
      </c>
      <c r="AE78" s="323" t="n"/>
    </row>
    <row r="79" ht="24" customHeight="1">
      <c r="A79" s="168" t="n"/>
      <c r="B79" s="319" t="n"/>
      <c r="C79" s="319" t="n"/>
      <c r="D79" s="319" t="n"/>
      <c r="E79" s="341" t="n"/>
      <c r="F79" s="341" t="n"/>
      <c r="G79" s="342" t="n"/>
      <c r="H79" s="322" t="n"/>
      <c r="I79" s="319">
        <f>IF(ISNUMBER(SEARCH("월1",$H79)),1,"")</f>
        <v/>
      </c>
      <c r="J79" s="319">
        <f>IF(OR(ISNUMBER(SEARCH("월2",$H79)),ISNUMBER(SEARCH("월1.2",$H79))),1,"")</f>
        <v/>
      </c>
      <c r="K79" s="319">
        <f>IF(OR(ISNUMBER(SEARCH("월3",$H79)),ISNUMBER(SEARCH("월1.3",$H79)),ISNUMBER(SEARCH("월2.3",$H79)),ISNUMBER(SEARCH("월1.2.3",$H79))),1,"")</f>
        <v/>
      </c>
      <c r="L79" s="319">
        <f>IF(ISNUMBER(SEARCH("화1",$H79)),1,"")</f>
        <v/>
      </c>
      <c r="M79" s="319">
        <f>IF(OR(ISNUMBER(SEARCH("화2",$H79)),ISNUMBER(SEARCH("화1.2",$H79))),1,"")</f>
        <v/>
      </c>
      <c r="N79" s="319">
        <f>IF(OR(ISNUMBER(SEARCH("화3",$H79)),ISNUMBER(SEARCH("화1.3",$H79)),ISNUMBER(SEARCH("화2.3",$H79)),ISNUMBER(SEARCH("화1.2.3",$H79))),1,"")</f>
        <v/>
      </c>
      <c r="O79" s="319">
        <f>IF(ISNUMBER(SEARCH("수1",$H79)),1,"")</f>
        <v/>
      </c>
      <c r="P79" s="319">
        <f>IF(OR(ISNUMBER(SEARCH("수2",$H79)),ISNUMBER(SEARCH("수1.2",$H79))),1,"")</f>
        <v/>
      </c>
      <c r="Q79" s="319">
        <f>IF(OR(ISNUMBER(SEARCH("수3",$H79)),ISNUMBER(SEARCH("수1.3",$H79)),ISNUMBER(SEARCH("수2.3",$H79)),ISNUMBER(SEARCH("수1.2.3",$H79))),1,"")</f>
        <v/>
      </c>
      <c r="R79" s="319">
        <f>IF(ISNUMBER(SEARCH("목1",$H79)),1,"")</f>
        <v/>
      </c>
      <c r="S79" s="319">
        <f>IF(OR(ISNUMBER(SEARCH("목2",$H79)),ISNUMBER(SEARCH("목1.2",$H79))),1,"")</f>
        <v/>
      </c>
      <c r="T79" s="319">
        <f>IF(OR(ISNUMBER(SEARCH("목3",$H79)),ISNUMBER(SEARCH("목1.3",$H79)),ISNUMBER(SEARCH("목2.3",$H79)),ISNUMBER(SEARCH("목1.2.3",$H79))),1,"")</f>
        <v/>
      </c>
      <c r="U79" s="319">
        <f>IF(ISNUMBER(SEARCH("금1",$H79)),1,"")</f>
        <v/>
      </c>
      <c r="V79" s="319">
        <f>IF(OR(ISNUMBER(SEARCH("금2",$H79)),ISNUMBER(SEARCH("금1.2",$H79))),1,"")</f>
        <v/>
      </c>
      <c r="W79" s="319">
        <f>IF(OR(ISNUMBER(SEARCH("금3",$H79)),ISNUMBER(SEARCH("금1.3",$H79)),ISNUMBER(SEARCH("금2.3",$H79)),ISNUMBER(SEARCH("금1.2.3",$H79))),1,"")</f>
        <v/>
      </c>
      <c r="X79" s="319">
        <f>IF(ISNUMBER(SEARCH("토1",$H79)),1,"")</f>
        <v/>
      </c>
      <c r="Y79" s="319">
        <f>IF(OR(ISNUMBER(SEARCH("토2",$H79)),ISNUMBER(SEARCH("토1.2",$H79))),1,"")</f>
        <v/>
      </c>
      <c r="Z79" s="319">
        <f>IF(OR(ISNUMBER(SEARCH("토3",$H79)),ISNUMBER(SEARCH("토1.3",$H79)),ISNUMBER(SEARCH("토2.3",$H79)),ISNUMBER(SEARCH("토1.2.3",$H79))),1,"")</f>
        <v/>
      </c>
      <c r="AA79" s="319">
        <f>IF(ISNUMBER(SEARCH("일1",$H79)),1,"")</f>
        <v/>
      </c>
      <c r="AB79" s="319">
        <f>IF(OR(ISNUMBER(SEARCH("일2",$H79)),ISNUMBER(SEARCH("일1.2",$H79))),1,"")</f>
        <v/>
      </c>
      <c r="AC79" s="319">
        <f>IF(OR(ISNUMBER(SEARCH("일3",$H79)),ISNUMBER(SEARCH("일1.3",$H79)),ISNUMBER(SEARCH("일2.3",$H79)),ISNUMBER(SEARCH("일1.2.3",$H79))),1,"")</f>
        <v/>
      </c>
      <c r="AD79" s="319">
        <f>SUM(I79:AC79)</f>
        <v/>
      </c>
      <c r="AE79" s="323" t="n"/>
    </row>
    <row r="80" ht="24" customHeight="1">
      <c r="A80" s="168" t="n"/>
      <c r="B80" s="319" t="n"/>
      <c r="C80" s="319" t="n"/>
      <c r="D80" s="319" t="n"/>
      <c r="E80" s="341" t="n"/>
      <c r="F80" s="341" t="n"/>
      <c r="G80" s="342" t="n"/>
      <c r="H80" s="322" t="n"/>
      <c r="I80" s="319">
        <f>IF(ISNUMBER(SEARCH("월1",$H80)),1,"")</f>
        <v/>
      </c>
      <c r="J80" s="319">
        <f>IF(OR(ISNUMBER(SEARCH("월2",$H80)),ISNUMBER(SEARCH("월1.2",$H80))),1,"")</f>
        <v/>
      </c>
      <c r="K80" s="319">
        <f>IF(OR(ISNUMBER(SEARCH("월3",$H80)),ISNUMBER(SEARCH("월1.3",$H80)),ISNUMBER(SEARCH("월2.3",$H80)),ISNUMBER(SEARCH("월1.2.3",$H80))),1,"")</f>
        <v/>
      </c>
      <c r="L80" s="319">
        <f>IF(ISNUMBER(SEARCH("화1",$H80)),1,"")</f>
        <v/>
      </c>
      <c r="M80" s="319">
        <f>IF(OR(ISNUMBER(SEARCH("화2",$H80)),ISNUMBER(SEARCH("화1.2",$H80))),1,"")</f>
        <v/>
      </c>
      <c r="N80" s="319">
        <f>IF(OR(ISNUMBER(SEARCH("화3",$H80)),ISNUMBER(SEARCH("화1.3",$H80)),ISNUMBER(SEARCH("화2.3",$H80)),ISNUMBER(SEARCH("화1.2.3",$H80))),1,"")</f>
        <v/>
      </c>
      <c r="O80" s="319">
        <f>IF(ISNUMBER(SEARCH("수1",$H80)),1,"")</f>
        <v/>
      </c>
      <c r="P80" s="319">
        <f>IF(OR(ISNUMBER(SEARCH("수2",$H80)),ISNUMBER(SEARCH("수1.2",$H80))),1,"")</f>
        <v/>
      </c>
      <c r="Q80" s="319">
        <f>IF(OR(ISNUMBER(SEARCH("수3",$H80)),ISNUMBER(SEARCH("수1.3",$H80)),ISNUMBER(SEARCH("수2.3",$H80)),ISNUMBER(SEARCH("수1.2.3",$H80))),1,"")</f>
        <v/>
      </c>
      <c r="R80" s="319">
        <f>IF(ISNUMBER(SEARCH("목1",$H80)),1,"")</f>
        <v/>
      </c>
      <c r="S80" s="319">
        <f>IF(OR(ISNUMBER(SEARCH("목2",$H80)),ISNUMBER(SEARCH("목1.2",$H80))),1,"")</f>
        <v/>
      </c>
      <c r="T80" s="319">
        <f>IF(OR(ISNUMBER(SEARCH("목3",$H80)),ISNUMBER(SEARCH("목1.3",$H80)),ISNUMBER(SEARCH("목2.3",$H80)),ISNUMBER(SEARCH("목1.2.3",$H80))),1,"")</f>
        <v/>
      </c>
      <c r="U80" s="319">
        <f>IF(ISNUMBER(SEARCH("금1",$H80)),1,"")</f>
        <v/>
      </c>
      <c r="V80" s="319">
        <f>IF(OR(ISNUMBER(SEARCH("금2",$H80)),ISNUMBER(SEARCH("금1.2",$H80))),1,"")</f>
        <v/>
      </c>
      <c r="W80" s="319">
        <f>IF(OR(ISNUMBER(SEARCH("금3",$H80)),ISNUMBER(SEARCH("금1.3",$H80)),ISNUMBER(SEARCH("금2.3",$H80)),ISNUMBER(SEARCH("금1.2.3",$H80))),1,"")</f>
        <v/>
      </c>
      <c r="X80" s="319">
        <f>IF(ISNUMBER(SEARCH("토1",$H80)),1,"")</f>
        <v/>
      </c>
      <c r="Y80" s="319">
        <f>IF(OR(ISNUMBER(SEARCH("토2",$H80)),ISNUMBER(SEARCH("토1.2",$H80))),1,"")</f>
        <v/>
      </c>
      <c r="Z80" s="319">
        <f>IF(OR(ISNUMBER(SEARCH("토3",$H80)),ISNUMBER(SEARCH("토1.3",$H80)),ISNUMBER(SEARCH("토2.3",$H80)),ISNUMBER(SEARCH("토1.2.3",$H80))),1,"")</f>
        <v/>
      </c>
      <c r="AA80" s="319">
        <f>IF(ISNUMBER(SEARCH("일1",$H80)),1,"")</f>
        <v/>
      </c>
      <c r="AB80" s="319">
        <f>IF(OR(ISNUMBER(SEARCH("일2",$H80)),ISNUMBER(SEARCH("일1.2",$H80))),1,"")</f>
        <v/>
      </c>
      <c r="AC80" s="319">
        <f>IF(OR(ISNUMBER(SEARCH("일3",$H80)),ISNUMBER(SEARCH("일1.3",$H80)),ISNUMBER(SEARCH("일2.3",$H80)),ISNUMBER(SEARCH("일1.2.3",$H80))),1,"")</f>
        <v/>
      </c>
      <c r="AD80" s="319">
        <f>SUM(I80:AC80)</f>
        <v/>
      </c>
      <c r="AE80" s="323" t="n"/>
    </row>
    <row r="81" ht="24" customHeight="1">
      <c r="A81" s="168" t="n"/>
      <c r="B81" s="319" t="n"/>
      <c r="C81" s="319" t="n"/>
      <c r="D81" s="319" t="n"/>
      <c r="E81" s="341" t="n"/>
      <c r="F81" s="341" t="n"/>
      <c r="G81" s="342" t="n"/>
      <c r="H81" s="322" t="n"/>
      <c r="I81" s="319">
        <f>IF(ISNUMBER(SEARCH("월1",$H81)),1,"")</f>
        <v/>
      </c>
      <c r="J81" s="319">
        <f>IF(OR(ISNUMBER(SEARCH("월2",$H81)),ISNUMBER(SEARCH("월1.2",$H81))),1,"")</f>
        <v/>
      </c>
      <c r="K81" s="319">
        <f>IF(OR(ISNUMBER(SEARCH("월3",$H81)),ISNUMBER(SEARCH("월1.3",$H81)),ISNUMBER(SEARCH("월2.3",$H81)),ISNUMBER(SEARCH("월1.2.3",$H81))),1,"")</f>
        <v/>
      </c>
      <c r="L81" s="319">
        <f>IF(ISNUMBER(SEARCH("화1",$H81)),1,"")</f>
        <v/>
      </c>
      <c r="M81" s="319">
        <f>IF(OR(ISNUMBER(SEARCH("화2",$H81)),ISNUMBER(SEARCH("화1.2",$H81))),1,"")</f>
        <v/>
      </c>
      <c r="N81" s="319">
        <f>IF(OR(ISNUMBER(SEARCH("화3",$H81)),ISNUMBER(SEARCH("화1.3",$H81)),ISNUMBER(SEARCH("화2.3",$H81)),ISNUMBER(SEARCH("화1.2.3",$H81))),1,"")</f>
        <v/>
      </c>
      <c r="O81" s="319">
        <f>IF(ISNUMBER(SEARCH("수1",$H81)),1,"")</f>
        <v/>
      </c>
      <c r="P81" s="319">
        <f>IF(OR(ISNUMBER(SEARCH("수2",$H81)),ISNUMBER(SEARCH("수1.2",$H81))),1,"")</f>
        <v/>
      </c>
      <c r="Q81" s="319">
        <f>IF(OR(ISNUMBER(SEARCH("수3",$H81)),ISNUMBER(SEARCH("수1.3",$H81)),ISNUMBER(SEARCH("수2.3",$H81)),ISNUMBER(SEARCH("수1.2.3",$H81))),1,"")</f>
        <v/>
      </c>
      <c r="R81" s="319">
        <f>IF(ISNUMBER(SEARCH("목1",$H81)),1,"")</f>
        <v/>
      </c>
      <c r="S81" s="319">
        <f>IF(OR(ISNUMBER(SEARCH("목2",$H81)),ISNUMBER(SEARCH("목1.2",$H81))),1,"")</f>
        <v/>
      </c>
      <c r="T81" s="319">
        <f>IF(OR(ISNUMBER(SEARCH("목3",$H81)),ISNUMBER(SEARCH("목1.3",$H81)),ISNUMBER(SEARCH("목2.3",$H81)),ISNUMBER(SEARCH("목1.2.3",$H81))),1,"")</f>
        <v/>
      </c>
      <c r="U81" s="319">
        <f>IF(ISNUMBER(SEARCH("금1",$H81)),1,"")</f>
        <v/>
      </c>
      <c r="V81" s="319">
        <f>IF(OR(ISNUMBER(SEARCH("금2",$H81)),ISNUMBER(SEARCH("금1.2",$H81))),1,"")</f>
        <v/>
      </c>
      <c r="W81" s="319">
        <f>IF(OR(ISNUMBER(SEARCH("금3",$H81)),ISNUMBER(SEARCH("금1.3",$H81)),ISNUMBER(SEARCH("금2.3",$H81)),ISNUMBER(SEARCH("금1.2.3",$H81))),1,"")</f>
        <v/>
      </c>
      <c r="X81" s="319">
        <f>IF(ISNUMBER(SEARCH("토1",$H81)),1,"")</f>
        <v/>
      </c>
      <c r="Y81" s="319">
        <f>IF(OR(ISNUMBER(SEARCH("토2",$H81)),ISNUMBER(SEARCH("토1.2",$H81))),1,"")</f>
        <v/>
      </c>
      <c r="Z81" s="319">
        <f>IF(OR(ISNUMBER(SEARCH("토3",$H81)),ISNUMBER(SEARCH("토1.3",$H81)),ISNUMBER(SEARCH("토2.3",$H81)),ISNUMBER(SEARCH("토1.2.3",$H81))),1,"")</f>
        <v/>
      </c>
      <c r="AA81" s="319">
        <f>IF(ISNUMBER(SEARCH("일1",$H81)),1,"")</f>
        <v/>
      </c>
      <c r="AB81" s="319">
        <f>IF(OR(ISNUMBER(SEARCH("일2",$H81)),ISNUMBER(SEARCH("일1.2",$H81))),1,"")</f>
        <v/>
      </c>
      <c r="AC81" s="319">
        <f>IF(OR(ISNUMBER(SEARCH("일3",$H81)),ISNUMBER(SEARCH("일1.3",$H81)),ISNUMBER(SEARCH("일2.3",$H81)),ISNUMBER(SEARCH("일1.2.3",$H81))),1,"")</f>
        <v/>
      </c>
      <c r="AD81" s="319">
        <f>SUM(I81:AC81)</f>
        <v/>
      </c>
      <c r="AE81" s="323" t="n"/>
    </row>
    <row r="82" ht="24" customHeight="1">
      <c r="A82" s="168" t="n"/>
      <c r="B82" s="319" t="n"/>
      <c r="C82" s="319" t="n"/>
      <c r="D82" s="319" t="n"/>
      <c r="E82" s="341" t="n"/>
      <c r="F82" s="341" t="n"/>
      <c r="G82" s="342" t="n"/>
      <c r="H82" s="322" t="n"/>
      <c r="I82" s="319">
        <f>IF(ISNUMBER(SEARCH("월1",$H82)),1,"")</f>
        <v/>
      </c>
      <c r="J82" s="319">
        <f>IF(OR(ISNUMBER(SEARCH("월2",$H82)),ISNUMBER(SEARCH("월1.2",$H82))),1,"")</f>
        <v/>
      </c>
      <c r="K82" s="319">
        <f>IF(OR(ISNUMBER(SEARCH("월3",$H82)),ISNUMBER(SEARCH("월1.3",$H82)),ISNUMBER(SEARCH("월2.3",$H82)),ISNUMBER(SEARCH("월1.2.3",$H82))),1,"")</f>
        <v/>
      </c>
      <c r="L82" s="319">
        <f>IF(ISNUMBER(SEARCH("화1",$H82)),1,"")</f>
        <v/>
      </c>
      <c r="M82" s="319">
        <f>IF(OR(ISNUMBER(SEARCH("화2",$H82)),ISNUMBER(SEARCH("화1.2",$H82))),1,"")</f>
        <v/>
      </c>
      <c r="N82" s="319">
        <f>IF(OR(ISNUMBER(SEARCH("화3",$H82)),ISNUMBER(SEARCH("화1.3",$H82)),ISNUMBER(SEARCH("화2.3",$H82)),ISNUMBER(SEARCH("화1.2.3",$H82))),1,"")</f>
        <v/>
      </c>
      <c r="O82" s="319">
        <f>IF(ISNUMBER(SEARCH("수1",$H82)),1,"")</f>
        <v/>
      </c>
      <c r="P82" s="319">
        <f>IF(OR(ISNUMBER(SEARCH("수2",$H82)),ISNUMBER(SEARCH("수1.2",$H82))),1,"")</f>
        <v/>
      </c>
      <c r="Q82" s="319">
        <f>IF(OR(ISNUMBER(SEARCH("수3",$H82)),ISNUMBER(SEARCH("수1.3",$H82)),ISNUMBER(SEARCH("수2.3",$H82)),ISNUMBER(SEARCH("수1.2.3",$H82))),1,"")</f>
        <v/>
      </c>
      <c r="R82" s="319">
        <f>IF(ISNUMBER(SEARCH("목1",$H82)),1,"")</f>
        <v/>
      </c>
      <c r="S82" s="319">
        <f>IF(OR(ISNUMBER(SEARCH("목2",$H82)),ISNUMBER(SEARCH("목1.2",$H82))),1,"")</f>
        <v/>
      </c>
      <c r="T82" s="319">
        <f>IF(OR(ISNUMBER(SEARCH("목3",$H82)),ISNUMBER(SEARCH("목1.3",$H82)),ISNUMBER(SEARCH("목2.3",$H82)),ISNUMBER(SEARCH("목1.2.3",$H82))),1,"")</f>
        <v/>
      </c>
      <c r="U82" s="319">
        <f>IF(ISNUMBER(SEARCH("금1",$H82)),1,"")</f>
        <v/>
      </c>
      <c r="V82" s="319">
        <f>IF(OR(ISNUMBER(SEARCH("금2",$H82)),ISNUMBER(SEARCH("금1.2",$H82))),1,"")</f>
        <v/>
      </c>
      <c r="W82" s="319">
        <f>IF(OR(ISNUMBER(SEARCH("금3",$H82)),ISNUMBER(SEARCH("금1.3",$H82)),ISNUMBER(SEARCH("금2.3",$H82)),ISNUMBER(SEARCH("금1.2.3",$H82))),1,"")</f>
        <v/>
      </c>
      <c r="X82" s="319">
        <f>IF(ISNUMBER(SEARCH("토1",$H82)),1,"")</f>
        <v/>
      </c>
      <c r="Y82" s="319">
        <f>IF(OR(ISNUMBER(SEARCH("토2",$H82)),ISNUMBER(SEARCH("토1.2",$H82))),1,"")</f>
        <v/>
      </c>
      <c r="Z82" s="319">
        <f>IF(OR(ISNUMBER(SEARCH("토3",$H82)),ISNUMBER(SEARCH("토1.3",$H82)),ISNUMBER(SEARCH("토2.3",$H82)),ISNUMBER(SEARCH("토1.2.3",$H82))),1,"")</f>
        <v/>
      </c>
      <c r="AA82" s="319">
        <f>IF(ISNUMBER(SEARCH("일1",$H82)),1,"")</f>
        <v/>
      </c>
      <c r="AB82" s="319">
        <f>IF(OR(ISNUMBER(SEARCH("일2",$H82)),ISNUMBER(SEARCH("일1.2",$H82))),1,"")</f>
        <v/>
      </c>
      <c r="AC82" s="319">
        <f>IF(OR(ISNUMBER(SEARCH("일3",$H82)),ISNUMBER(SEARCH("일1.3",$H82)),ISNUMBER(SEARCH("일2.3",$H82)),ISNUMBER(SEARCH("일1.2.3",$H82))),1,"")</f>
        <v/>
      </c>
      <c r="AD82" s="319">
        <f>SUM(I82:AC82)</f>
        <v/>
      </c>
      <c r="AE82" s="323" t="n"/>
    </row>
    <row r="83" ht="24" customHeight="1">
      <c r="A83" s="168" t="n"/>
      <c r="B83" s="319" t="n"/>
      <c r="C83" s="319" t="n"/>
      <c r="D83" s="319" t="n"/>
      <c r="E83" s="341" t="n"/>
      <c r="F83" s="341" t="n"/>
      <c r="G83" s="342" t="n"/>
      <c r="H83" s="322" t="n"/>
      <c r="I83" s="319">
        <f>IF(ISNUMBER(SEARCH("월1",$H83)),1,"")</f>
        <v/>
      </c>
      <c r="J83" s="319">
        <f>IF(OR(ISNUMBER(SEARCH("월2",$H83)),ISNUMBER(SEARCH("월1.2",$H83))),1,"")</f>
        <v/>
      </c>
      <c r="K83" s="319">
        <f>IF(OR(ISNUMBER(SEARCH("월3",$H83)),ISNUMBER(SEARCH("월1.3",$H83)),ISNUMBER(SEARCH("월2.3",$H83)),ISNUMBER(SEARCH("월1.2.3",$H83))),1,"")</f>
        <v/>
      </c>
      <c r="L83" s="319">
        <f>IF(ISNUMBER(SEARCH("화1",$H83)),1,"")</f>
        <v/>
      </c>
      <c r="M83" s="319">
        <f>IF(OR(ISNUMBER(SEARCH("화2",$H83)),ISNUMBER(SEARCH("화1.2",$H83))),1,"")</f>
        <v/>
      </c>
      <c r="N83" s="319">
        <f>IF(OR(ISNUMBER(SEARCH("화3",$H83)),ISNUMBER(SEARCH("화1.3",$H83)),ISNUMBER(SEARCH("화2.3",$H83)),ISNUMBER(SEARCH("화1.2.3",$H83))),1,"")</f>
        <v/>
      </c>
      <c r="O83" s="319">
        <f>IF(ISNUMBER(SEARCH("수1",$H83)),1,"")</f>
        <v/>
      </c>
      <c r="P83" s="319">
        <f>IF(OR(ISNUMBER(SEARCH("수2",$H83)),ISNUMBER(SEARCH("수1.2",$H83))),1,"")</f>
        <v/>
      </c>
      <c r="Q83" s="319">
        <f>IF(OR(ISNUMBER(SEARCH("수3",$H83)),ISNUMBER(SEARCH("수1.3",$H83)),ISNUMBER(SEARCH("수2.3",$H83)),ISNUMBER(SEARCH("수1.2.3",$H83))),1,"")</f>
        <v/>
      </c>
      <c r="R83" s="319">
        <f>IF(ISNUMBER(SEARCH("목1",$H83)),1,"")</f>
        <v/>
      </c>
      <c r="S83" s="319">
        <f>IF(OR(ISNUMBER(SEARCH("목2",$H83)),ISNUMBER(SEARCH("목1.2",$H83))),1,"")</f>
        <v/>
      </c>
      <c r="T83" s="319">
        <f>IF(OR(ISNUMBER(SEARCH("목3",$H83)),ISNUMBER(SEARCH("목1.3",$H83)),ISNUMBER(SEARCH("목2.3",$H83)),ISNUMBER(SEARCH("목1.2.3",$H83))),1,"")</f>
        <v/>
      </c>
      <c r="U83" s="319">
        <f>IF(ISNUMBER(SEARCH("금1",$H83)),1,"")</f>
        <v/>
      </c>
      <c r="V83" s="319">
        <f>IF(OR(ISNUMBER(SEARCH("금2",$H83)),ISNUMBER(SEARCH("금1.2",$H83))),1,"")</f>
        <v/>
      </c>
      <c r="W83" s="319">
        <f>IF(OR(ISNUMBER(SEARCH("금3",$H83)),ISNUMBER(SEARCH("금1.3",$H83)),ISNUMBER(SEARCH("금2.3",$H83)),ISNUMBER(SEARCH("금1.2.3",$H83))),1,"")</f>
        <v/>
      </c>
      <c r="X83" s="319">
        <f>IF(ISNUMBER(SEARCH("토1",$H83)),1,"")</f>
        <v/>
      </c>
      <c r="Y83" s="319">
        <f>IF(OR(ISNUMBER(SEARCH("토2",$H83)),ISNUMBER(SEARCH("토1.2",$H83))),1,"")</f>
        <v/>
      </c>
      <c r="Z83" s="319">
        <f>IF(OR(ISNUMBER(SEARCH("토3",$H83)),ISNUMBER(SEARCH("토1.3",$H83)),ISNUMBER(SEARCH("토2.3",$H83)),ISNUMBER(SEARCH("토1.2.3",$H83))),1,"")</f>
        <v/>
      </c>
      <c r="AA83" s="319">
        <f>IF(ISNUMBER(SEARCH("일1",$H83)),1,"")</f>
        <v/>
      </c>
      <c r="AB83" s="319">
        <f>IF(OR(ISNUMBER(SEARCH("일2",$H83)),ISNUMBER(SEARCH("일1.2",$H83))),1,"")</f>
        <v/>
      </c>
      <c r="AC83" s="319">
        <f>IF(OR(ISNUMBER(SEARCH("일3",$H83)),ISNUMBER(SEARCH("일1.3",$H83)),ISNUMBER(SEARCH("일2.3",$H83)),ISNUMBER(SEARCH("일1.2.3",$H83))),1,"")</f>
        <v/>
      </c>
      <c r="AD83" s="319">
        <f>SUM(I83:AC83)</f>
        <v/>
      </c>
      <c r="AE83" s="323" t="n"/>
    </row>
    <row r="84" ht="24" customHeight="1">
      <c r="A84" s="168" t="n"/>
      <c r="B84" s="319" t="n"/>
      <c r="C84" s="319" t="n"/>
      <c r="D84" s="319" t="n"/>
      <c r="E84" s="341" t="n"/>
      <c r="F84" s="341" t="n"/>
      <c r="G84" s="342" t="n"/>
      <c r="H84" s="322" t="n"/>
      <c r="I84" s="319">
        <f>IF(ISNUMBER(SEARCH("월1",$H84)),1,"")</f>
        <v/>
      </c>
      <c r="J84" s="319">
        <f>IF(OR(ISNUMBER(SEARCH("월2",$H84)),ISNUMBER(SEARCH("월1.2",$H84))),1,"")</f>
        <v/>
      </c>
      <c r="K84" s="319">
        <f>IF(OR(ISNUMBER(SEARCH("월3",$H84)),ISNUMBER(SEARCH("월1.3",$H84)),ISNUMBER(SEARCH("월2.3",$H84)),ISNUMBER(SEARCH("월1.2.3",$H84))),1,"")</f>
        <v/>
      </c>
      <c r="L84" s="319">
        <f>IF(ISNUMBER(SEARCH("화1",$H84)),1,"")</f>
        <v/>
      </c>
      <c r="M84" s="319">
        <f>IF(OR(ISNUMBER(SEARCH("화2",$H84)),ISNUMBER(SEARCH("화1.2",$H84))),1,"")</f>
        <v/>
      </c>
      <c r="N84" s="319">
        <f>IF(OR(ISNUMBER(SEARCH("화3",$H84)),ISNUMBER(SEARCH("화1.3",$H84)),ISNUMBER(SEARCH("화2.3",$H84)),ISNUMBER(SEARCH("화1.2.3",$H84))),1,"")</f>
        <v/>
      </c>
      <c r="O84" s="319">
        <f>IF(ISNUMBER(SEARCH("수1",$H84)),1,"")</f>
        <v/>
      </c>
      <c r="P84" s="319">
        <f>IF(OR(ISNUMBER(SEARCH("수2",$H84)),ISNUMBER(SEARCH("수1.2",$H84))),1,"")</f>
        <v/>
      </c>
      <c r="Q84" s="319">
        <f>IF(OR(ISNUMBER(SEARCH("수3",$H84)),ISNUMBER(SEARCH("수1.3",$H84)),ISNUMBER(SEARCH("수2.3",$H84)),ISNUMBER(SEARCH("수1.2.3",$H84))),1,"")</f>
        <v/>
      </c>
      <c r="R84" s="319">
        <f>IF(ISNUMBER(SEARCH("목1",$H84)),1,"")</f>
        <v/>
      </c>
      <c r="S84" s="319">
        <f>IF(OR(ISNUMBER(SEARCH("목2",$H84)),ISNUMBER(SEARCH("목1.2",$H84))),1,"")</f>
        <v/>
      </c>
      <c r="T84" s="319">
        <f>IF(OR(ISNUMBER(SEARCH("목3",$H84)),ISNUMBER(SEARCH("목1.3",$H84)),ISNUMBER(SEARCH("목2.3",$H84)),ISNUMBER(SEARCH("목1.2.3",$H84))),1,"")</f>
        <v/>
      </c>
      <c r="U84" s="319">
        <f>IF(ISNUMBER(SEARCH("금1",$H84)),1,"")</f>
        <v/>
      </c>
      <c r="V84" s="319">
        <f>IF(OR(ISNUMBER(SEARCH("금2",$H84)),ISNUMBER(SEARCH("금1.2",$H84))),1,"")</f>
        <v/>
      </c>
      <c r="W84" s="319">
        <f>IF(OR(ISNUMBER(SEARCH("금3",$H84)),ISNUMBER(SEARCH("금1.3",$H84)),ISNUMBER(SEARCH("금2.3",$H84)),ISNUMBER(SEARCH("금1.2.3",$H84))),1,"")</f>
        <v/>
      </c>
      <c r="X84" s="319">
        <f>IF(ISNUMBER(SEARCH("토1",$H84)),1,"")</f>
        <v/>
      </c>
      <c r="Y84" s="319">
        <f>IF(OR(ISNUMBER(SEARCH("토2",$H84)),ISNUMBER(SEARCH("토1.2",$H84))),1,"")</f>
        <v/>
      </c>
      <c r="Z84" s="319">
        <f>IF(OR(ISNUMBER(SEARCH("토3",$H84)),ISNUMBER(SEARCH("토1.3",$H84)),ISNUMBER(SEARCH("토2.3",$H84)),ISNUMBER(SEARCH("토1.2.3",$H84))),1,"")</f>
        <v/>
      </c>
      <c r="AA84" s="319">
        <f>IF(ISNUMBER(SEARCH("일1",$H84)),1,"")</f>
        <v/>
      </c>
      <c r="AB84" s="319">
        <f>IF(OR(ISNUMBER(SEARCH("일2",$H84)),ISNUMBER(SEARCH("일1.2",$H84))),1,"")</f>
        <v/>
      </c>
      <c r="AC84" s="319">
        <f>IF(OR(ISNUMBER(SEARCH("일3",$H84)),ISNUMBER(SEARCH("일1.3",$H84)),ISNUMBER(SEARCH("일2.3",$H84)),ISNUMBER(SEARCH("일1.2.3",$H84))),1,"")</f>
        <v/>
      </c>
      <c r="AD84" s="319">
        <f>SUM(I84:AC84)</f>
        <v/>
      </c>
      <c r="AE84" s="323" t="n"/>
    </row>
    <row r="85" ht="24" customHeight="1">
      <c r="A85" s="168" t="n"/>
      <c r="B85" s="319" t="n"/>
      <c r="C85" s="319" t="n"/>
      <c r="D85" s="319" t="n"/>
      <c r="E85" s="341" t="n"/>
      <c r="F85" s="341" t="n"/>
      <c r="G85" s="342" t="n"/>
      <c r="H85" s="322" t="n"/>
      <c r="I85" s="319">
        <f>IF(ISNUMBER(SEARCH("월1",$H85)),1,"")</f>
        <v/>
      </c>
      <c r="J85" s="319">
        <f>IF(OR(ISNUMBER(SEARCH("월2",$H85)),ISNUMBER(SEARCH("월1.2",$H85))),1,"")</f>
        <v/>
      </c>
      <c r="K85" s="319">
        <f>IF(OR(ISNUMBER(SEARCH("월3",$H85)),ISNUMBER(SEARCH("월1.3",$H85)),ISNUMBER(SEARCH("월2.3",$H85)),ISNUMBER(SEARCH("월1.2.3",$H85))),1,"")</f>
        <v/>
      </c>
      <c r="L85" s="319">
        <f>IF(ISNUMBER(SEARCH("화1",$H85)),1,"")</f>
        <v/>
      </c>
      <c r="M85" s="319">
        <f>IF(OR(ISNUMBER(SEARCH("화2",$H85)),ISNUMBER(SEARCH("화1.2",$H85))),1,"")</f>
        <v/>
      </c>
      <c r="N85" s="319">
        <f>IF(OR(ISNUMBER(SEARCH("화3",$H85)),ISNUMBER(SEARCH("화1.3",$H85)),ISNUMBER(SEARCH("화2.3",$H85)),ISNUMBER(SEARCH("화1.2.3",$H85))),1,"")</f>
        <v/>
      </c>
      <c r="O85" s="319">
        <f>IF(ISNUMBER(SEARCH("수1",$H85)),1,"")</f>
        <v/>
      </c>
      <c r="P85" s="319">
        <f>IF(OR(ISNUMBER(SEARCH("수2",$H85)),ISNUMBER(SEARCH("수1.2",$H85))),1,"")</f>
        <v/>
      </c>
      <c r="Q85" s="319">
        <f>IF(OR(ISNUMBER(SEARCH("수3",$H85)),ISNUMBER(SEARCH("수1.3",$H85)),ISNUMBER(SEARCH("수2.3",$H85)),ISNUMBER(SEARCH("수1.2.3",$H85))),1,"")</f>
        <v/>
      </c>
      <c r="R85" s="319">
        <f>IF(ISNUMBER(SEARCH("목1",$H85)),1,"")</f>
        <v/>
      </c>
      <c r="S85" s="319">
        <f>IF(OR(ISNUMBER(SEARCH("목2",$H85)),ISNUMBER(SEARCH("목1.2",$H85))),1,"")</f>
        <v/>
      </c>
      <c r="T85" s="319">
        <f>IF(OR(ISNUMBER(SEARCH("목3",$H85)),ISNUMBER(SEARCH("목1.3",$H85)),ISNUMBER(SEARCH("목2.3",$H85)),ISNUMBER(SEARCH("목1.2.3",$H85))),1,"")</f>
        <v/>
      </c>
      <c r="U85" s="319">
        <f>IF(ISNUMBER(SEARCH("금1",$H85)),1,"")</f>
        <v/>
      </c>
      <c r="V85" s="319">
        <f>IF(OR(ISNUMBER(SEARCH("금2",$H85)),ISNUMBER(SEARCH("금1.2",$H85))),1,"")</f>
        <v/>
      </c>
      <c r="W85" s="319">
        <f>IF(OR(ISNUMBER(SEARCH("금3",$H85)),ISNUMBER(SEARCH("금1.3",$H85)),ISNUMBER(SEARCH("금2.3",$H85)),ISNUMBER(SEARCH("금1.2.3",$H85))),1,"")</f>
        <v/>
      </c>
      <c r="X85" s="319">
        <f>IF(ISNUMBER(SEARCH("토1",$H85)),1,"")</f>
        <v/>
      </c>
      <c r="Y85" s="319">
        <f>IF(OR(ISNUMBER(SEARCH("토2",$H85)),ISNUMBER(SEARCH("토1.2",$H85))),1,"")</f>
        <v/>
      </c>
      <c r="Z85" s="319">
        <f>IF(OR(ISNUMBER(SEARCH("토3",$H85)),ISNUMBER(SEARCH("토1.3",$H85)),ISNUMBER(SEARCH("토2.3",$H85)),ISNUMBER(SEARCH("토1.2.3",$H85))),1,"")</f>
        <v/>
      </c>
      <c r="AA85" s="319">
        <f>IF(ISNUMBER(SEARCH("일1",$H85)),1,"")</f>
        <v/>
      </c>
      <c r="AB85" s="319">
        <f>IF(OR(ISNUMBER(SEARCH("일2",$H85)),ISNUMBER(SEARCH("일1.2",$H85))),1,"")</f>
        <v/>
      </c>
      <c r="AC85" s="319">
        <f>IF(OR(ISNUMBER(SEARCH("일3",$H85)),ISNUMBER(SEARCH("일1.3",$H85)),ISNUMBER(SEARCH("일2.3",$H85)),ISNUMBER(SEARCH("일1.2.3",$H85))),1,"")</f>
        <v/>
      </c>
      <c r="AD85" s="319">
        <f>SUM(I85:AC85)</f>
        <v/>
      </c>
      <c r="AE85" s="323" t="n"/>
    </row>
    <row r="86" ht="24" customHeight="1">
      <c r="A86" s="168" t="n"/>
      <c r="B86" s="319" t="n"/>
      <c r="C86" s="319" t="n"/>
      <c r="D86" s="319" t="n"/>
      <c r="E86" s="341" t="n"/>
      <c r="F86" s="341" t="n"/>
      <c r="G86" s="342" t="n"/>
      <c r="H86" s="322" t="n"/>
      <c r="I86" s="319">
        <f>IF(ISNUMBER(SEARCH("월1",$H86)),1,"")</f>
        <v/>
      </c>
      <c r="J86" s="319">
        <f>IF(OR(ISNUMBER(SEARCH("월2",$H86)),ISNUMBER(SEARCH("월1.2",$H86))),1,"")</f>
        <v/>
      </c>
      <c r="K86" s="319">
        <f>IF(OR(ISNUMBER(SEARCH("월3",$H86)),ISNUMBER(SEARCH("월1.3",$H86)),ISNUMBER(SEARCH("월2.3",$H86)),ISNUMBER(SEARCH("월1.2.3",$H86))),1,"")</f>
        <v/>
      </c>
      <c r="L86" s="319">
        <f>IF(ISNUMBER(SEARCH("화1",$H86)),1,"")</f>
        <v/>
      </c>
      <c r="M86" s="319">
        <f>IF(OR(ISNUMBER(SEARCH("화2",$H86)),ISNUMBER(SEARCH("화1.2",$H86))),1,"")</f>
        <v/>
      </c>
      <c r="N86" s="319">
        <f>IF(OR(ISNUMBER(SEARCH("화3",$H86)),ISNUMBER(SEARCH("화1.3",$H86)),ISNUMBER(SEARCH("화2.3",$H86)),ISNUMBER(SEARCH("화1.2.3",$H86))),1,"")</f>
        <v/>
      </c>
      <c r="O86" s="319">
        <f>IF(ISNUMBER(SEARCH("수1",$H86)),1,"")</f>
        <v/>
      </c>
      <c r="P86" s="319">
        <f>IF(OR(ISNUMBER(SEARCH("수2",$H86)),ISNUMBER(SEARCH("수1.2",$H86))),1,"")</f>
        <v/>
      </c>
      <c r="Q86" s="319">
        <f>IF(OR(ISNUMBER(SEARCH("수3",$H86)),ISNUMBER(SEARCH("수1.3",$H86)),ISNUMBER(SEARCH("수2.3",$H86)),ISNUMBER(SEARCH("수1.2.3",$H86))),1,"")</f>
        <v/>
      </c>
      <c r="R86" s="319">
        <f>IF(ISNUMBER(SEARCH("목1",$H86)),1,"")</f>
        <v/>
      </c>
      <c r="S86" s="319">
        <f>IF(OR(ISNUMBER(SEARCH("목2",$H86)),ISNUMBER(SEARCH("목1.2",$H86))),1,"")</f>
        <v/>
      </c>
      <c r="T86" s="319">
        <f>IF(OR(ISNUMBER(SEARCH("목3",$H86)),ISNUMBER(SEARCH("목1.3",$H86)),ISNUMBER(SEARCH("목2.3",$H86)),ISNUMBER(SEARCH("목1.2.3",$H86))),1,"")</f>
        <v/>
      </c>
      <c r="U86" s="319">
        <f>IF(ISNUMBER(SEARCH("금1",$H86)),1,"")</f>
        <v/>
      </c>
      <c r="V86" s="319">
        <f>IF(OR(ISNUMBER(SEARCH("금2",$H86)),ISNUMBER(SEARCH("금1.2",$H86))),1,"")</f>
        <v/>
      </c>
      <c r="W86" s="319">
        <f>IF(OR(ISNUMBER(SEARCH("금3",$H86)),ISNUMBER(SEARCH("금1.3",$H86)),ISNUMBER(SEARCH("금2.3",$H86)),ISNUMBER(SEARCH("금1.2.3",$H86))),1,"")</f>
        <v/>
      </c>
      <c r="X86" s="319">
        <f>IF(ISNUMBER(SEARCH("토1",$H86)),1,"")</f>
        <v/>
      </c>
      <c r="Y86" s="319">
        <f>IF(OR(ISNUMBER(SEARCH("토2",$H86)),ISNUMBER(SEARCH("토1.2",$H86))),1,"")</f>
        <v/>
      </c>
      <c r="Z86" s="319">
        <f>IF(OR(ISNUMBER(SEARCH("토3",$H86)),ISNUMBER(SEARCH("토1.3",$H86)),ISNUMBER(SEARCH("토2.3",$H86)),ISNUMBER(SEARCH("토1.2.3",$H86))),1,"")</f>
        <v/>
      </c>
      <c r="AA86" s="319">
        <f>IF(ISNUMBER(SEARCH("일1",$H86)),1,"")</f>
        <v/>
      </c>
      <c r="AB86" s="319">
        <f>IF(OR(ISNUMBER(SEARCH("일2",$H86)),ISNUMBER(SEARCH("일1.2",$H86))),1,"")</f>
        <v/>
      </c>
      <c r="AC86" s="319">
        <f>IF(OR(ISNUMBER(SEARCH("일3",$H86)),ISNUMBER(SEARCH("일1.3",$H86)),ISNUMBER(SEARCH("일2.3",$H86)),ISNUMBER(SEARCH("일1.2.3",$H86))),1,"")</f>
        <v/>
      </c>
      <c r="AD86" s="319">
        <f>SUM(I86:AC86)</f>
        <v/>
      </c>
      <c r="AE86" s="323" t="n"/>
    </row>
    <row r="87" ht="24" customHeight="1">
      <c r="A87" s="168" t="n"/>
      <c r="B87" s="319" t="n"/>
      <c r="C87" s="319" t="n"/>
      <c r="D87" s="319" t="n"/>
      <c r="E87" s="341" t="n"/>
      <c r="F87" s="341" t="n"/>
      <c r="G87" s="342" t="n"/>
      <c r="H87" s="322" t="n"/>
      <c r="I87" s="319">
        <f>IF(ISNUMBER(SEARCH("월1",$H87)),1,"")</f>
        <v/>
      </c>
      <c r="J87" s="319">
        <f>IF(OR(ISNUMBER(SEARCH("월2",$H87)),ISNUMBER(SEARCH("월1.2",$H87))),1,"")</f>
        <v/>
      </c>
      <c r="K87" s="319">
        <f>IF(OR(ISNUMBER(SEARCH("월3",$H87)),ISNUMBER(SEARCH("월1.3",$H87)),ISNUMBER(SEARCH("월2.3",$H87)),ISNUMBER(SEARCH("월1.2.3",$H87))),1,"")</f>
        <v/>
      </c>
      <c r="L87" s="319">
        <f>IF(ISNUMBER(SEARCH("화1",$H87)),1,"")</f>
        <v/>
      </c>
      <c r="M87" s="319">
        <f>IF(OR(ISNUMBER(SEARCH("화2",$H87)),ISNUMBER(SEARCH("화1.2",$H87))),1,"")</f>
        <v/>
      </c>
      <c r="N87" s="319">
        <f>IF(OR(ISNUMBER(SEARCH("화3",$H87)),ISNUMBER(SEARCH("화1.3",$H87)),ISNUMBER(SEARCH("화2.3",$H87)),ISNUMBER(SEARCH("화1.2.3",$H87))),1,"")</f>
        <v/>
      </c>
      <c r="O87" s="319">
        <f>IF(ISNUMBER(SEARCH("수1",$H87)),1,"")</f>
        <v/>
      </c>
      <c r="P87" s="319">
        <f>IF(OR(ISNUMBER(SEARCH("수2",$H87)),ISNUMBER(SEARCH("수1.2",$H87))),1,"")</f>
        <v/>
      </c>
      <c r="Q87" s="319">
        <f>IF(OR(ISNUMBER(SEARCH("수3",$H87)),ISNUMBER(SEARCH("수1.3",$H87)),ISNUMBER(SEARCH("수2.3",$H87)),ISNUMBER(SEARCH("수1.2.3",$H87))),1,"")</f>
        <v/>
      </c>
      <c r="R87" s="319">
        <f>IF(ISNUMBER(SEARCH("목1",$H87)),1,"")</f>
        <v/>
      </c>
      <c r="S87" s="319">
        <f>IF(OR(ISNUMBER(SEARCH("목2",$H87)),ISNUMBER(SEARCH("목1.2",$H87))),1,"")</f>
        <v/>
      </c>
      <c r="T87" s="319">
        <f>IF(OR(ISNUMBER(SEARCH("목3",$H87)),ISNUMBER(SEARCH("목1.3",$H87)),ISNUMBER(SEARCH("목2.3",$H87)),ISNUMBER(SEARCH("목1.2.3",$H87))),1,"")</f>
        <v/>
      </c>
      <c r="U87" s="319">
        <f>IF(ISNUMBER(SEARCH("금1",$H87)),1,"")</f>
        <v/>
      </c>
      <c r="V87" s="319">
        <f>IF(OR(ISNUMBER(SEARCH("금2",$H87)),ISNUMBER(SEARCH("금1.2",$H87))),1,"")</f>
        <v/>
      </c>
      <c r="W87" s="319">
        <f>IF(OR(ISNUMBER(SEARCH("금3",$H87)),ISNUMBER(SEARCH("금1.3",$H87)),ISNUMBER(SEARCH("금2.3",$H87)),ISNUMBER(SEARCH("금1.2.3",$H87))),1,"")</f>
        <v/>
      </c>
      <c r="X87" s="319">
        <f>IF(ISNUMBER(SEARCH("토1",$H87)),1,"")</f>
        <v/>
      </c>
      <c r="Y87" s="319">
        <f>IF(OR(ISNUMBER(SEARCH("토2",$H87)),ISNUMBER(SEARCH("토1.2",$H87))),1,"")</f>
        <v/>
      </c>
      <c r="Z87" s="319">
        <f>IF(OR(ISNUMBER(SEARCH("토3",$H87)),ISNUMBER(SEARCH("토1.3",$H87)),ISNUMBER(SEARCH("토2.3",$H87)),ISNUMBER(SEARCH("토1.2.3",$H87))),1,"")</f>
        <v/>
      </c>
      <c r="AA87" s="319">
        <f>IF(ISNUMBER(SEARCH("일1",$H87)),1,"")</f>
        <v/>
      </c>
      <c r="AB87" s="319">
        <f>IF(OR(ISNUMBER(SEARCH("일2",$H87)),ISNUMBER(SEARCH("일1.2",$H87))),1,"")</f>
        <v/>
      </c>
      <c r="AC87" s="319">
        <f>IF(OR(ISNUMBER(SEARCH("일3",$H87)),ISNUMBER(SEARCH("일1.3",$H87)),ISNUMBER(SEARCH("일2.3",$H87)),ISNUMBER(SEARCH("일1.2.3",$H87))),1,"")</f>
        <v/>
      </c>
      <c r="AD87" s="319">
        <f>SUM(I87:AC87)</f>
        <v/>
      </c>
      <c r="AE87" s="323" t="n"/>
    </row>
    <row r="88" ht="24" customHeight="1">
      <c r="A88" s="168" t="n"/>
      <c r="B88" s="319" t="n"/>
      <c r="C88" s="319" t="n"/>
      <c r="D88" s="319" t="n"/>
      <c r="E88" s="341" t="n"/>
      <c r="F88" s="341" t="n"/>
      <c r="G88" s="342" t="n"/>
      <c r="H88" s="322" t="n"/>
      <c r="I88" s="319">
        <f>IF(ISNUMBER(SEARCH("월1",$H88)),1,"")</f>
        <v/>
      </c>
      <c r="J88" s="319">
        <f>IF(OR(ISNUMBER(SEARCH("월2",$H88)),ISNUMBER(SEARCH("월1.2",$H88))),1,"")</f>
        <v/>
      </c>
      <c r="K88" s="319">
        <f>IF(OR(ISNUMBER(SEARCH("월3",$H88)),ISNUMBER(SEARCH("월1.3",$H88)),ISNUMBER(SEARCH("월2.3",$H88)),ISNUMBER(SEARCH("월1.2.3",$H88))),1,"")</f>
        <v/>
      </c>
      <c r="L88" s="319">
        <f>IF(ISNUMBER(SEARCH("화1",$H88)),1,"")</f>
        <v/>
      </c>
      <c r="M88" s="319">
        <f>IF(OR(ISNUMBER(SEARCH("화2",$H88)),ISNUMBER(SEARCH("화1.2",$H88))),1,"")</f>
        <v/>
      </c>
      <c r="N88" s="319">
        <f>IF(OR(ISNUMBER(SEARCH("화3",$H88)),ISNUMBER(SEARCH("화1.3",$H88)),ISNUMBER(SEARCH("화2.3",$H88)),ISNUMBER(SEARCH("화1.2.3",$H88))),1,"")</f>
        <v/>
      </c>
      <c r="O88" s="319">
        <f>IF(ISNUMBER(SEARCH("수1",$H88)),1,"")</f>
        <v/>
      </c>
      <c r="P88" s="319">
        <f>IF(OR(ISNUMBER(SEARCH("수2",$H88)),ISNUMBER(SEARCH("수1.2",$H88))),1,"")</f>
        <v/>
      </c>
      <c r="Q88" s="319">
        <f>IF(OR(ISNUMBER(SEARCH("수3",$H88)),ISNUMBER(SEARCH("수1.3",$H88)),ISNUMBER(SEARCH("수2.3",$H88)),ISNUMBER(SEARCH("수1.2.3",$H88))),1,"")</f>
        <v/>
      </c>
      <c r="R88" s="319">
        <f>IF(ISNUMBER(SEARCH("목1",$H88)),1,"")</f>
        <v/>
      </c>
      <c r="S88" s="319">
        <f>IF(OR(ISNUMBER(SEARCH("목2",$H88)),ISNUMBER(SEARCH("목1.2",$H88))),1,"")</f>
        <v/>
      </c>
      <c r="T88" s="319">
        <f>IF(OR(ISNUMBER(SEARCH("목3",$H88)),ISNUMBER(SEARCH("목1.3",$H88)),ISNUMBER(SEARCH("목2.3",$H88)),ISNUMBER(SEARCH("목1.2.3",$H88))),1,"")</f>
        <v/>
      </c>
      <c r="U88" s="319">
        <f>IF(ISNUMBER(SEARCH("금1",$H88)),1,"")</f>
        <v/>
      </c>
      <c r="V88" s="319">
        <f>IF(OR(ISNUMBER(SEARCH("금2",$H88)),ISNUMBER(SEARCH("금1.2",$H88))),1,"")</f>
        <v/>
      </c>
      <c r="W88" s="319">
        <f>IF(OR(ISNUMBER(SEARCH("금3",$H88)),ISNUMBER(SEARCH("금1.3",$H88)),ISNUMBER(SEARCH("금2.3",$H88)),ISNUMBER(SEARCH("금1.2.3",$H88))),1,"")</f>
        <v/>
      </c>
      <c r="X88" s="319">
        <f>IF(ISNUMBER(SEARCH("토1",$H88)),1,"")</f>
        <v/>
      </c>
      <c r="Y88" s="319">
        <f>IF(OR(ISNUMBER(SEARCH("토2",$H88)),ISNUMBER(SEARCH("토1.2",$H88))),1,"")</f>
        <v/>
      </c>
      <c r="Z88" s="319">
        <f>IF(OR(ISNUMBER(SEARCH("토3",$H88)),ISNUMBER(SEARCH("토1.3",$H88)),ISNUMBER(SEARCH("토2.3",$H88)),ISNUMBER(SEARCH("토1.2.3",$H88))),1,"")</f>
        <v/>
      </c>
      <c r="AA88" s="319">
        <f>IF(ISNUMBER(SEARCH("일1",$H88)),1,"")</f>
        <v/>
      </c>
      <c r="AB88" s="319">
        <f>IF(OR(ISNUMBER(SEARCH("일2",$H88)),ISNUMBER(SEARCH("일1.2",$H88))),1,"")</f>
        <v/>
      </c>
      <c r="AC88" s="319">
        <f>IF(OR(ISNUMBER(SEARCH("일3",$H88)),ISNUMBER(SEARCH("일1.3",$H88)),ISNUMBER(SEARCH("일2.3",$H88)),ISNUMBER(SEARCH("일1.2.3",$H88))),1,"")</f>
        <v/>
      </c>
      <c r="AD88" s="319">
        <f>SUM(I88:AC88)</f>
        <v/>
      </c>
      <c r="AE88" s="323" t="n"/>
    </row>
    <row r="89" ht="24" customHeight="1">
      <c r="A89" s="168" t="n"/>
      <c r="B89" s="319" t="n"/>
      <c r="C89" s="319" t="n"/>
      <c r="D89" s="319" t="n"/>
      <c r="E89" s="341" t="n"/>
      <c r="F89" s="341" t="n"/>
      <c r="G89" s="342" t="n"/>
      <c r="H89" s="322" t="n"/>
      <c r="I89" s="319">
        <f>IF(ISNUMBER(SEARCH("월1",$H89)),1,"")</f>
        <v/>
      </c>
      <c r="J89" s="319">
        <f>IF(OR(ISNUMBER(SEARCH("월2",$H89)),ISNUMBER(SEARCH("월1.2",$H89))),1,"")</f>
        <v/>
      </c>
      <c r="K89" s="319">
        <f>IF(OR(ISNUMBER(SEARCH("월3",$H89)),ISNUMBER(SEARCH("월1.3",$H89)),ISNUMBER(SEARCH("월2.3",$H89)),ISNUMBER(SEARCH("월1.2.3",$H89))),1,"")</f>
        <v/>
      </c>
      <c r="L89" s="319">
        <f>IF(ISNUMBER(SEARCH("화1",$H89)),1,"")</f>
        <v/>
      </c>
      <c r="M89" s="319">
        <f>IF(OR(ISNUMBER(SEARCH("화2",$H89)),ISNUMBER(SEARCH("화1.2",$H89))),1,"")</f>
        <v/>
      </c>
      <c r="N89" s="319">
        <f>IF(OR(ISNUMBER(SEARCH("화3",$H89)),ISNUMBER(SEARCH("화1.3",$H89)),ISNUMBER(SEARCH("화2.3",$H89)),ISNUMBER(SEARCH("화1.2.3",$H89))),1,"")</f>
        <v/>
      </c>
      <c r="O89" s="319">
        <f>IF(ISNUMBER(SEARCH("수1",$H89)),1,"")</f>
        <v/>
      </c>
      <c r="P89" s="319">
        <f>IF(OR(ISNUMBER(SEARCH("수2",$H89)),ISNUMBER(SEARCH("수1.2",$H89))),1,"")</f>
        <v/>
      </c>
      <c r="Q89" s="319">
        <f>IF(OR(ISNUMBER(SEARCH("수3",$H89)),ISNUMBER(SEARCH("수1.3",$H89)),ISNUMBER(SEARCH("수2.3",$H89)),ISNUMBER(SEARCH("수1.2.3",$H89))),1,"")</f>
        <v/>
      </c>
      <c r="R89" s="319">
        <f>IF(ISNUMBER(SEARCH("목1",$H89)),1,"")</f>
        <v/>
      </c>
      <c r="S89" s="319">
        <f>IF(OR(ISNUMBER(SEARCH("목2",$H89)),ISNUMBER(SEARCH("목1.2",$H89))),1,"")</f>
        <v/>
      </c>
      <c r="T89" s="319">
        <f>IF(OR(ISNUMBER(SEARCH("목3",$H89)),ISNUMBER(SEARCH("목1.3",$H89)),ISNUMBER(SEARCH("목2.3",$H89)),ISNUMBER(SEARCH("목1.2.3",$H89))),1,"")</f>
        <v/>
      </c>
      <c r="U89" s="319">
        <f>IF(ISNUMBER(SEARCH("금1",$H89)),1,"")</f>
        <v/>
      </c>
      <c r="V89" s="319">
        <f>IF(OR(ISNUMBER(SEARCH("금2",$H89)),ISNUMBER(SEARCH("금1.2",$H89))),1,"")</f>
        <v/>
      </c>
      <c r="W89" s="319">
        <f>IF(OR(ISNUMBER(SEARCH("금3",$H89)),ISNUMBER(SEARCH("금1.3",$H89)),ISNUMBER(SEARCH("금2.3",$H89)),ISNUMBER(SEARCH("금1.2.3",$H89))),1,"")</f>
        <v/>
      </c>
      <c r="X89" s="319">
        <f>IF(ISNUMBER(SEARCH("토1",$H89)),1,"")</f>
        <v/>
      </c>
      <c r="Y89" s="319">
        <f>IF(OR(ISNUMBER(SEARCH("토2",$H89)),ISNUMBER(SEARCH("토1.2",$H89))),1,"")</f>
        <v/>
      </c>
      <c r="Z89" s="319">
        <f>IF(OR(ISNUMBER(SEARCH("토3",$H89)),ISNUMBER(SEARCH("토1.3",$H89)),ISNUMBER(SEARCH("토2.3",$H89)),ISNUMBER(SEARCH("토1.2.3",$H89))),1,"")</f>
        <v/>
      </c>
      <c r="AA89" s="319">
        <f>IF(ISNUMBER(SEARCH("일1",$H89)),1,"")</f>
        <v/>
      </c>
      <c r="AB89" s="319">
        <f>IF(OR(ISNUMBER(SEARCH("일2",$H89)),ISNUMBER(SEARCH("일1.2",$H89))),1,"")</f>
        <v/>
      </c>
      <c r="AC89" s="319">
        <f>IF(OR(ISNUMBER(SEARCH("일3",$H89)),ISNUMBER(SEARCH("일1.3",$H89)),ISNUMBER(SEARCH("일2.3",$H89)),ISNUMBER(SEARCH("일1.2.3",$H89))),1,"")</f>
        <v/>
      </c>
      <c r="AD89" s="319">
        <f>SUM(I89:AC89)</f>
        <v/>
      </c>
      <c r="AE89" s="323" t="n"/>
    </row>
    <row r="90" ht="24" customHeight="1">
      <c r="A90" s="168" t="n"/>
      <c r="B90" s="319" t="n"/>
      <c r="C90" s="319" t="n"/>
      <c r="D90" s="319" t="n"/>
      <c r="E90" s="341" t="n"/>
      <c r="F90" s="341" t="n"/>
      <c r="G90" s="342" t="n"/>
      <c r="H90" s="322" t="n"/>
      <c r="I90" s="319">
        <f>IF(ISNUMBER(SEARCH("월1",$H90)),1,"")</f>
        <v/>
      </c>
      <c r="J90" s="319">
        <f>IF(OR(ISNUMBER(SEARCH("월2",$H90)),ISNUMBER(SEARCH("월1.2",$H90))),1,"")</f>
        <v/>
      </c>
      <c r="K90" s="319">
        <f>IF(OR(ISNUMBER(SEARCH("월3",$H90)),ISNUMBER(SEARCH("월1.3",$H90)),ISNUMBER(SEARCH("월2.3",$H90)),ISNUMBER(SEARCH("월1.2.3",$H90))),1,"")</f>
        <v/>
      </c>
      <c r="L90" s="319">
        <f>IF(ISNUMBER(SEARCH("화1",$H90)),1,"")</f>
        <v/>
      </c>
      <c r="M90" s="319">
        <f>IF(OR(ISNUMBER(SEARCH("화2",$H90)),ISNUMBER(SEARCH("화1.2",$H90))),1,"")</f>
        <v/>
      </c>
      <c r="N90" s="319">
        <f>IF(OR(ISNUMBER(SEARCH("화3",$H90)),ISNUMBER(SEARCH("화1.3",$H90)),ISNUMBER(SEARCH("화2.3",$H90)),ISNUMBER(SEARCH("화1.2.3",$H90))),1,"")</f>
        <v/>
      </c>
      <c r="O90" s="319">
        <f>IF(ISNUMBER(SEARCH("수1",$H90)),1,"")</f>
        <v/>
      </c>
      <c r="P90" s="319">
        <f>IF(OR(ISNUMBER(SEARCH("수2",$H90)),ISNUMBER(SEARCH("수1.2",$H90))),1,"")</f>
        <v/>
      </c>
      <c r="Q90" s="319">
        <f>IF(OR(ISNUMBER(SEARCH("수3",$H90)),ISNUMBER(SEARCH("수1.3",$H90)),ISNUMBER(SEARCH("수2.3",$H90)),ISNUMBER(SEARCH("수1.2.3",$H90))),1,"")</f>
        <v/>
      </c>
      <c r="R90" s="319">
        <f>IF(ISNUMBER(SEARCH("목1",$H90)),1,"")</f>
        <v/>
      </c>
      <c r="S90" s="319">
        <f>IF(OR(ISNUMBER(SEARCH("목2",$H90)),ISNUMBER(SEARCH("목1.2",$H90))),1,"")</f>
        <v/>
      </c>
      <c r="T90" s="319">
        <f>IF(OR(ISNUMBER(SEARCH("목3",$H90)),ISNUMBER(SEARCH("목1.3",$H90)),ISNUMBER(SEARCH("목2.3",$H90)),ISNUMBER(SEARCH("목1.2.3",$H90))),1,"")</f>
        <v/>
      </c>
      <c r="U90" s="319">
        <f>IF(ISNUMBER(SEARCH("금1",$H90)),1,"")</f>
        <v/>
      </c>
      <c r="V90" s="319">
        <f>IF(OR(ISNUMBER(SEARCH("금2",$H90)),ISNUMBER(SEARCH("금1.2",$H90))),1,"")</f>
        <v/>
      </c>
      <c r="W90" s="319">
        <f>IF(OR(ISNUMBER(SEARCH("금3",$H90)),ISNUMBER(SEARCH("금1.3",$H90)),ISNUMBER(SEARCH("금2.3",$H90)),ISNUMBER(SEARCH("금1.2.3",$H90))),1,"")</f>
        <v/>
      </c>
      <c r="X90" s="319">
        <f>IF(ISNUMBER(SEARCH("토1",$H90)),1,"")</f>
        <v/>
      </c>
      <c r="Y90" s="319">
        <f>IF(OR(ISNUMBER(SEARCH("토2",$H90)),ISNUMBER(SEARCH("토1.2",$H90))),1,"")</f>
        <v/>
      </c>
      <c r="Z90" s="319">
        <f>IF(OR(ISNUMBER(SEARCH("토3",$H90)),ISNUMBER(SEARCH("토1.3",$H90)),ISNUMBER(SEARCH("토2.3",$H90)),ISNUMBER(SEARCH("토1.2.3",$H90))),1,"")</f>
        <v/>
      </c>
      <c r="AA90" s="319">
        <f>IF(ISNUMBER(SEARCH("일1",$H90)),1,"")</f>
        <v/>
      </c>
      <c r="AB90" s="319">
        <f>IF(OR(ISNUMBER(SEARCH("일2",$H90)),ISNUMBER(SEARCH("일1.2",$H90))),1,"")</f>
        <v/>
      </c>
      <c r="AC90" s="319">
        <f>IF(OR(ISNUMBER(SEARCH("일3",$H90)),ISNUMBER(SEARCH("일1.3",$H90)),ISNUMBER(SEARCH("일2.3",$H90)),ISNUMBER(SEARCH("일1.2.3",$H90))),1,"")</f>
        <v/>
      </c>
      <c r="AD90" s="319">
        <f>SUM(I90:AC90)</f>
        <v/>
      </c>
      <c r="AE90" s="323" t="n"/>
    </row>
    <row r="91" ht="24" customHeight="1">
      <c r="A91" s="168" t="n"/>
      <c r="B91" s="319" t="n"/>
      <c r="C91" s="319" t="n"/>
      <c r="D91" s="319" t="n"/>
      <c r="E91" s="341" t="n"/>
      <c r="F91" s="341" t="n"/>
      <c r="G91" s="342" t="n"/>
      <c r="H91" s="322" t="n"/>
      <c r="I91" s="319">
        <f>IF(ISNUMBER(SEARCH("월1",$H91)),1,"")</f>
        <v/>
      </c>
      <c r="J91" s="319">
        <f>IF(OR(ISNUMBER(SEARCH("월2",$H91)),ISNUMBER(SEARCH("월1.2",$H91))),1,"")</f>
        <v/>
      </c>
      <c r="K91" s="319">
        <f>IF(OR(ISNUMBER(SEARCH("월3",$H91)),ISNUMBER(SEARCH("월1.3",$H91)),ISNUMBER(SEARCH("월2.3",$H91)),ISNUMBER(SEARCH("월1.2.3",$H91))),1,"")</f>
        <v/>
      </c>
      <c r="L91" s="319">
        <f>IF(ISNUMBER(SEARCH("화1",$H91)),1,"")</f>
        <v/>
      </c>
      <c r="M91" s="319">
        <f>IF(OR(ISNUMBER(SEARCH("화2",$H91)),ISNUMBER(SEARCH("화1.2",$H91))),1,"")</f>
        <v/>
      </c>
      <c r="N91" s="319">
        <f>IF(OR(ISNUMBER(SEARCH("화3",$H91)),ISNUMBER(SEARCH("화1.3",$H91)),ISNUMBER(SEARCH("화2.3",$H91)),ISNUMBER(SEARCH("화1.2.3",$H91))),1,"")</f>
        <v/>
      </c>
      <c r="O91" s="319">
        <f>IF(ISNUMBER(SEARCH("수1",$H91)),1,"")</f>
        <v/>
      </c>
      <c r="P91" s="319">
        <f>IF(OR(ISNUMBER(SEARCH("수2",$H91)),ISNUMBER(SEARCH("수1.2",$H91))),1,"")</f>
        <v/>
      </c>
      <c r="Q91" s="319">
        <f>IF(OR(ISNUMBER(SEARCH("수3",$H91)),ISNUMBER(SEARCH("수1.3",$H91)),ISNUMBER(SEARCH("수2.3",$H91)),ISNUMBER(SEARCH("수1.2.3",$H91))),1,"")</f>
        <v/>
      </c>
      <c r="R91" s="319">
        <f>IF(ISNUMBER(SEARCH("목1",$H91)),1,"")</f>
        <v/>
      </c>
      <c r="S91" s="319">
        <f>IF(OR(ISNUMBER(SEARCH("목2",$H91)),ISNUMBER(SEARCH("목1.2",$H91))),1,"")</f>
        <v/>
      </c>
      <c r="T91" s="319">
        <f>IF(OR(ISNUMBER(SEARCH("목3",$H91)),ISNUMBER(SEARCH("목1.3",$H91)),ISNUMBER(SEARCH("목2.3",$H91)),ISNUMBER(SEARCH("목1.2.3",$H91))),1,"")</f>
        <v/>
      </c>
      <c r="U91" s="319">
        <f>IF(ISNUMBER(SEARCH("금1",$H91)),1,"")</f>
        <v/>
      </c>
      <c r="V91" s="319">
        <f>IF(OR(ISNUMBER(SEARCH("금2",$H91)),ISNUMBER(SEARCH("금1.2",$H91))),1,"")</f>
        <v/>
      </c>
      <c r="W91" s="319">
        <f>IF(OR(ISNUMBER(SEARCH("금3",$H91)),ISNUMBER(SEARCH("금1.3",$H91)),ISNUMBER(SEARCH("금2.3",$H91)),ISNUMBER(SEARCH("금1.2.3",$H91))),1,"")</f>
        <v/>
      </c>
      <c r="X91" s="319">
        <f>IF(ISNUMBER(SEARCH("토1",$H91)),1,"")</f>
        <v/>
      </c>
      <c r="Y91" s="319">
        <f>IF(OR(ISNUMBER(SEARCH("토2",$H91)),ISNUMBER(SEARCH("토1.2",$H91))),1,"")</f>
        <v/>
      </c>
      <c r="Z91" s="319">
        <f>IF(OR(ISNUMBER(SEARCH("토3",$H91)),ISNUMBER(SEARCH("토1.3",$H91)),ISNUMBER(SEARCH("토2.3",$H91)),ISNUMBER(SEARCH("토1.2.3",$H91))),1,"")</f>
        <v/>
      </c>
      <c r="AA91" s="319">
        <f>IF(ISNUMBER(SEARCH("일1",$H91)),1,"")</f>
        <v/>
      </c>
      <c r="AB91" s="319">
        <f>IF(OR(ISNUMBER(SEARCH("일2",$H91)),ISNUMBER(SEARCH("일1.2",$H91))),1,"")</f>
        <v/>
      </c>
      <c r="AC91" s="319">
        <f>IF(OR(ISNUMBER(SEARCH("일3",$H91)),ISNUMBER(SEARCH("일1.3",$H91)),ISNUMBER(SEARCH("일2.3",$H91)),ISNUMBER(SEARCH("일1.2.3",$H91))),1,"")</f>
        <v/>
      </c>
      <c r="AD91" s="319">
        <f>SUM(I91:AC91)</f>
        <v/>
      </c>
      <c r="AE91" s="323" t="n"/>
    </row>
    <row r="92" ht="24" customHeight="1">
      <c r="A92" s="168" t="n"/>
      <c r="B92" s="319" t="n"/>
      <c r="C92" s="319" t="n"/>
      <c r="D92" s="319" t="n"/>
      <c r="E92" s="341" t="n"/>
      <c r="F92" s="341" t="n"/>
      <c r="G92" s="342" t="n"/>
      <c r="H92" s="322" t="n"/>
      <c r="I92" s="319">
        <f>IF(ISNUMBER(SEARCH("월1",$H92)),1,"")</f>
        <v/>
      </c>
      <c r="J92" s="319">
        <f>IF(OR(ISNUMBER(SEARCH("월2",$H92)),ISNUMBER(SEARCH("월1.2",$H92))),1,"")</f>
        <v/>
      </c>
      <c r="K92" s="319">
        <f>IF(OR(ISNUMBER(SEARCH("월3",$H92)),ISNUMBER(SEARCH("월1.3",$H92)),ISNUMBER(SEARCH("월2.3",$H92)),ISNUMBER(SEARCH("월1.2.3",$H92))),1,"")</f>
        <v/>
      </c>
      <c r="L92" s="319">
        <f>IF(ISNUMBER(SEARCH("화1",$H92)),1,"")</f>
        <v/>
      </c>
      <c r="M92" s="319">
        <f>IF(OR(ISNUMBER(SEARCH("화2",$H92)),ISNUMBER(SEARCH("화1.2",$H92))),1,"")</f>
        <v/>
      </c>
      <c r="N92" s="319">
        <f>IF(OR(ISNUMBER(SEARCH("화3",$H92)),ISNUMBER(SEARCH("화1.3",$H92)),ISNUMBER(SEARCH("화2.3",$H92)),ISNUMBER(SEARCH("화1.2.3",$H92))),1,"")</f>
        <v/>
      </c>
      <c r="O92" s="319">
        <f>IF(ISNUMBER(SEARCH("수1",$H92)),1,"")</f>
        <v/>
      </c>
      <c r="P92" s="319">
        <f>IF(OR(ISNUMBER(SEARCH("수2",$H92)),ISNUMBER(SEARCH("수1.2",$H92))),1,"")</f>
        <v/>
      </c>
      <c r="Q92" s="319">
        <f>IF(OR(ISNUMBER(SEARCH("수3",$H92)),ISNUMBER(SEARCH("수1.3",$H92)),ISNUMBER(SEARCH("수2.3",$H92)),ISNUMBER(SEARCH("수1.2.3",$H92))),1,"")</f>
        <v/>
      </c>
      <c r="R92" s="319">
        <f>IF(ISNUMBER(SEARCH("목1",$H92)),1,"")</f>
        <v/>
      </c>
      <c r="S92" s="319">
        <f>IF(OR(ISNUMBER(SEARCH("목2",$H92)),ISNUMBER(SEARCH("목1.2",$H92))),1,"")</f>
        <v/>
      </c>
      <c r="T92" s="319">
        <f>IF(OR(ISNUMBER(SEARCH("목3",$H92)),ISNUMBER(SEARCH("목1.3",$H92)),ISNUMBER(SEARCH("목2.3",$H92)),ISNUMBER(SEARCH("목1.2.3",$H92))),1,"")</f>
        <v/>
      </c>
      <c r="U92" s="319">
        <f>IF(ISNUMBER(SEARCH("금1",$H92)),1,"")</f>
        <v/>
      </c>
      <c r="V92" s="319">
        <f>IF(OR(ISNUMBER(SEARCH("금2",$H92)),ISNUMBER(SEARCH("금1.2",$H92))),1,"")</f>
        <v/>
      </c>
      <c r="W92" s="319">
        <f>IF(OR(ISNUMBER(SEARCH("금3",$H92)),ISNUMBER(SEARCH("금1.3",$H92)),ISNUMBER(SEARCH("금2.3",$H92)),ISNUMBER(SEARCH("금1.2.3",$H92))),1,"")</f>
        <v/>
      </c>
      <c r="X92" s="319">
        <f>IF(ISNUMBER(SEARCH("토1",$H92)),1,"")</f>
        <v/>
      </c>
      <c r="Y92" s="319">
        <f>IF(OR(ISNUMBER(SEARCH("토2",$H92)),ISNUMBER(SEARCH("토1.2",$H92))),1,"")</f>
        <v/>
      </c>
      <c r="Z92" s="319">
        <f>IF(OR(ISNUMBER(SEARCH("토3",$H92)),ISNUMBER(SEARCH("토1.3",$H92)),ISNUMBER(SEARCH("토2.3",$H92)),ISNUMBER(SEARCH("토1.2.3",$H92))),1,"")</f>
        <v/>
      </c>
      <c r="AA92" s="319">
        <f>IF(ISNUMBER(SEARCH("일1",$H92)),1,"")</f>
        <v/>
      </c>
      <c r="AB92" s="319">
        <f>IF(OR(ISNUMBER(SEARCH("일2",$H92)),ISNUMBER(SEARCH("일1.2",$H92))),1,"")</f>
        <v/>
      </c>
      <c r="AC92" s="319">
        <f>IF(OR(ISNUMBER(SEARCH("일3",$H92)),ISNUMBER(SEARCH("일1.3",$H92)),ISNUMBER(SEARCH("일2.3",$H92)),ISNUMBER(SEARCH("일1.2.3",$H92))),1,"")</f>
        <v/>
      </c>
      <c r="AD92" s="319">
        <f>SUM(I92:AC92)</f>
        <v/>
      </c>
      <c r="AE92" s="323" t="n"/>
    </row>
    <row r="93" ht="24" customHeight="1">
      <c r="A93" s="168" t="n"/>
      <c r="B93" s="319" t="n"/>
      <c r="C93" s="319" t="n"/>
      <c r="D93" s="319" t="n"/>
      <c r="E93" s="341" t="n"/>
      <c r="F93" s="341" t="n"/>
      <c r="G93" s="342" t="n"/>
      <c r="H93" s="322" t="n"/>
      <c r="I93" s="319">
        <f>IF(ISNUMBER(SEARCH("월1",$H93)),1,"")</f>
        <v/>
      </c>
      <c r="J93" s="319">
        <f>IF(OR(ISNUMBER(SEARCH("월2",$H93)),ISNUMBER(SEARCH("월1.2",$H93))),1,"")</f>
        <v/>
      </c>
      <c r="K93" s="319">
        <f>IF(OR(ISNUMBER(SEARCH("월3",$H93)),ISNUMBER(SEARCH("월1.3",$H93)),ISNUMBER(SEARCH("월2.3",$H93)),ISNUMBER(SEARCH("월1.2.3",$H93))),1,"")</f>
        <v/>
      </c>
      <c r="L93" s="319">
        <f>IF(ISNUMBER(SEARCH("화1",$H93)),1,"")</f>
        <v/>
      </c>
      <c r="M93" s="319">
        <f>IF(OR(ISNUMBER(SEARCH("화2",$H93)),ISNUMBER(SEARCH("화1.2",$H93))),1,"")</f>
        <v/>
      </c>
      <c r="N93" s="319">
        <f>IF(OR(ISNUMBER(SEARCH("화3",$H93)),ISNUMBER(SEARCH("화1.3",$H93)),ISNUMBER(SEARCH("화2.3",$H93)),ISNUMBER(SEARCH("화1.2.3",$H93))),1,"")</f>
        <v/>
      </c>
      <c r="O93" s="319">
        <f>IF(ISNUMBER(SEARCH("수1",$H93)),1,"")</f>
        <v/>
      </c>
      <c r="P93" s="319">
        <f>IF(OR(ISNUMBER(SEARCH("수2",$H93)),ISNUMBER(SEARCH("수1.2",$H93))),1,"")</f>
        <v/>
      </c>
      <c r="Q93" s="319">
        <f>IF(OR(ISNUMBER(SEARCH("수3",$H93)),ISNUMBER(SEARCH("수1.3",$H93)),ISNUMBER(SEARCH("수2.3",$H93)),ISNUMBER(SEARCH("수1.2.3",$H93))),1,"")</f>
        <v/>
      </c>
      <c r="R93" s="319">
        <f>IF(ISNUMBER(SEARCH("목1",$H93)),1,"")</f>
        <v/>
      </c>
      <c r="S93" s="319">
        <f>IF(OR(ISNUMBER(SEARCH("목2",$H93)),ISNUMBER(SEARCH("목1.2",$H93))),1,"")</f>
        <v/>
      </c>
      <c r="T93" s="319">
        <f>IF(OR(ISNUMBER(SEARCH("목3",$H93)),ISNUMBER(SEARCH("목1.3",$H93)),ISNUMBER(SEARCH("목2.3",$H93)),ISNUMBER(SEARCH("목1.2.3",$H93))),1,"")</f>
        <v/>
      </c>
      <c r="U93" s="319">
        <f>IF(ISNUMBER(SEARCH("금1",$H93)),1,"")</f>
        <v/>
      </c>
      <c r="V93" s="319">
        <f>IF(OR(ISNUMBER(SEARCH("금2",$H93)),ISNUMBER(SEARCH("금1.2",$H93))),1,"")</f>
        <v/>
      </c>
      <c r="W93" s="319">
        <f>IF(OR(ISNUMBER(SEARCH("금3",$H93)),ISNUMBER(SEARCH("금1.3",$H93)),ISNUMBER(SEARCH("금2.3",$H93)),ISNUMBER(SEARCH("금1.2.3",$H93))),1,"")</f>
        <v/>
      </c>
      <c r="X93" s="319">
        <f>IF(ISNUMBER(SEARCH("토1",$H93)),1,"")</f>
        <v/>
      </c>
      <c r="Y93" s="319">
        <f>IF(OR(ISNUMBER(SEARCH("토2",$H93)),ISNUMBER(SEARCH("토1.2",$H93))),1,"")</f>
        <v/>
      </c>
      <c r="Z93" s="319">
        <f>IF(OR(ISNUMBER(SEARCH("토3",$H93)),ISNUMBER(SEARCH("토1.3",$H93)),ISNUMBER(SEARCH("토2.3",$H93)),ISNUMBER(SEARCH("토1.2.3",$H93))),1,"")</f>
        <v/>
      </c>
      <c r="AA93" s="319">
        <f>IF(ISNUMBER(SEARCH("일1",$H93)),1,"")</f>
        <v/>
      </c>
      <c r="AB93" s="319">
        <f>IF(OR(ISNUMBER(SEARCH("일2",$H93)),ISNUMBER(SEARCH("일1.2",$H93))),1,"")</f>
        <v/>
      </c>
      <c r="AC93" s="319">
        <f>IF(OR(ISNUMBER(SEARCH("일3",$H93)),ISNUMBER(SEARCH("일1.3",$H93)),ISNUMBER(SEARCH("일2.3",$H93)),ISNUMBER(SEARCH("일1.2.3",$H93))),1,"")</f>
        <v/>
      </c>
      <c r="AD93" s="319">
        <f>SUM(I93:AC93)</f>
        <v/>
      </c>
      <c r="AE93" s="323" t="n"/>
    </row>
    <row r="94" ht="24" customHeight="1">
      <c r="A94" s="168" t="n"/>
      <c r="B94" s="319" t="n"/>
      <c r="C94" s="319" t="n"/>
      <c r="D94" s="319" t="n"/>
      <c r="E94" s="341" t="n"/>
      <c r="F94" s="341" t="n"/>
      <c r="G94" s="342" t="n"/>
      <c r="H94" s="322" t="n"/>
      <c r="I94" s="319">
        <f>IF(ISNUMBER(SEARCH("월1",$H94)),1,"")</f>
        <v/>
      </c>
      <c r="J94" s="319">
        <f>IF(OR(ISNUMBER(SEARCH("월2",$H94)),ISNUMBER(SEARCH("월1.2",$H94))),1,"")</f>
        <v/>
      </c>
      <c r="K94" s="319">
        <f>IF(OR(ISNUMBER(SEARCH("월3",$H94)),ISNUMBER(SEARCH("월1.3",$H94)),ISNUMBER(SEARCH("월2.3",$H94)),ISNUMBER(SEARCH("월1.2.3",$H94))),1,"")</f>
        <v/>
      </c>
      <c r="L94" s="319">
        <f>IF(ISNUMBER(SEARCH("화1",$H94)),1,"")</f>
        <v/>
      </c>
      <c r="M94" s="319">
        <f>IF(OR(ISNUMBER(SEARCH("화2",$H94)),ISNUMBER(SEARCH("화1.2",$H94))),1,"")</f>
        <v/>
      </c>
      <c r="N94" s="319">
        <f>IF(OR(ISNUMBER(SEARCH("화3",$H94)),ISNUMBER(SEARCH("화1.3",$H94)),ISNUMBER(SEARCH("화2.3",$H94)),ISNUMBER(SEARCH("화1.2.3",$H94))),1,"")</f>
        <v/>
      </c>
      <c r="O94" s="319">
        <f>IF(ISNUMBER(SEARCH("수1",$H94)),1,"")</f>
        <v/>
      </c>
      <c r="P94" s="319">
        <f>IF(OR(ISNUMBER(SEARCH("수2",$H94)),ISNUMBER(SEARCH("수1.2",$H94))),1,"")</f>
        <v/>
      </c>
      <c r="Q94" s="319">
        <f>IF(OR(ISNUMBER(SEARCH("수3",$H94)),ISNUMBER(SEARCH("수1.3",$H94)),ISNUMBER(SEARCH("수2.3",$H94)),ISNUMBER(SEARCH("수1.2.3",$H94))),1,"")</f>
        <v/>
      </c>
      <c r="R94" s="319">
        <f>IF(ISNUMBER(SEARCH("목1",$H94)),1,"")</f>
        <v/>
      </c>
      <c r="S94" s="319">
        <f>IF(OR(ISNUMBER(SEARCH("목2",$H94)),ISNUMBER(SEARCH("목1.2",$H94))),1,"")</f>
        <v/>
      </c>
      <c r="T94" s="319">
        <f>IF(OR(ISNUMBER(SEARCH("목3",$H94)),ISNUMBER(SEARCH("목1.3",$H94)),ISNUMBER(SEARCH("목2.3",$H94)),ISNUMBER(SEARCH("목1.2.3",$H94))),1,"")</f>
        <v/>
      </c>
      <c r="U94" s="319">
        <f>IF(ISNUMBER(SEARCH("금1",$H94)),1,"")</f>
        <v/>
      </c>
      <c r="V94" s="319">
        <f>IF(OR(ISNUMBER(SEARCH("금2",$H94)),ISNUMBER(SEARCH("금1.2",$H94))),1,"")</f>
        <v/>
      </c>
      <c r="W94" s="319">
        <f>IF(OR(ISNUMBER(SEARCH("금3",$H94)),ISNUMBER(SEARCH("금1.3",$H94)),ISNUMBER(SEARCH("금2.3",$H94)),ISNUMBER(SEARCH("금1.2.3",$H94))),1,"")</f>
        <v/>
      </c>
      <c r="X94" s="319">
        <f>IF(ISNUMBER(SEARCH("토1",$H94)),1,"")</f>
        <v/>
      </c>
      <c r="Y94" s="319">
        <f>IF(OR(ISNUMBER(SEARCH("토2",$H94)),ISNUMBER(SEARCH("토1.2",$H94))),1,"")</f>
        <v/>
      </c>
      <c r="Z94" s="319">
        <f>IF(OR(ISNUMBER(SEARCH("토3",$H94)),ISNUMBER(SEARCH("토1.3",$H94)),ISNUMBER(SEARCH("토2.3",$H94)),ISNUMBER(SEARCH("토1.2.3",$H94))),1,"")</f>
        <v/>
      </c>
      <c r="AA94" s="319">
        <f>IF(ISNUMBER(SEARCH("일1",$H94)),1,"")</f>
        <v/>
      </c>
      <c r="AB94" s="319">
        <f>IF(OR(ISNUMBER(SEARCH("일2",$H94)),ISNUMBER(SEARCH("일1.2",$H94))),1,"")</f>
        <v/>
      </c>
      <c r="AC94" s="319">
        <f>IF(OR(ISNUMBER(SEARCH("일3",$H94)),ISNUMBER(SEARCH("일1.3",$H94)),ISNUMBER(SEARCH("일2.3",$H94)),ISNUMBER(SEARCH("일1.2.3",$H94))),1,"")</f>
        <v/>
      </c>
      <c r="AD94" s="319">
        <f>SUM(I94:AC94)</f>
        <v/>
      </c>
      <c r="AE94" s="323" t="n"/>
    </row>
    <row r="95" ht="24" customHeight="1">
      <c r="A95" s="168" t="n"/>
      <c r="B95" s="319" t="n"/>
      <c r="C95" s="319" t="n"/>
      <c r="D95" s="319" t="n"/>
      <c r="E95" s="341" t="n"/>
      <c r="F95" s="341" t="n"/>
      <c r="G95" s="342" t="n"/>
      <c r="H95" s="322" t="n"/>
      <c r="I95" s="319">
        <f>IF(ISNUMBER(SEARCH("월1",$H95)),1,"")</f>
        <v/>
      </c>
      <c r="J95" s="319">
        <f>IF(OR(ISNUMBER(SEARCH("월2",$H95)),ISNUMBER(SEARCH("월1.2",$H95))),1,"")</f>
        <v/>
      </c>
      <c r="K95" s="319">
        <f>IF(OR(ISNUMBER(SEARCH("월3",$H95)),ISNUMBER(SEARCH("월1.3",$H95)),ISNUMBER(SEARCH("월2.3",$H95)),ISNUMBER(SEARCH("월1.2.3",$H95))),1,"")</f>
        <v/>
      </c>
      <c r="L95" s="319">
        <f>IF(ISNUMBER(SEARCH("화1",$H95)),1,"")</f>
        <v/>
      </c>
      <c r="M95" s="319">
        <f>IF(OR(ISNUMBER(SEARCH("화2",$H95)),ISNUMBER(SEARCH("화1.2",$H95))),1,"")</f>
        <v/>
      </c>
      <c r="N95" s="319">
        <f>IF(OR(ISNUMBER(SEARCH("화3",$H95)),ISNUMBER(SEARCH("화1.3",$H95)),ISNUMBER(SEARCH("화2.3",$H95)),ISNUMBER(SEARCH("화1.2.3",$H95))),1,"")</f>
        <v/>
      </c>
      <c r="O95" s="319">
        <f>IF(ISNUMBER(SEARCH("수1",$H95)),1,"")</f>
        <v/>
      </c>
      <c r="P95" s="319">
        <f>IF(OR(ISNUMBER(SEARCH("수2",$H95)),ISNUMBER(SEARCH("수1.2",$H95))),1,"")</f>
        <v/>
      </c>
      <c r="Q95" s="319">
        <f>IF(OR(ISNUMBER(SEARCH("수3",$H95)),ISNUMBER(SEARCH("수1.3",$H95)),ISNUMBER(SEARCH("수2.3",$H95)),ISNUMBER(SEARCH("수1.2.3",$H95))),1,"")</f>
        <v/>
      </c>
      <c r="R95" s="319">
        <f>IF(ISNUMBER(SEARCH("목1",$H95)),1,"")</f>
        <v/>
      </c>
      <c r="S95" s="319">
        <f>IF(OR(ISNUMBER(SEARCH("목2",$H95)),ISNUMBER(SEARCH("목1.2",$H95))),1,"")</f>
        <v/>
      </c>
      <c r="T95" s="319">
        <f>IF(OR(ISNUMBER(SEARCH("목3",$H95)),ISNUMBER(SEARCH("목1.3",$H95)),ISNUMBER(SEARCH("목2.3",$H95)),ISNUMBER(SEARCH("목1.2.3",$H95))),1,"")</f>
        <v/>
      </c>
      <c r="U95" s="319">
        <f>IF(ISNUMBER(SEARCH("금1",$H95)),1,"")</f>
        <v/>
      </c>
      <c r="V95" s="319">
        <f>IF(OR(ISNUMBER(SEARCH("금2",$H95)),ISNUMBER(SEARCH("금1.2",$H95))),1,"")</f>
        <v/>
      </c>
      <c r="W95" s="319">
        <f>IF(OR(ISNUMBER(SEARCH("금3",$H95)),ISNUMBER(SEARCH("금1.3",$H95)),ISNUMBER(SEARCH("금2.3",$H95)),ISNUMBER(SEARCH("금1.2.3",$H95))),1,"")</f>
        <v/>
      </c>
      <c r="X95" s="319">
        <f>IF(ISNUMBER(SEARCH("토1",$H95)),1,"")</f>
        <v/>
      </c>
      <c r="Y95" s="319">
        <f>IF(OR(ISNUMBER(SEARCH("토2",$H95)),ISNUMBER(SEARCH("토1.2",$H95))),1,"")</f>
        <v/>
      </c>
      <c r="Z95" s="319">
        <f>IF(OR(ISNUMBER(SEARCH("토3",$H95)),ISNUMBER(SEARCH("토1.3",$H95)),ISNUMBER(SEARCH("토2.3",$H95)),ISNUMBER(SEARCH("토1.2.3",$H95))),1,"")</f>
        <v/>
      </c>
      <c r="AA95" s="319">
        <f>IF(ISNUMBER(SEARCH("일1",$H95)),1,"")</f>
        <v/>
      </c>
      <c r="AB95" s="319">
        <f>IF(OR(ISNUMBER(SEARCH("일2",$H95)),ISNUMBER(SEARCH("일1.2",$H95))),1,"")</f>
        <v/>
      </c>
      <c r="AC95" s="319">
        <f>IF(OR(ISNUMBER(SEARCH("일3",$H95)),ISNUMBER(SEARCH("일1.3",$H95)),ISNUMBER(SEARCH("일2.3",$H95)),ISNUMBER(SEARCH("일1.2.3",$H95))),1,"")</f>
        <v/>
      </c>
      <c r="AD95" s="319">
        <f>SUM(I95:AC95)</f>
        <v/>
      </c>
      <c r="AE95" s="323" t="n"/>
    </row>
    <row r="96" ht="24" customHeight="1">
      <c r="A96" s="168" t="n"/>
      <c r="B96" s="319" t="n"/>
      <c r="C96" s="319" t="n"/>
      <c r="D96" s="319" t="n"/>
      <c r="E96" s="341" t="n"/>
      <c r="F96" s="341" t="n"/>
      <c r="G96" s="342" t="n"/>
      <c r="H96" s="322" t="n"/>
      <c r="I96" s="319">
        <f>IF(ISNUMBER(SEARCH("월1",$H96)),1,"")</f>
        <v/>
      </c>
      <c r="J96" s="319">
        <f>IF(OR(ISNUMBER(SEARCH("월2",$H96)),ISNUMBER(SEARCH("월1.2",$H96))),1,"")</f>
        <v/>
      </c>
      <c r="K96" s="319">
        <f>IF(OR(ISNUMBER(SEARCH("월3",$H96)),ISNUMBER(SEARCH("월1.3",$H96)),ISNUMBER(SEARCH("월2.3",$H96)),ISNUMBER(SEARCH("월1.2.3",$H96))),1,"")</f>
        <v/>
      </c>
      <c r="L96" s="319">
        <f>IF(ISNUMBER(SEARCH("화1",$H96)),1,"")</f>
        <v/>
      </c>
      <c r="M96" s="319">
        <f>IF(OR(ISNUMBER(SEARCH("화2",$H96)),ISNUMBER(SEARCH("화1.2",$H96))),1,"")</f>
        <v/>
      </c>
      <c r="N96" s="319">
        <f>IF(OR(ISNUMBER(SEARCH("화3",$H96)),ISNUMBER(SEARCH("화1.3",$H96)),ISNUMBER(SEARCH("화2.3",$H96)),ISNUMBER(SEARCH("화1.2.3",$H96))),1,"")</f>
        <v/>
      </c>
      <c r="O96" s="319">
        <f>IF(ISNUMBER(SEARCH("수1",$H96)),1,"")</f>
        <v/>
      </c>
      <c r="P96" s="319">
        <f>IF(OR(ISNUMBER(SEARCH("수2",$H96)),ISNUMBER(SEARCH("수1.2",$H96))),1,"")</f>
        <v/>
      </c>
      <c r="Q96" s="319">
        <f>IF(OR(ISNUMBER(SEARCH("수3",$H96)),ISNUMBER(SEARCH("수1.3",$H96)),ISNUMBER(SEARCH("수2.3",$H96)),ISNUMBER(SEARCH("수1.2.3",$H96))),1,"")</f>
        <v/>
      </c>
      <c r="R96" s="319">
        <f>IF(ISNUMBER(SEARCH("목1",$H96)),1,"")</f>
        <v/>
      </c>
      <c r="S96" s="319">
        <f>IF(OR(ISNUMBER(SEARCH("목2",$H96)),ISNUMBER(SEARCH("목1.2",$H96))),1,"")</f>
        <v/>
      </c>
      <c r="T96" s="319">
        <f>IF(OR(ISNUMBER(SEARCH("목3",$H96)),ISNUMBER(SEARCH("목1.3",$H96)),ISNUMBER(SEARCH("목2.3",$H96)),ISNUMBER(SEARCH("목1.2.3",$H96))),1,"")</f>
        <v/>
      </c>
      <c r="U96" s="319">
        <f>IF(ISNUMBER(SEARCH("금1",$H96)),1,"")</f>
        <v/>
      </c>
      <c r="V96" s="319">
        <f>IF(OR(ISNUMBER(SEARCH("금2",$H96)),ISNUMBER(SEARCH("금1.2",$H96))),1,"")</f>
        <v/>
      </c>
      <c r="W96" s="319">
        <f>IF(OR(ISNUMBER(SEARCH("금3",$H96)),ISNUMBER(SEARCH("금1.3",$H96)),ISNUMBER(SEARCH("금2.3",$H96)),ISNUMBER(SEARCH("금1.2.3",$H96))),1,"")</f>
        <v/>
      </c>
      <c r="X96" s="319">
        <f>IF(ISNUMBER(SEARCH("토1",$H96)),1,"")</f>
        <v/>
      </c>
      <c r="Y96" s="319">
        <f>IF(OR(ISNUMBER(SEARCH("토2",$H96)),ISNUMBER(SEARCH("토1.2",$H96))),1,"")</f>
        <v/>
      </c>
      <c r="Z96" s="319">
        <f>IF(OR(ISNUMBER(SEARCH("토3",$H96)),ISNUMBER(SEARCH("토1.3",$H96)),ISNUMBER(SEARCH("토2.3",$H96)),ISNUMBER(SEARCH("토1.2.3",$H96))),1,"")</f>
        <v/>
      </c>
      <c r="AA96" s="319">
        <f>IF(ISNUMBER(SEARCH("일1",$H96)),1,"")</f>
        <v/>
      </c>
      <c r="AB96" s="319">
        <f>IF(OR(ISNUMBER(SEARCH("일2",$H96)),ISNUMBER(SEARCH("일1.2",$H96))),1,"")</f>
        <v/>
      </c>
      <c r="AC96" s="319">
        <f>IF(OR(ISNUMBER(SEARCH("일3",$H96)),ISNUMBER(SEARCH("일1.3",$H96)),ISNUMBER(SEARCH("일2.3",$H96)),ISNUMBER(SEARCH("일1.2.3",$H96))),1,"")</f>
        <v/>
      </c>
      <c r="AD96" s="319">
        <f>SUM(I96:AC96)</f>
        <v/>
      </c>
      <c r="AE96" s="323" t="n"/>
    </row>
    <row r="97" ht="24" customHeight="1">
      <c r="A97" s="168" t="n"/>
      <c r="B97" s="319" t="n"/>
      <c r="C97" s="319" t="n"/>
      <c r="D97" s="319" t="n"/>
      <c r="E97" s="341" t="n"/>
      <c r="F97" s="341" t="n"/>
      <c r="G97" s="342" t="n"/>
      <c r="H97" s="322" t="n"/>
      <c r="I97" s="319">
        <f>IF(ISNUMBER(SEARCH("월1",$H97)),1,"")</f>
        <v/>
      </c>
      <c r="J97" s="319">
        <f>IF(OR(ISNUMBER(SEARCH("월2",$H97)),ISNUMBER(SEARCH("월1.2",$H97))),1,"")</f>
        <v/>
      </c>
      <c r="K97" s="319">
        <f>IF(OR(ISNUMBER(SEARCH("월3",$H97)),ISNUMBER(SEARCH("월1.3",$H97)),ISNUMBER(SEARCH("월2.3",$H97)),ISNUMBER(SEARCH("월1.2.3",$H97))),1,"")</f>
        <v/>
      </c>
      <c r="L97" s="319">
        <f>IF(ISNUMBER(SEARCH("화1",$H97)),1,"")</f>
        <v/>
      </c>
      <c r="M97" s="319">
        <f>IF(OR(ISNUMBER(SEARCH("화2",$H97)),ISNUMBER(SEARCH("화1.2",$H97))),1,"")</f>
        <v/>
      </c>
      <c r="N97" s="319">
        <f>IF(OR(ISNUMBER(SEARCH("화3",$H97)),ISNUMBER(SEARCH("화1.3",$H97)),ISNUMBER(SEARCH("화2.3",$H97)),ISNUMBER(SEARCH("화1.2.3",$H97))),1,"")</f>
        <v/>
      </c>
      <c r="O97" s="319">
        <f>IF(ISNUMBER(SEARCH("수1",$H97)),1,"")</f>
        <v/>
      </c>
      <c r="P97" s="319">
        <f>IF(OR(ISNUMBER(SEARCH("수2",$H97)),ISNUMBER(SEARCH("수1.2",$H97))),1,"")</f>
        <v/>
      </c>
      <c r="Q97" s="319">
        <f>IF(OR(ISNUMBER(SEARCH("수3",$H97)),ISNUMBER(SEARCH("수1.3",$H97)),ISNUMBER(SEARCH("수2.3",$H97)),ISNUMBER(SEARCH("수1.2.3",$H97))),1,"")</f>
        <v/>
      </c>
      <c r="R97" s="319">
        <f>IF(ISNUMBER(SEARCH("목1",$H97)),1,"")</f>
        <v/>
      </c>
      <c r="S97" s="319">
        <f>IF(OR(ISNUMBER(SEARCH("목2",$H97)),ISNUMBER(SEARCH("목1.2",$H97))),1,"")</f>
        <v/>
      </c>
      <c r="T97" s="319">
        <f>IF(OR(ISNUMBER(SEARCH("목3",$H97)),ISNUMBER(SEARCH("목1.3",$H97)),ISNUMBER(SEARCH("목2.3",$H97)),ISNUMBER(SEARCH("목1.2.3",$H97))),1,"")</f>
        <v/>
      </c>
      <c r="U97" s="319">
        <f>IF(ISNUMBER(SEARCH("금1",$H97)),1,"")</f>
        <v/>
      </c>
      <c r="V97" s="319">
        <f>IF(OR(ISNUMBER(SEARCH("금2",$H97)),ISNUMBER(SEARCH("금1.2",$H97))),1,"")</f>
        <v/>
      </c>
      <c r="W97" s="319">
        <f>IF(OR(ISNUMBER(SEARCH("금3",$H97)),ISNUMBER(SEARCH("금1.3",$H97)),ISNUMBER(SEARCH("금2.3",$H97)),ISNUMBER(SEARCH("금1.2.3",$H97))),1,"")</f>
        <v/>
      </c>
      <c r="X97" s="319">
        <f>IF(ISNUMBER(SEARCH("토1",$H97)),1,"")</f>
        <v/>
      </c>
      <c r="Y97" s="319">
        <f>IF(OR(ISNUMBER(SEARCH("토2",$H97)),ISNUMBER(SEARCH("토1.2",$H97))),1,"")</f>
        <v/>
      </c>
      <c r="Z97" s="319">
        <f>IF(OR(ISNUMBER(SEARCH("토3",$H97)),ISNUMBER(SEARCH("토1.3",$H97)),ISNUMBER(SEARCH("토2.3",$H97)),ISNUMBER(SEARCH("토1.2.3",$H97))),1,"")</f>
        <v/>
      </c>
      <c r="AA97" s="319">
        <f>IF(ISNUMBER(SEARCH("일1",$H97)),1,"")</f>
        <v/>
      </c>
      <c r="AB97" s="319">
        <f>IF(OR(ISNUMBER(SEARCH("일2",$H97)),ISNUMBER(SEARCH("일1.2",$H97))),1,"")</f>
        <v/>
      </c>
      <c r="AC97" s="319">
        <f>IF(OR(ISNUMBER(SEARCH("일3",$H97)),ISNUMBER(SEARCH("일1.3",$H97)),ISNUMBER(SEARCH("일2.3",$H97)),ISNUMBER(SEARCH("일1.2.3",$H97))),1,"")</f>
        <v/>
      </c>
      <c r="AD97" s="319">
        <f>SUM(I97:AC97)</f>
        <v/>
      </c>
      <c r="AE97" s="323" t="n"/>
    </row>
    <row r="98" ht="24" customHeight="1">
      <c r="A98" s="168" t="n"/>
      <c r="B98" s="319" t="n"/>
      <c r="C98" s="319" t="n"/>
      <c r="D98" s="319" t="n"/>
      <c r="E98" s="341" t="n"/>
      <c r="F98" s="341" t="n"/>
      <c r="G98" s="342" t="n"/>
      <c r="H98" s="322" t="n"/>
      <c r="I98" s="319">
        <f>IF(ISNUMBER(SEARCH("월1",$H98)),1,"")</f>
        <v/>
      </c>
      <c r="J98" s="319">
        <f>IF(OR(ISNUMBER(SEARCH("월2",$H98)),ISNUMBER(SEARCH("월1.2",$H98))),1,"")</f>
        <v/>
      </c>
      <c r="K98" s="319">
        <f>IF(OR(ISNUMBER(SEARCH("월3",$H98)),ISNUMBER(SEARCH("월1.3",$H98)),ISNUMBER(SEARCH("월2.3",$H98)),ISNUMBER(SEARCH("월1.2.3",$H98))),1,"")</f>
        <v/>
      </c>
      <c r="L98" s="319">
        <f>IF(ISNUMBER(SEARCH("화1",$H98)),1,"")</f>
        <v/>
      </c>
      <c r="M98" s="319">
        <f>IF(OR(ISNUMBER(SEARCH("화2",$H98)),ISNUMBER(SEARCH("화1.2",$H98))),1,"")</f>
        <v/>
      </c>
      <c r="N98" s="319">
        <f>IF(OR(ISNUMBER(SEARCH("화3",$H98)),ISNUMBER(SEARCH("화1.3",$H98)),ISNUMBER(SEARCH("화2.3",$H98)),ISNUMBER(SEARCH("화1.2.3",$H98))),1,"")</f>
        <v/>
      </c>
      <c r="O98" s="319">
        <f>IF(ISNUMBER(SEARCH("수1",$H98)),1,"")</f>
        <v/>
      </c>
      <c r="P98" s="319">
        <f>IF(OR(ISNUMBER(SEARCH("수2",$H98)),ISNUMBER(SEARCH("수1.2",$H98))),1,"")</f>
        <v/>
      </c>
      <c r="Q98" s="319">
        <f>IF(OR(ISNUMBER(SEARCH("수3",$H98)),ISNUMBER(SEARCH("수1.3",$H98)),ISNUMBER(SEARCH("수2.3",$H98)),ISNUMBER(SEARCH("수1.2.3",$H98))),1,"")</f>
        <v/>
      </c>
      <c r="R98" s="319">
        <f>IF(ISNUMBER(SEARCH("목1",$H98)),1,"")</f>
        <v/>
      </c>
      <c r="S98" s="319">
        <f>IF(OR(ISNUMBER(SEARCH("목2",$H98)),ISNUMBER(SEARCH("목1.2",$H98))),1,"")</f>
        <v/>
      </c>
      <c r="T98" s="319">
        <f>IF(OR(ISNUMBER(SEARCH("목3",$H98)),ISNUMBER(SEARCH("목1.3",$H98)),ISNUMBER(SEARCH("목2.3",$H98)),ISNUMBER(SEARCH("목1.2.3",$H98))),1,"")</f>
        <v/>
      </c>
      <c r="U98" s="319">
        <f>IF(ISNUMBER(SEARCH("금1",$H98)),1,"")</f>
        <v/>
      </c>
      <c r="V98" s="319">
        <f>IF(OR(ISNUMBER(SEARCH("금2",$H98)),ISNUMBER(SEARCH("금1.2",$H98))),1,"")</f>
        <v/>
      </c>
      <c r="W98" s="319">
        <f>IF(OR(ISNUMBER(SEARCH("금3",$H98)),ISNUMBER(SEARCH("금1.3",$H98)),ISNUMBER(SEARCH("금2.3",$H98)),ISNUMBER(SEARCH("금1.2.3",$H98))),1,"")</f>
        <v/>
      </c>
      <c r="X98" s="319">
        <f>IF(ISNUMBER(SEARCH("토1",$H98)),1,"")</f>
        <v/>
      </c>
      <c r="Y98" s="319">
        <f>IF(OR(ISNUMBER(SEARCH("토2",$H98)),ISNUMBER(SEARCH("토1.2",$H98))),1,"")</f>
        <v/>
      </c>
      <c r="Z98" s="319">
        <f>IF(OR(ISNUMBER(SEARCH("토3",$H98)),ISNUMBER(SEARCH("토1.3",$H98)),ISNUMBER(SEARCH("토2.3",$H98)),ISNUMBER(SEARCH("토1.2.3",$H98))),1,"")</f>
        <v/>
      </c>
      <c r="AA98" s="319">
        <f>IF(ISNUMBER(SEARCH("일1",$H98)),1,"")</f>
        <v/>
      </c>
      <c r="AB98" s="319">
        <f>IF(OR(ISNUMBER(SEARCH("일2",$H98)),ISNUMBER(SEARCH("일1.2",$H98))),1,"")</f>
        <v/>
      </c>
      <c r="AC98" s="319">
        <f>IF(OR(ISNUMBER(SEARCH("일3",$H98)),ISNUMBER(SEARCH("일1.3",$H98)),ISNUMBER(SEARCH("일2.3",$H98)),ISNUMBER(SEARCH("일1.2.3",$H98))),1,"")</f>
        <v/>
      </c>
      <c r="AD98" s="319">
        <f>SUM(I98:AC98)</f>
        <v/>
      </c>
      <c r="AE98" s="323" t="n"/>
    </row>
    <row r="99" ht="24" customHeight="1">
      <c r="A99" s="168" t="n"/>
      <c r="B99" s="319" t="n"/>
      <c r="C99" s="319" t="n"/>
      <c r="D99" s="319" t="n"/>
      <c r="E99" s="341" t="n"/>
      <c r="F99" s="341" t="n"/>
      <c r="G99" s="342" t="n"/>
      <c r="H99" s="322" t="n"/>
      <c r="I99" s="319">
        <f>IF(ISNUMBER(SEARCH("월1",$H99)),1,"")</f>
        <v/>
      </c>
      <c r="J99" s="319">
        <f>IF(OR(ISNUMBER(SEARCH("월2",$H99)),ISNUMBER(SEARCH("월1.2",$H99))),1,"")</f>
        <v/>
      </c>
      <c r="K99" s="319">
        <f>IF(OR(ISNUMBER(SEARCH("월3",$H99)),ISNUMBER(SEARCH("월1.3",$H99)),ISNUMBER(SEARCH("월2.3",$H99)),ISNUMBER(SEARCH("월1.2.3",$H99))),1,"")</f>
        <v/>
      </c>
      <c r="L99" s="319">
        <f>IF(ISNUMBER(SEARCH("화1",$H99)),1,"")</f>
        <v/>
      </c>
      <c r="M99" s="319">
        <f>IF(OR(ISNUMBER(SEARCH("화2",$H99)),ISNUMBER(SEARCH("화1.2",$H99))),1,"")</f>
        <v/>
      </c>
      <c r="N99" s="319">
        <f>IF(OR(ISNUMBER(SEARCH("화3",$H99)),ISNUMBER(SEARCH("화1.3",$H99)),ISNUMBER(SEARCH("화2.3",$H99)),ISNUMBER(SEARCH("화1.2.3",$H99))),1,"")</f>
        <v/>
      </c>
      <c r="O99" s="319">
        <f>IF(ISNUMBER(SEARCH("수1",$H99)),1,"")</f>
        <v/>
      </c>
      <c r="P99" s="319">
        <f>IF(OR(ISNUMBER(SEARCH("수2",$H99)),ISNUMBER(SEARCH("수1.2",$H99))),1,"")</f>
        <v/>
      </c>
      <c r="Q99" s="319">
        <f>IF(OR(ISNUMBER(SEARCH("수3",$H99)),ISNUMBER(SEARCH("수1.3",$H99)),ISNUMBER(SEARCH("수2.3",$H99)),ISNUMBER(SEARCH("수1.2.3",$H99))),1,"")</f>
        <v/>
      </c>
      <c r="R99" s="319">
        <f>IF(ISNUMBER(SEARCH("목1",$H99)),1,"")</f>
        <v/>
      </c>
      <c r="S99" s="319">
        <f>IF(OR(ISNUMBER(SEARCH("목2",$H99)),ISNUMBER(SEARCH("목1.2",$H99))),1,"")</f>
        <v/>
      </c>
      <c r="T99" s="319">
        <f>IF(OR(ISNUMBER(SEARCH("목3",$H99)),ISNUMBER(SEARCH("목1.3",$H99)),ISNUMBER(SEARCH("목2.3",$H99)),ISNUMBER(SEARCH("목1.2.3",$H99))),1,"")</f>
        <v/>
      </c>
      <c r="U99" s="319">
        <f>IF(ISNUMBER(SEARCH("금1",$H99)),1,"")</f>
        <v/>
      </c>
      <c r="V99" s="319">
        <f>IF(OR(ISNUMBER(SEARCH("금2",$H99)),ISNUMBER(SEARCH("금1.2",$H99))),1,"")</f>
        <v/>
      </c>
      <c r="W99" s="319">
        <f>IF(OR(ISNUMBER(SEARCH("금3",$H99)),ISNUMBER(SEARCH("금1.3",$H99)),ISNUMBER(SEARCH("금2.3",$H99)),ISNUMBER(SEARCH("금1.2.3",$H99))),1,"")</f>
        <v/>
      </c>
      <c r="X99" s="319">
        <f>IF(ISNUMBER(SEARCH("토1",$H99)),1,"")</f>
        <v/>
      </c>
      <c r="Y99" s="319">
        <f>IF(OR(ISNUMBER(SEARCH("토2",$H99)),ISNUMBER(SEARCH("토1.2",$H99))),1,"")</f>
        <v/>
      </c>
      <c r="Z99" s="319">
        <f>IF(OR(ISNUMBER(SEARCH("토3",$H99)),ISNUMBER(SEARCH("토1.3",$H99)),ISNUMBER(SEARCH("토2.3",$H99)),ISNUMBER(SEARCH("토1.2.3",$H99))),1,"")</f>
        <v/>
      </c>
      <c r="AA99" s="319">
        <f>IF(ISNUMBER(SEARCH("일1",$H99)),1,"")</f>
        <v/>
      </c>
      <c r="AB99" s="319">
        <f>IF(OR(ISNUMBER(SEARCH("일2",$H99)),ISNUMBER(SEARCH("일1.2",$H99))),1,"")</f>
        <v/>
      </c>
      <c r="AC99" s="319">
        <f>IF(OR(ISNUMBER(SEARCH("일3",$H99)),ISNUMBER(SEARCH("일1.3",$H99)),ISNUMBER(SEARCH("일2.3",$H99)),ISNUMBER(SEARCH("일1.2.3",$H99))),1,"")</f>
        <v/>
      </c>
      <c r="AD99" s="319">
        <f>SUM(I99:AC99)</f>
        <v/>
      </c>
      <c r="AE99" s="323" t="n"/>
    </row>
    <row r="100" ht="24" customHeight="1">
      <c r="A100" s="168" t="n"/>
      <c r="B100" s="319" t="n"/>
      <c r="C100" s="319" t="n"/>
      <c r="D100" s="319" t="n"/>
      <c r="E100" s="341" t="n"/>
      <c r="F100" s="341" t="n"/>
      <c r="G100" s="342" t="n"/>
      <c r="H100" s="322" t="n"/>
      <c r="I100" s="319">
        <f>IF(ISNUMBER(SEARCH("월1",$H100)),1,"")</f>
        <v/>
      </c>
      <c r="J100" s="319">
        <f>IF(OR(ISNUMBER(SEARCH("월2",$H100)),ISNUMBER(SEARCH("월1.2",$H100))),1,"")</f>
        <v/>
      </c>
      <c r="K100" s="319">
        <f>IF(OR(ISNUMBER(SEARCH("월3",$H100)),ISNUMBER(SEARCH("월1.3",$H100)),ISNUMBER(SEARCH("월2.3",$H100)),ISNUMBER(SEARCH("월1.2.3",$H100))),1,"")</f>
        <v/>
      </c>
      <c r="L100" s="319">
        <f>IF(ISNUMBER(SEARCH("화1",$H100)),1,"")</f>
        <v/>
      </c>
      <c r="M100" s="319">
        <f>IF(OR(ISNUMBER(SEARCH("화2",$H100)),ISNUMBER(SEARCH("화1.2",$H100))),1,"")</f>
        <v/>
      </c>
      <c r="N100" s="319">
        <f>IF(OR(ISNUMBER(SEARCH("화3",$H100)),ISNUMBER(SEARCH("화1.3",$H100)),ISNUMBER(SEARCH("화2.3",$H100)),ISNUMBER(SEARCH("화1.2.3",$H100))),1,"")</f>
        <v/>
      </c>
      <c r="O100" s="319">
        <f>IF(ISNUMBER(SEARCH("수1",$H100)),1,"")</f>
        <v/>
      </c>
      <c r="P100" s="319">
        <f>IF(OR(ISNUMBER(SEARCH("수2",$H100)),ISNUMBER(SEARCH("수1.2",$H100))),1,"")</f>
        <v/>
      </c>
      <c r="Q100" s="319">
        <f>IF(OR(ISNUMBER(SEARCH("수3",$H100)),ISNUMBER(SEARCH("수1.3",$H100)),ISNUMBER(SEARCH("수2.3",$H100)),ISNUMBER(SEARCH("수1.2.3",$H100))),1,"")</f>
        <v/>
      </c>
      <c r="R100" s="319">
        <f>IF(ISNUMBER(SEARCH("목1",$H100)),1,"")</f>
        <v/>
      </c>
      <c r="S100" s="319">
        <f>IF(OR(ISNUMBER(SEARCH("목2",$H100)),ISNUMBER(SEARCH("목1.2",$H100))),1,"")</f>
        <v/>
      </c>
      <c r="T100" s="319">
        <f>IF(OR(ISNUMBER(SEARCH("목3",$H100)),ISNUMBER(SEARCH("목1.3",$H100)),ISNUMBER(SEARCH("목2.3",$H100)),ISNUMBER(SEARCH("목1.2.3",$H100))),1,"")</f>
        <v/>
      </c>
      <c r="U100" s="319">
        <f>IF(ISNUMBER(SEARCH("금1",$H100)),1,"")</f>
        <v/>
      </c>
      <c r="V100" s="319">
        <f>IF(OR(ISNUMBER(SEARCH("금2",$H100)),ISNUMBER(SEARCH("금1.2",$H100))),1,"")</f>
        <v/>
      </c>
      <c r="W100" s="319">
        <f>IF(OR(ISNUMBER(SEARCH("금3",$H100)),ISNUMBER(SEARCH("금1.3",$H100)),ISNUMBER(SEARCH("금2.3",$H100)),ISNUMBER(SEARCH("금1.2.3",$H100))),1,"")</f>
        <v/>
      </c>
      <c r="X100" s="319">
        <f>IF(ISNUMBER(SEARCH("토1",$H100)),1,"")</f>
        <v/>
      </c>
      <c r="Y100" s="319">
        <f>IF(OR(ISNUMBER(SEARCH("토2",$H100)),ISNUMBER(SEARCH("토1.2",$H100))),1,"")</f>
        <v/>
      </c>
      <c r="Z100" s="319">
        <f>IF(OR(ISNUMBER(SEARCH("토3",$H100)),ISNUMBER(SEARCH("토1.3",$H100)),ISNUMBER(SEARCH("토2.3",$H100)),ISNUMBER(SEARCH("토1.2.3",$H100))),1,"")</f>
        <v/>
      </c>
      <c r="AA100" s="319">
        <f>IF(ISNUMBER(SEARCH("일1",$H100)),1,"")</f>
        <v/>
      </c>
      <c r="AB100" s="319">
        <f>IF(OR(ISNUMBER(SEARCH("일2",$H100)),ISNUMBER(SEARCH("일1.2",$H100))),1,"")</f>
        <v/>
      </c>
      <c r="AC100" s="319">
        <f>IF(OR(ISNUMBER(SEARCH("일3",$H100)),ISNUMBER(SEARCH("일1.3",$H100)),ISNUMBER(SEARCH("일2.3",$H100)),ISNUMBER(SEARCH("일1.2.3",$H100))),1,"")</f>
        <v/>
      </c>
      <c r="AD100" s="319">
        <f>SUM(I100:AC100)</f>
        <v/>
      </c>
      <c r="AE100" s="323" t="n"/>
    </row>
    <row r="101" ht="24" customHeight="1">
      <c r="A101" s="168" t="n"/>
      <c r="B101" s="319" t="n"/>
      <c r="C101" s="319" t="n"/>
      <c r="D101" s="319" t="n"/>
      <c r="E101" s="341" t="n"/>
      <c r="F101" s="341" t="n"/>
      <c r="G101" s="342" t="n"/>
      <c r="H101" s="322" t="n"/>
      <c r="I101" s="319">
        <f>IF(ISNUMBER(SEARCH("월1",$H101)),1,"")</f>
        <v/>
      </c>
      <c r="J101" s="319">
        <f>IF(OR(ISNUMBER(SEARCH("월2",$H101)),ISNUMBER(SEARCH("월1.2",$H101))),1,"")</f>
        <v/>
      </c>
      <c r="K101" s="319">
        <f>IF(OR(ISNUMBER(SEARCH("월3",$H101)),ISNUMBER(SEARCH("월1.3",$H101)),ISNUMBER(SEARCH("월2.3",$H101)),ISNUMBER(SEARCH("월1.2.3",$H101))),1,"")</f>
        <v/>
      </c>
      <c r="L101" s="319">
        <f>IF(ISNUMBER(SEARCH("화1",$H101)),1,"")</f>
        <v/>
      </c>
      <c r="M101" s="319">
        <f>IF(OR(ISNUMBER(SEARCH("화2",$H101)),ISNUMBER(SEARCH("화1.2",$H101))),1,"")</f>
        <v/>
      </c>
      <c r="N101" s="319">
        <f>IF(OR(ISNUMBER(SEARCH("화3",$H101)),ISNUMBER(SEARCH("화1.3",$H101)),ISNUMBER(SEARCH("화2.3",$H101)),ISNUMBER(SEARCH("화1.2.3",$H101))),1,"")</f>
        <v/>
      </c>
      <c r="O101" s="319">
        <f>IF(ISNUMBER(SEARCH("수1",$H101)),1,"")</f>
        <v/>
      </c>
      <c r="P101" s="319">
        <f>IF(OR(ISNUMBER(SEARCH("수2",$H101)),ISNUMBER(SEARCH("수1.2",$H101))),1,"")</f>
        <v/>
      </c>
      <c r="Q101" s="319">
        <f>IF(OR(ISNUMBER(SEARCH("수3",$H101)),ISNUMBER(SEARCH("수1.3",$H101)),ISNUMBER(SEARCH("수2.3",$H101)),ISNUMBER(SEARCH("수1.2.3",$H101))),1,"")</f>
        <v/>
      </c>
      <c r="R101" s="319">
        <f>IF(ISNUMBER(SEARCH("목1",$H101)),1,"")</f>
        <v/>
      </c>
      <c r="S101" s="319">
        <f>IF(OR(ISNUMBER(SEARCH("목2",$H101)),ISNUMBER(SEARCH("목1.2",$H101))),1,"")</f>
        <v/>
      </c>
      <c r="T101" s="319">
        <f>IF(OR(ISNUMBER(SEARCH("목3",$H101)),ISNUMBER(SEARCH("목1.3",$H101)),ISNUMBER(SEARCH("목2.3",$H101)),ISNUMBER(SEARCH("목1.2.3",$H101))),1,"")</f>
        <v/>
      </c>
      <c r="U101" s="319">
        <f>IF(ISNUMBER(SEARCH("금1",$H101)),1,"")</f>
        <v/>
      </c>
      <c r="V101" s="319">
        <f>IF(OR(ISNUMBER(SEARCH("금2",$H101)),ISNUMBER(SEARCH("금1.2",$H101))),1,"")</f>
        <v/>
      </c>
      <c r="W101" s="319">
        <f>IF(OR(ISNUMBER(SEARCH("금3",$H101)),ISNUMBER(SEARCH("금1.3",$H101)),ISNUMBER(SEARCH("금2.3",$H101)),ISNUMBER(SEARCH("금1.2.3",$H101))),1,"")</f>
        <v/>
      </c>
      <c r="X101" s="319">
        <f>IF(ISNUMBER(SEARCH("토1",$H101)),1,"")</f>
        <v/>
      </c>
      <c r="Y101" s="319">
        <f>IF(OR(ISNUMBER(SEARCH("토2",$H101)),ISNUMBER(SEARCH("토1.2",$H101))),1,"")</f>
        <v/>
      </c>
      <c r="Z101" s="319">
        <f>IF(OR(ISNUMBER(SEARCH("토3",$H101)),ISNUMBER(SEARCH("토1.3",$H101)),ISNUMBER(SEARCH("토2.3",$H101)),ISNUMBER(SEARCH("토1.2.3",$H101))),1,"")</f>
        <v/>
      </c>
      <c r="AA101" s="319">
        <f>IF(ISNUMBER(SEARCH("일1",$H101)),1,"")</f>
        <v/>
      </c>
      <c r="AB101" s="319">
        <f>IF(OR(ISNUMBER(SEARCH("일2",$H101)),ISNUMBER(SEARCH("일1.2",$H101))),1,"")</f>
        <v/>
      </c>
      <c r="AC101" s="319">
        <f>IF(OR(ISNUMBER(SEARCH("일3",$H101)),ISNUMBER(SEARCH("일1.3",$H101)),ISNUMBER(SEARCH("일2.3",$H101)),ISNUMBER(SEARCH("일1.2.3",$H101))),1,"")</f>
        <v/>
      </c>
      <c r="AD101" s="319">
        <f>SUM(I101:AC101)</f>
        <v/>
      </c>
      <c r="AE101" s="323" t="n"/>
    </row>
    <row r="102" ht="24" customHeight="1">
      <c r="A102" s="168" t="n"/>
      <c r="B102" s="319" t="n"/>
      <c r="C102" s="319" t="n"/>
      <c r="D102" s="319" t="n"/>
      <c r="E102" s="341" t="n"/>
      <c r="F102" s="341" t="n"/>
      <c r="G102" s="342" t="n"/>
      <c r="H102" s="322" t="n"/>
      <c r="I102" s="319">
        <f>IF(ISNUMBER(SEARCH("월1",$H102)),1,"")</f>
        <v/>
      </c>
      <c r="J102" s="319">
        <f>IF(OR(ISNUMBER(SEARCH("월2",$H102)),ISNUMBER(SEARCH("월1.2",$H102))),1,"")</f>
        <v/>
      </c>
      <c r="K102" s="319">
        <f>IF(OR(ISNUMBER(SEARCH("월3",$H102)),ISNUMBER(SEARCH("월1.3",$H102)),ISNUMBER(SEARCH("월2.3",$H102)),ISNUMBER(SEARCH("월1.2.3",$H102))),1,"")</f>
        <v/>
      </c>
      <c r="L102" s="319">
        <f>IF(ISNUMBER(SEARCH("화1",$H102)),1,"")</f>
        <v/>
      </c>
      <c r="M102" s="319">
        <f>IF(OR(ISNUMBER(SEARCH("화2",$H102)),ISNUMBER(SEARCH("화1.2",$H102))),1,"")</f>
        <v/>
      </c>
      <c r="N102" s="319">
        <f>IF(OR(ISNUMBER(SEARCH("화3",$H102)),ISNUMBER(SEARCH("화1.3",$H102)),ISNUMBER(SEARCH("화2.3",$H102)),ISNUMBER(SEARCH("화1.2.3",$H102))),1,"")</f>
        <v/>
      </c>
      <c r="O102" s="319">
        <f>IF(ISNUMBER(SEARCH("수1",$H102)),1,"")</f>
        <v/>
      </c>
      <c r="P102" s="319">
        <f>IF(OR(ISNUMBER(SEARCH("수2",$H102)),ISNUMBER(SEARCH("수1.2",$H102))),1,"")</f>
        <v/>
      </c>
      <c r="Q102" s="319">
        <f>IF(OR(ISNUMBER(SEARCH("수3",$H102)),ISNUMBER(SEARCH("수1.3",$H102)),ISNUMBER(SEARCH("수2.3",$H102)),ISNUMBER(SEARCH("수1.2.3",$H102))),1,"")</f>
        <v/>
      </c>
      <c r="R102" s="319">
        <f>IF(ISNUMBER(SEARCH("목1",$H102)),1,"")</f>
        <v/>
      </c>
      <c r="S102" s="319">
        <f>IF(OR(ISNUMBER(SEARCH("목2",$H102)),ISNUMBER(SEARCH("목1.2",$H102))),1,"")</f>
        <v/>
      </c>
      <c r="T102" s="319">
        <f>IF(OR(ISNUMBER(SEARCH("목3",$H102)),ISNUMBER(SEARCH("목1.3",$H102)),ISNUMBER(SEARCH("목2.3",$H102)),ISNUMBER(SEARCH("목1.2.3",$H102))),1,"")</f>
        <v/>
      </c>
      <c r="U102" s="319">
        <f>IF(ISNUMBER(SEARCH("금1",$H102)),1,"")</f>
        <v/>
      </c>
      <c r="V102" s="319">
        <f>IF(OR(ISNUMBER(SEARCH("금2",$H102)),ISNUMBER(SEARCH("금1.2",$H102))),1,"")</f>
        <v/>
      </c>
      <c r="W102" s="319">
        <f>IF(OR(ISNUMBER(SEARCH("금3",$H102)),ISNUMBER(SEARCH("금1.3",$H102)),ISNUMBER(SEARCH("금2.3",$H102)),ISNUMBER(SEARCH("금1.2.3",$H102))),1,"")</f>
        <v/>
      </c>
      <c r="X102" s="319">
        <f>IF(ISNUMBER(SEARCH("토1",$H102)),1,"")</f>
        <v/>
      </c>
      <c r="Y102" s="319">
        <f>IF(OR(ISNUMBER(SEARCH("토2",$H102)),ISNUMBER(SEARCH("토1.2",$H102))),1,"")</f>
        <v/>
      </c>
      <c r="Z102" s="319">
        <f>IF(OR(ISNUMBER(SEARCH("토3",$H102)),ISNUMBER(SEARCH("토1.3",$H102)),ISNUMBER(SEARCH("토2.3",$H102)),ISNUMBER(SEARCH("토1.2.3",$H102))),1,"")</f>
        <v/>
      </c>
      <c r="AA102" s="319">
        <f>IF(ISNUMBER(SEARCH("일1",$H102)),1,"")</f>
        <v/>
      </c>
      <c r="AB102" s="319">
        <f>IF(OR(ISNUMBER(SEARCH("일2",$H102)),ISNUMBER(SEARCH("일1.2",$H102))),1,"")</f>
        <v/>
      </c>
      <c r="AC102" s="319">
        <f>IF(OR(ISNUMBER(SEARCH("일3",$H102)),ISNUMBER(SEARCH("일1.3",$H102)),ISNUMBER(SEARCH("일2.3",$H102)),ISNUMBER(SEARCH("일1.2.3",$H102))),1,"")</f>
        <v/>
      </c>
      <c r="AD102" s="319">
        <f>SUM(I102:AC102)</f>
        <v/>
      </c>
      <c r="AE102" s="323" t="n"/>
    </row>
    <row r="103" ht="24" customHeight="1">
      <c r="A103" s="168" t="n"/>
      <c r="B103" s="319" t="n"/>
      <c r="C103" s="319" t="n"/>
      <c r="D103" s="319" t="n"/>
      <c r="E103" s="341" t="n"/>
      <c r="F103" s="341" t="n"/>
      <c r="G103" s="342" t="n"/>
      <c r="H103" s="322" t="n"/>
      <c r="I103" s="319">
        <f>IF(ISNUMBER(SEARCH("월1",$H103)),1,"")</f>
        <v/>
      </c>
      <c r="J103" s="319">
        <f>IF(OR(ISNUMBER(SEARCH("월2",$H103)),ISNUMBER(SEARCH("월1.2",$H103))),1,"")</f>
        <v/>
      </c>
      <c r="K103" s="319">
        <f>IF(OR(ISNUMBER(SEARCH("월3",$H103)),ISNUMBER(SEARCH("월1.3",$H103)),ISNUMBER(SEARCH("월2.3",$H103)),ISNUMBER(SEARCH("월1.2.3",$H103))),1,"")</f>
        <v/>
      </c>
      <c r="L103" s="319">
        <f>IF(ISNUMBER(SEARCH("화1",$H103)),1,"")</f>
        <v/>
      </c>
      <c r="M103" s="319">
        <f>IF(OR(ISNUMBER(SEARCH("화2",$H103)),ISNUMBER(SEARCH("화1.2",$H103))),1,"")</f>
        <v/>
      </c>
      <c r="N103" s="319">
        <f>IF(OR(ISNUMBER(SEARCH("화3",$H103)),ISNUMBER(SEARCH("화1.3",$H103)),ISNUMBER(SEARCH("화2.3",$H103)),ISNUMBER(SEARCH("화1.2.3",$H103))),1,"")</f>
        <v/>
      </c>
      <c r="O103" s="319">
        <f>IF(ISNUMBER(SEARCH("수1",$H103)),1,"")</f>
        <v/>
      </c>
      <c r="P103" s="319">
        <f>IF(OR(ISNUMBER(SEARCH("수2",$H103)),ISNUMBER(SEARCH("수1.2",$H103))),1,"")</f>
        <v/>
      </c>
      <c r="Q103" s="319">
        <f>IF(OR(ISNUMBER(SEARCH("수3",$H103)),ISNUMBER(SEARCH("수1.3",$H103)),ISNUMBER(SEARCH("수2.3",$H103)),ISNUMBER(SEARCH("수1.2.3",$H103))),1,"")</f>
        <v/>
      </c>
      <c r="R103" s="319">
        <f>IF(ISNUMBER(SEARCH("목1",$H103)),1,"")</f>
        <v/>
      </c>
      <c r="S103" s="319">
        <f>IF(OR(ISNUMBER(SEARCH("목2",$H103)),ISNUMBER(SEARCH("목1.2",$H103))),1,"")</f>
        <v/>
      </c>
      <c r="T103" s="319">
        <f>IF(OR(ISNUMBER(SEARCH("목3",$H103)),ISNUMBER(SEARCH("목1.3",$H103)),ISNUMBER(SEARCH("목2.3",$H103)),ISNUMBER(SEARCH("목1.2.3",$H103))),1,"")</f>
        <v/>
      </c>
      <c r="U103" s="319">
        <f>IF(ISNUMBER(SEARCH("금1",$H103)),1,"")</f>
        <v/>
      </c>
      <c r="V103" s="319">
        <f>IF(OR(ISNUMBER(SEARCH("금2",$H103)),ISNUMBER(SEARCH("금1.2",$H103))),1,"")</f>
        <v/>
      </c>
      <c r="W103" s="319">
        <f>IF(OR(ISNUMBER(SEARCH("금3",$H103)),ISNUMBER(SEARCH("금1.3",$H103)),ISNUMBER(SEARCH("금2.3",$H103)),ISNUMBER(SEARCH("금1.2.3",$H103))),1,"")</f>
        <v/>
      </c>
      <c r="X103" s="319">
        <f>IF(ISNUMBER(SEARCH("토1",$H103)),1,"")</f>
        <v/>
      </c>
      <c r="Y103" s="319">
        <f>IF(OR(ISNUMBER(SEARCH("토2",$H103)),ISNUMBER(SEARCH("토1.2",$H103))),1,"")</f>
        <v/>
      </c>
      <c r="Z103" s="319">
        <f>IF(OR(ISNUMBER(SEARCH("토3",$H103)),ISNUMBER(SEARCH("토1.3",$H103)),ISNUMBER(SEARCH("토2.3",$H103)),ISNUMBER(SEARCH("토1.2.3",$H103))),1,"")</f>
        <v/>
      </c>
      <c r="AA103" s="319">
        <f>IF(ISNUMBER(SEARCH("일1",$H103)),1,"")</f>
        <v/>
      </c>
      <c r="AB103" s="319">
        <f>IF(OR(ISNUMBER(SEARCH("일2",$H103)),ISNUMBER(SEARCH("일1.2",$H103))),1,"")</f>
        <v/>
      </c>
      <c r="AC103" s="319">
        <f>IF(OR(ISNUMBER(SEARCH("일3",$H103)),ISNUMBER(SEARCH("일1.3",$H103)),ISNUMBER(SEARCH("일2.3",$H103)),ISNUMBER(SEARCH("일1.2.3",$H103))),1,"")</f>
        <v/>
      </c>
      <c r="AD103" s="319">
        <f>SUM(I103:AC103)</f>
        <v/>
      </c>
      <c r="AE103" s="323" t="n"/>
    </row>
    <row r="104" ht="24" customHeight="1">
      <c r="A104" s="168" t="n"/>
      <c r="B104" s="319" t="n"/>
      <c r="C104" s="319" t="n"/>
      <c r="D104" s="319" t="n"/>
      <c r="E104" s="341" t="n"/>
      <c r="F104" s="341" t="n"/>
      <c r="G104" s="342" t="n"/>
      <c r="H104" s="322" t="n"/>
      <c r="I104" s="319">
        <f>IF(ISNUMBER(SEARCH("월1",$H104)),1,"")</f>
        <v/>
      </c>
      <c r="J104" s="319">
        <f>IF(OR(ISNUMBER(SEARCH("월2",$H104)),ISNUMBER(SEARCH("월1.2",$H104))),1,"")</f>
        <v/>
      </c>
      <c r="K104" s="319">
        <f>IF(OR(ISNUMBER(SEARCH("월3",$H104)),ISNUMBER(SEARCH("월1.3",$H104)),ISNUMBER(SEARCH("월2.3",$H104)),ISNUMBER(SEARCH("월1.2.3",$H104))),1,"")</f>
        <v/>
      </c>
      <c r="L104" s="319">
        <f>IF(ISNUMBER(SEARCH("화1",$H104)),1,"")</f>
        <v/>
      </c>
      <c r="M104" s="319">
        <f>IF(OR(ISNUMBER(SEARCH("화2",$H104)),ISNUMBER(SEARCH("화1.2",$H104))),1,"")</f>
        <v/>
      </c>
      <c r="N104" s="319">
        <f>IF(OR(ISNUMBER(SEARCH("화3",$H104)),ISNUMBER(SEARCH("화1.3",$H104)),ISNUMBER(SEARCH("화2.3",$H104)),ISNUMBER(SEARCH("화1.2.3",$H104))),1,"")</f>
        <v/>
      </c>
      <c r="O104" s="319">
        <f>IF(ISNUMBER(SEARCH("수1",$H104)),1,"")</f>
        <v/>
      </c>
      <c r="P104" s="319">
        <f>IF(OR(ISNUMBER(SEARCH("수2",$H104)),ISNUMBER(SEARCH("수1.2",$H104))),1,"")</f>
        <v/>
      </c>
      <c r="Q104" s="319">
        <f>IF(OR(ISNUMBER(SEARCH("수3",$H104)),ISNUMBER(SEARCH("수1.3",$H104)),ISNUMBER(SEARCH("수2.3",$H104)),ISNUMBER(SEARCH("수1.2.3",$H104))),1,"")</f>
        <v/>
      </c>
      <c r="R104" s="319">
        <f>IF(ISNUMBER(SEARCH("목1",$H104)),1,"")</f>
        <v/>
      </c>
      <c r="S104" s="319">
        <f>IF(OR(ISNUMBER(SEARCH("목2",$H104)),ISNUMBER(SEARCH("목1.2",$H104))),1,"")</f>
        <v/>
      </c>
      <c r="T104" s="319">
        <f>IF(OR(ISNUMBER(SEARCH("목3",$H104)),ISNUMBER(SEARCH("목1.3",$H104)),ISNUMBER(SEARCH("목2.3",$H104)),ISNUMBER(SEARCH("목1.2.3",$H104))),1,"")</f>
        <v/>
      </c>
      <c r="U104" s="319">
        <f>IF(ISNUMBER(SEARCH("금1",$H104)),1,"")</f>
        <v/>
      </c>
      <c r="V104" s="319">
        <f>IF(OR(ISNUMBER(SEARCH("금2",$H104)),ISNUMBER(SEARCH("금1.2",$H104))),1,"")</f>
        <v/>
      </c>
      <c r="W104" s="319">
        <f>IF(OR(ISNUMBER(SEARCH("금3",$H104)),ISNUMBER(SEARCH("금1.3",$H104)),ISNUMBER(SEARCH("금2.3",$H104)),ISNUMBER(SEARCH("금1.2.3",$H104))),1,"")</f>
        <v/>
      </c>
      <c r="X104" s="319">
        <f>IF(ISNUMBER(SEARCH("토1",$H104)),1,"")</f>
        <v/>
      </c>
      <c r="Y104" s="319">
        <f>IF(OR(ISNUMBER(SEARCH("토2",$H104)),ISNUMBER(SEARCH("토1.2",$H104))),1,"")</f>
        <v/>
      </c>
      <c r="Z104" s="319">
        <f>IF(OR(ISNUMBER(SEARCH("토3",$H104)),ISNUMBER(SEARCH("토1.3",$H104)),ISNUMBER(SEARCH("토2.3",$H104)),ISNUMBER(SEARCH("토1.2.3",$H104))),1,"")</f>
        <v/>
      </c>
      <c r="AA104" s="319">
        <f>IF(ISNUMBER(SEARCH("일1",$H104)),1,"")</f>
        <v/>
      </c>
      <c r="AB104" s="319">
        <f>IF(OR(ISNUMBER(SEARCH("일2",$H104)),ISNUMBER(SEARCH("일1.2",$H104))),1,"")</f>
        <v/>
      </c>
      <c r="AC104" s="319">
        <f>IF(OR(ISNUMBER(SEARCH("일3",$H104)),ISNUMBER(SEARCH("일1.3",$H104)),ISNUMBER(SEARCH("일2.3",$H104)),ISNUMBER(SEARCH("일1.2.3",$H104))),1,"")</f>
        <v/>
      </c>
      <c r="AD104" s="319">
        <f>SUM(I104:AC104)</f>
        <v/>
      </c>
      <c r="AE104" s="323" t="n"/>
    </row>
    <row r="105" ht="24" customHeight="1">
      <c r="A105" s="168" t="n"/>
      <c r="B105" s="319" t="n"/>
      <c r="C105" s="319" t="n"/>
      <c r="D105" s="319" t="n"/>
      <c r="E105" s="341" t="n"/>
      <c r="F105" s="341" t="n"/>
      <c r="G105" s="342" t="n"/>
      <c r="H105" s="322" t="n"/>
      <c r="I105" s="319">
        <f>IF(ISNUMBER(SEARCH("월1",$H105)),1,"")</f>
        <v/>
      </c>
      <c r="J105" s="319">
        <f>IF(OR(ISNUMBER(SEARCH("월2",$H105)),ISNUMBER(SEARCH("월1.2",$H105))),1,"")</f>
        <v/>
      </c>
      <c r="K105" s="319">
        <f>IF(OR(ISNUMBER(SEARCH("월3",$H105)),ISNUMBER(SEARCH("월1.3",$H105)),ISNUMBER(SEARCH("월2.3",$H105)),ISNUMBER(SEARCH("월1.2.3",$H105))),1,"")</f>
        <v/>
      </c>
      <c r="L105" s="319">
        <f>IF(ISNUMBER(SEARCH("화1",$H105)),1,"")</f>
        <v/>
      </c>
      <c r="M105" s="319">
        <f>IF(OR(ISNUMBER(SEARCH("화2",$H105)),ISNUMBER(SEARCH("화1.2",$H105))),1,"")</f>
        <v/>
      </c>
      <c r="N105" s="319">
        <f>IF(OR(ISNUMBER(SEARCH("화3",$H105)),ISNUMBER(SEARCH("화1.3",$H105)),ISNUMBER(SEARCH("화2.3",$H105)),ISNUMBER(SEARCH("화1.2.3",$H105))),1,"")</f>
        <v/>
      </c>
      <c r="O105" s="319">
        <f>IF(ISNUMBER(SEARCH("수1",$H105)),1,"")</f>
        <v/>
      </c>
      <c r="P105" s="319">
        <f>IF(OR(ISNUMBER(SEARCH("수2",$H105)),ISNUMBER(SEARCH("수1.2",$H105))),1,"")</f>
        <v/>
      </c>
      <c r="Q105" s="319">
        <f>IF(OR(ISNUMBER(SEARCH("수3",$H105)),ISNUMBER(SEARCH("수1.3",$H105)),ISNUMBER(SEARCH("수2.3",$H105)),ISNUMBER(SEARCH("수1.2.3",$H105))),1,"")</f>
        <v/>
      </c>
      <c r="R105" s="319">
        <f>IF(ISNUMBER(SEARCH("목1",$H105)),1,"")</f>
        <v/>
      </c>
      <c r="S105" s="319">
        <f>IF(OR(ISNUMBER(SEARCH("목2",$H105)),ISNUMBER(SEARCH("목1.2",$H105))),1,"")</f>
        <v/>
      </c>
      <c r="T105" s="319">
        <f>IF(OR(ISNUMBER(SEARCH("목3",$H105)),ISNUMBER(SEARCH("목1.3",$H105)),ISNUMBER(SEARCH("목2.3",$H105)),ISNUMBER(SEARCH("목1.2.3",$H105))),1,"")</f>
        <v/>
      </c>
      <c r="U105" s="319">
        <f>IF(ISNUMBER(SEARCH("금1",$H105)),1,"")</f>
        <v/>
      </c>
      <c r="V105" s="319">
        <f>IF(OR(ISNUMBER(SEARCH("금2",$H105)),ISNUMBER(SEARCH("금1.2",$H105))),1,"")</f>
        <v/>
      </c>
      <c r="W105" s="319">
        <f>IF(OR(ISNUMBER(SEARCH("금3",$H105)),ISNUMBER(SEARCH("금1.3",$H105)),ISNUMBER(SEARCH("금2.3",$H105)),ISNUMBER(SEARCH("금1.2.3",$H105))),1,"")</f>
        <v/>
      </c>
      <c r="X105" s="319">
        <f>IF(ISNUMBER(SEARCH("토1",$H105)),1,"")</f>
        <v/>
      </c>
      <c r="Y105" s="319">
        <f>IF(OR(ISNUMBER(SEARCH("토2",$H105)),ISNUMBER(SEARCH("토1.2",$H105))),1,"")</f>
        <v/>
      </c>
      <c r="Z105" s="319">
        <f>IF(OR(ISNUMBER(SEARCH("토3",$H105)),ISNUMBER(SEARCH("토1.3",$H105)),ISNUMBER(SEARCH("토2.3",$H105)),ISNUMBER(SEARCH("토1.2.3",$H105))),1,"")</f>
        <v/>
      </c>
      <c r="AA105" s="319">
        <f>IF(ISNUMBER(SEARCH("일1",$H105)),1,"")</f>
        <v/>
      </c>
      <c r="AB105" s="319">
        <f>IF(OR(ISNUMBER(SEARCH("일2",$H105)),ISNUMBER(SEARCH("일1.2",$H105))),1,"")</f>
        <v/>
      </c>
      <c r="AC105" s="319">
        <f>IF(OR(ISNUMBER(SEARCH("일3",$H105)),ISNUMBER(SEARCH("일1.3",$H105)),ISNUMBER(SEARCH("일2.3",$H105)),ISNUMBER(SEARCH("일1.2.3",$H105))),1,"")</f>
        <v/>
      </c>
      <c r="AD105" s="319">
        <f>SUM(I105:AC105)</f>
        <v/>
      </c>
      <c r="AE105" s="323" t="n"/>
    </row>
    <row r="106" ht="24" customHeight="1">
      <c r="A106" s="168" t="n"/>
      <c r="B106" s="319" t="n"/>
      <c r="C106" s="319" t="n"/>
      <c r="D106" s="319" t="n"/>
      <c r="E106" s="341" t="n"/>
      <c r="F106" s="341" t="n"/>
      <c r="G106" s="342" t="n"/>
      <c r="H106" s="322" t="n"/>
      <c r="I106" s="319">
        <f>IF(ISNUMBER(SEARCH("월1",$H106)),1,"")</f>
        <v/>
      </c>
      <c r="J106" s="319">
        <f>IF(OR(ISNUMBER(SEARCH("월2",$H106)),ISNUMBER(SEARCH("월1.2",$H106))),1,"")</f>
        <v/>
      </c>
      <c r="K106" s="319">
        <f>IF(OR(ISNUMBER(SEARCH("월3",$H106)),ISNUMBER(SEARCH("월1.3",$H106)),ISNUMBER(SEARCH("월2.3",$H106)),ISNUMBER(SEARCH("월1.2.3",$H106))),1,"")</f>
        <v/>
      </c>
      <c r="L106" s="319">
        <f>IF(ISNUMBER(SEARCH("화1",$H106)),1,"")</f>
        <v/>
      </c>
      <c r="M106" s="319">
        <f>IF(OR(ISNUMBER(SEARCH("화2",$H106)),ISNUMBER(SEARCH("화1.2",$H106))),1,"")</f>
        <v/>
      </c>
      <c r="N106" s="319">
        <f>IF(OR(ISNUMBER(SEARCH("화3",$H106)),ISNUMBER(SEARCH("화1.3",$H106)),ISNUMBER(SEARCH("화2.3",$H106)),ISNUMBER(SEARCH("화1.2.3",$H106))),1,"")</f>
        <v/>
      </c>
      <c r="O106" s="319">
        <f>IF(ISNUMBER(SEARCH("수1",$H106)),1,"")</f>
        <v/>
      </c>
      <c r="P106" s="319">
        <f>IF(OR(ISNUMBER(SEARCH("수2",$H106)),ISNUMBER(SEARCH("수1.2",$H106))),1,"")</f>
        <v/>
      </c>
      <c r="Q106" s="319">
        <f>IF(OR(ISNUMBER(SEARCH("수3",$H106)),ISNUMBER(SEARCH("수1.3",$H106)),ISNUMBER(SEARCH("수2.3",$H106)),ISNUMBER(SEARCH("수1.2.3",$H106))),1,"")</f>
        <v/>
      </c>
      <c r="R106" s="319">
        <f>IF(ISNUMBER(SEARCH("목1",$H106)),1,"")</f>
        <v/>
      </c>
      <c r="S106" s="319">
        <f>IF(OR(ISNUMBER(SEARCH("목2",$H106)),ISNUMBER(SEARCH("목1.2",$H106))),1,"")</f>
        <v/>
      </c>
      <c r="T106" s="319">
        <f>IF(OR(ISNUMBER(SEARCH("목3",$H106)),ISNUMBER(SEARCH("목1.3",$H106)),ISNUMBER(SEARCH("목2.3",$H106)),ISNUMBER(SEARCH("목1.2.3",$H106))),1,"")</f>
        <v/>
      </c>
      <c r="U106" s="319">
        <f>IF(ISNUMBER(SEARCH("금1",$H106)),1,"")</f>
        <v/>
      </c>
      <c r="V106" s="319">
        <f>IF(OR(ISNUMBER(SEARCH("금2",$H106)),ISNUMBER(SEARCH("금1.2",$H106))),1,"")</f>
        <v/>
      </c>
      <c r="W106" s="319">
        <f>IF(OR(ISNUMBER(SEARCH("금3",$H106)),ISNUMBER(SEARCH("금1.3",$H106)),ISNUMBER(SEARCH("금2.3",$H106)),ISNUMBER(SEARCH("금1.2.3",$H106))),1,"")</f>
        <v/>
      </c>
      <c r="X106" s="319">
        <f>IF(ISNUMBER(SEARCH("토1",$H106)),1,"")</f>
        <v/>
      </c>
      <c r="Y106" s="319">
        <f>IF(OR(ISNUMBER(SEARCH("토2",$H106)),ISNUMBER(SEARCH("토1.2",$H106))),1,"")</f>
        <v/>
      </c>
      <c r="Z106" s="319">
        <f>IF(OR(ISNUMBER(SEARCH("토3",$H106)),ISNUMBER(SEARCH("토1.3",$H106)),ISNUMBER(SEARCH("토2.3",$H106)),ISNUMBER(SEARCH("토1.2.3",$H106))),1,"")</f>
        <v/>
      </c>
      <c r="AA106" s="319">
        <f>IF(ISNUMBER(SEARCH("일1",$H106)),1,"")</f>
        <v/>
      </c>
      <c r="AB106" s="319">
        <f>IF(OR(ISNUMBER(SEARCH("일2",$H106)),ISNUMBER(SEARCH("일1.2",$H106))),1,"")</f>
        <v/>
      </c>
      <c r="AC106" s="319">
        <f>IF(OR(ISNUMBER(SEARCH("일3",$H106)),ISNUMBER(SEARCH("일1.3",$H106)),ISNUMBER(SEARCH("일2.3",$H106)),ISNUMBER(SEARCH("일1.2.3",$H106))),1,"")</f>
        <v/>
      </c>
      <c r="AD106" s="319">
        <f>SUM(I106:AC106)</f>
        <v/>
      </c>
      <c r="AE106" s="323" t="n"/>
    </row>
    <row r="107" ht="24" customHeight="1">
      <c r="A107" s="170" t="n"/>
      <c r="B107" s="324" t="n"/>
      <c r="C107" s="324" t="n"/>
      <c r="D107" s="324" t="n"/>
      <c r="E107" s="343" t="n"/>
      <c r="F107" s="343" t="n"/>
      <c r="G107" s="344" t="n"/>
      <c r="H107" s="327" t="n"/>
      <c r="I107" s="324">
        <f>IF(ISNUMBER(SEARCH("월1",$H107)),1,"")</f>
        <v/>
      </c>
      <c r="J107" s="324">
        <f>IF(OR(ISNUMBER(SEARCH("월2",$H107)),ISNUMBER(SEARCH("월1.2",$H107))),1,"")</f>
        <v/>
      </c>
      <c r="K107" s="324">
        <f>IF(OR(ISNUMBER(SEARCH("월3",$H107)),ISNUMBER(SEARCH("월1.3",$H107)),ISNUMBER(SEARCH("월2.3",$H107)),ISNUMBER(SEARCH("월1.2.3",$H107))),1,"")</f>
        <v/>
      </c>
      <c r="L107" s="324">
        <f>IF(ISNUMBER(SEARCH("화1",$H107)),1,"")</f>
        <v/>
      </c>
      <c r="M107" s="324">
        <f>IF(OR(ISNUMBER(SEARCH("화2",$H107)),ISNUMBER(SEARCH("화1.2",$H107))),1,"")</f>
        <v/>
      </c>
      <c r="N107" s="324">
        <f>IF(OR(ISNUMBER(SEARCH("화3",$H107)),ISNUMBER(SEARCH("화1.3",$H107)),ISNUMBER(SEARCH("화2.3",$H107)),ISNUMBER(SEARCH("화1.2.3",$H107))),1,"")</f>
        <v/>
      </c>
      <c r="O107" s="324">
        <f>IF(ISNUMBER(SEARCH("수1",$H107)),1,"")</f>
        <v/>
      </c>
      <c r="P107" s="324">
        <f>IF(OR(ISNUMBER(SEARCH("수2",$H107)),ISNUMBER(SEARCH("수1.2",$H107))),1,"")</f>
        <v/>
      </c>
      <c r="Q107" s="324">
        <f>IF(OR(ISNUMBER(SEARCH("수3",$H107)),ISNUMBER(SEARCH("수1.3",$H107)),ISNUMBER(SEARCH("수2.3",$H107)),ISNUMBER(SEARCH("수1.2.3",$H107))),1,"")</f>
        <v/>
      </c>
      <c r="R107" s="324">
        <f>IF(ISNUMBER(SEARCH("목1",$H107)),1,"")</f>
        <v/>
      </c>
      <c r="S107" s="324">
        <f>IF(OR(ISNUMBER(SEARCH("목2",$H107)),ISNUMBER(SEARCH("목1.2",$H107))),1,"")</f>
        <v/>
      </c>
      <c r="T107" s="324">
        <f>IF(OR(ISNUMBER(SEARCH("목3",$H107)),ISNUMBER(SEARCH("목1.3",$H107)),ISNUMBER(SEARCH("목2.3",$H107)),ISNUMBER(SEARCH("목1.2.3",$H107))),1,"")</f>
        <v/>
      </c>
      <c r="U107" s="324">
        <f>IF(ISNUMBER(SEARCH("금1",$H107)),1,"")</f>
        <v/>
      </c>
      <c r="V107" s="324">
        <f>IF(OR(ISNUMBER(SEARCH("금2",$H107)),ISNUMBER(SEARCH("금1.2",$H107))),1,"")</f>
        <v/>
      </c>
      <c r="W107" s="324">
        <f>IF(OR(ISNUMBER(SEARCH("금3",$H107)),ISNUMBER(SEARCH("금1.3",$H107)),ISNUMBER(SEARCH("금2.3",$H107)),ISNUMBER(SEARCH("금1.2.3",$H107))),1,"")</f>
        <v/>
      </c>
      <c r="X107" s="324">
        <f>IF(ISNUMBER(SEARCH("토1",$H107)),1,"")</f>
        <v/>
      </c>
      <c r="Y107" s="324">
        <f>IF(OR(ISNUMBER(SEARCH("토2",$H107)),ISNUMBER(SEARCH("토1.2",$H107))),1,"")</f>
        <v/>
      </c>
      <c r="Z107" s="324">
        <f>IF(OR(ISNUMBER(SEARCH("토3",$H107)),ISNUMBER(SEARCH("토1.3",$H107)),ISNUMBER(SEARCH("토2.3",$H107)),ISNUMBER(SEARCH("토1.2.3",$H107))),1,"")</f>
        <v/>
      </c>
      <c r="AA107" s="324">
        <f>IF(ISNUMBER(SEARCH("일1",$H107)),1,"")</f>
        <v/>
      </c>
      <c r="AB107" s="324">
        <f>IF(OR(ISNUMBER(SEARCH("일2",$H107)),ISNUMBER(SEARCH("일1.2",$H107))),1,"")</f>
        <v/>
      </c>
      <c r="AC107" s="324">
        <f>IF(OR(ISNUMBER(SEARCH("일3",$H107)),ISNUMBER(SEARCH("일1.3",$H107)),ISNUMBER(SEARCH("일2.3",$H107)),ISNUMBER(SEARCH("일1.2.3",$H107))),1,"")</f>
        <v/>
      </c>
      <c r="AD107" s="324">
        <f>SUM(I107:AC107)</f>
        <v/>
      </c>
      <c r="AE107" s="328" t="n"/>
    </row>
    <row r="108" ht="27" customHeight="1">
      <c r="A108" s="336" t="n"/>
      <c r="B108" s="337" t="n"/>
      <c r="C108" s="337" t="n"/>
      <c r="D108" s="337" t="n"/>
      <c r="E108" s="337" t="n"/>
      <c r="F108" s="337" t="n"/>
      <c r="G108" s="337" t="n"/>
      <c r="H108" s="337" t="n"/>
      <c r="I108" s="337" t="n"/>
      <c r="J108" s="337" t="n"/>
      <c r="K108" s="337" t="n"/>
      <c r="L108" s="337" t="n"/>
      <c r="M108" s="337" t="n"/>
      <c r="N108" s="337" t="n"/>
      <c r="O108" s="337" t="n"/>
      <c r="P108" s="337" t="n"/>
      <c r="Q108" s="337" t="n"/>
      <c r="R108" s="337" t="n"/>
      <c r="S108" s="337" t="n"/>
      <c r="T108" s="337" t="n"/>
      <c r="U108" s="337" t="n"/>
      <c r="V108" s="337" t="n"/>
      <c r="W108" s="337" t="n"/>
      <c r="X108" s="337" t="n"/>
      <c r="Y108" s="337" t="n"/>
      <c r="Z108" s="337" t="n"/>
      <c r="AA108" s="337" t="n"/>
      <c r="AB108" s="337" t="n"/>
      <c r="AC108" s="337" t="n"/>
      <c r="AD108" s="337" t="n"/>
      <c r="AE108" s="338" t="n"/>
    </row>
    <row r="109" ht="24" customHeight="1">
      <c r="A109" s="166" t="n"/>
      <c r="B109" s="314" t="n"/>
      <c r="C109" s="314" t="n"/>
      <c r="D109" s="314" t="n"/>
      <c r="E109" s="339" t="n"/>
      <c r="F109" s="339" t="n"/>
      <c r="G109" s="340" t="n"/>
      <c r="H109" s="317" t="n"/>
      <c r="I109" s="314">
        <f>IF(ISNUMBER(SEARCH("월1",$H109)),1,"")</f>
        <v/>
      </c>
      <c r="J109" s="314">
        <f>IF(OR(ISNUMBER(SEARCH("월2",$H109)),ISNUMBER(SEARCH("월1.2",$H109))),1,"")</f>
        <v/>
      </c>
      <c r="K109" s="314">
        <f>IF(OR(ISNUMBER(SEARCH("월3",$H109)),ISNUMBER(SEARCH("월1.3",$H109)),ISNUMBER(SEARCH("월2.3",$H109)),ISNUMBER(SEARCH("월1.2.3",$H109))),1,"")</f>
        <v/>
      </c>
      <c r="L109" s="314">
        <f>IF(ISNUMBER(SEARCH("화1",$H109)),1,"")</f>
        <v/>
      </c>
      <c r="M109" s="314">
        <f>IF(OR(ISNUMBER(SEARCH("화2",$H109)),ISNUMBER(SEARCH("화1.2",$H109))),1,"")</f>
        <v/>
      </c>
      <c r="N109" s="314">
        <f>IF(OR(ISNUMBER(SEARCH("화3",$H109)),ISNUMBER(SEARCH("화1.3",$H109)),ISNUMBER(SEARCH("화2.3",$H109)),ISNUMBER(SEARCH("화1.2.3",$H109))),1,"")</f>
        <v/>
      </c>
      <c r="O109" s="314">
        <f>IF(ISNUMBER(SEARCH("수1",$H109)),1,"")</f>
        <v/>
      </c>
      <c r="P109" s="314">
        <f>IF(OR(ISNUMBER(SEARCH("수2",$H109)),ISNUMBER(SEARCH("수1.2",$H109))),1,"")</f>
        <v/>
      </c>
      <c r="Q109" s="314">
        <f>IF(OR(ISNUMBER(SEARCH("수3",$H109)),ISNUMBER(SEARCH("수1.3",$H109)),ISNUMBER(SEARCH("수2.3",$H109)),ISNUMBER(SEARCH("수1.2.3",$H109))),1,"")</f>
        <v/>
      </c>
      <c r="R109" s="314">
        <f>IF(ISNUMBER(SEARCH("목1",$H109)),1,"")</f>
        <v/>
      </c>
      <c r="S109" s="314">
        <f>IF(OR(ISNUMBER(SEARCH("목2",$H109)),ISNUMBER(SEARCH("목1.2",$H109))),1,"")</f>
        <v/>
      </c>
      <c r="T109" s="314">
        <f>IF(OR(ISNUMBER(SEARCH("목3",$H109)),ISNUMBER(SEARCH("목1.3",$H109)),ISNUMBER(SEARCH("목2.3",$H109)),ISNUMBER(SEARCH("목1.2.3",$H109))),1,"")</f>
        <v/>
      </c>
      <c r="U109" s="314">
        <f>IF(ISNUMBER(SEARCH("금1",$H109)),1,"")</f>
        <v/>
      </c>
      <c r="V109" s="314">
        <f>IF(OR(ISNUMBER(SEARCH("금2",$H109)),ISNUMBER(SEARCH("금1.2",$H109))),1,"")</f>
        <v/>
      </c>
      <c r="W109" s="314">
        <f>IF(OR(ISNUMBER(SEARCH("금3",$H109)),ISNUMBER(SEARCH("금1.3",$H109)),ISNUMBER(SEARCH("금2.3",$H109)),ISNUMBER(SEARCH("금1.2.3",$H109))),1,"")</f>
        <v/>
      </c>
      <c r="X109" s="314">
        <f>IF(ISNUMBER(SEARCH("토1",$H109)),1,"")</f>
        <v/>
      </c>
      <c r="Y109" s="314">
        <f>IF(OR(ISNUMBER(SEARCH("토2",$H109)),ISNUMBER(SEARCH("토1.2",$H109))),1,"")</f>
        <v/>
      </c>
      <c r="Z109" s="314">
        <f>IF(OR(ISNUMBER(SEARCH("토3",$H109)),ISNUMBER(SEARCH("토1.3",$H109)),ISNUMBER(SEARCH("토2.3",$H109)),ISNUMBER(SEARCH("토1.2.3",$H109))),1,"")</f>
        <v/>
      </c>
      <c r="AA109" s="314">
        <f>IF(ISNUMBER(SEARCH("일1",$H109)),1,"")</f>
        <v/>
      </c>
      <c r="AB109" s="314">
        <f>IF(OR(ISNUMBER(SEARCH("일2",$H109)),ISNUMBER(SEARCH("일1.2",$H109))),1,"")</f>
        <v/>
      </c>
      <c r="AC109" s="314">
        <f>IF(OR(ISNUMBER(SEARCH("일3",$H109)),ISNUMBER(SEARCH("일1.3",$H109)),ISNUMBER(SEARCH("일2.3",$H109)),ISNUMBER(SEARCH("일1.2.3",$H109))),1,"")</f>
        <v/>
      </c>
      <c r="AD109" s="314">
        <f>SUM(I109:AC109)</f>
        <v/>
      </c>
      <c r="AE109" s="318" t="n"/>
    </row>
    <row r="110" ht="24" customHeight="1">
      <c r="A110" s="168" t="n"/>
      <c r="B110" s="319" t="n"/>
      <c r="C110" s="319" t="n"/>
      <c r="D110" s="319" t="n"/>
      <c r="E110" s="341" t="n"/>
      <c r="F110" s="341" t="n"/>
      <c r="G110" s="342" t="n"/>
      <c r="H110" s="322" t="n"/>
      <c r="I110" s="319">
        <f>IF(ISNUMBER(SEARCH("월1",$H110)),1,"")</f>
        <v/>
      </c>
      <c r="J110" s="319">
        <f>IF(OR(ISNUMBER(SEARCH("월2",$H110)),ISNUMBER(SEARCH("월1.2",$H110))),1,"")</f>
        <v/>
      </c>
      <c r="K110" s="319">
        <f>IF(OR(ISNUMBER(SEARCH("월3",$H110)),ISNUMBER(SEARCH("월1.3",$H110)),ISNUMBER(SEARCH("월2.3",$H110)),ISNUMBER(SEARCH("월1.2.3",$H110))),1,"")</f>
        <v/>
      </c>
      <c r="L110" s="319">
        <f>IF(ISNUMBER(SEARCH("화1",$H110)),1,"")</f>
        <v/>
      </c>
      <c r="M110" s="319">
        <f>IF(OR(ISNUMBER(SEARCH("화2",$H110)),ISNUMBER(SEARCH("화1.2",$H110))),1,"")</f>
        <v/>
      </c>
      <c r="N110" s="319">
        <f>IF(OR(ISNUMBER(SEARCH("화3",$H110)),ISNUMBER(SEARCH("화1.3",$H110)),ISNUMBER(SEARCH("화2.3",$H110)),ISNUMBER(SEARCH("화1.2.3",$H110))),1,"")</f>
        <v/>
      </c>
      <c r="O110" s="319">
        <f>IF(ISNUMBER(SEARCH("수1",$H110)),1,"")</f>
        <v/>
      </c>
      <c r="P110" s="319">
        <f>IF(OR(ISNUMBER(SEARCH("수2",$H110)),ISNUMBER(SEARCH("수1.2",$H110))),1,"")</f>
        <v/>
      </c>
      <c r="Q110" s="319">
        <f>IF(OR(ISNUMBER(SEARCH("수3",$H110)),ISNUMBER(SEARCH("수1.3",$H110)),ISNUMBER(SEARCH("수2.3",$H110)),ISNUMBER(SEARCH("수1.2.3",$H110))),1,"")</f>
        <v/>
      </c>
      <c r="R110" s="319">
        <f>IF(ISNUMBER(SEARCH("목1",$H110)),1,"")</f>
        <v/>
      </c>
      <c r="S110" s="319">
        <f>IF(OR(ISNUMBER(SEARCH("목2",$H110)),ISNUMBER(SEARCH("목1.2",$H110))),1,"")</f>
        <v/>
      </c>
      <c r="T110" s="319">
        <f>IF(OR(ISNUMBER(SEARCH("목3",$H110)),ISNUMBER(SEARCH("목1.3",$H110)),ISNUMBER(SEARCH("목2.3",$H110)),ISNUMBER(SEARCH("목1.2.3",$H110))),1,"")</f>
        <v/>
      </c>
      <c r="U110" s="319">
        <f>IF(ISNUMBER(SEARCH("금1",$H110)),1,"")</f>
        <v/>
      </c>
      <c r="V110" s="319">
        <f>IF(OR(ISNUMBER(SEARCH("금2",$H110)),ISNUMBER(SEARCH("금1.2",$H110))),1,"")</f>
        <v/>
      </c>
      <c r="W110" s="319">
        <f>IF(OR(ISNUMBER(SEARCH("금3",$H110)),ISNUMBER(SEARCH("금1.3",$H110)),ISNUMBER(SEARCH("금2.3",$H110)),ISNUMBER(SEARCH("금1.2.3",$H110))),1,"")</f>
        <v/>
      </c>
      <c r="X110" s="319">
        <f>IF(ISNUMBER(SEARCH("토1",$H110)),1,"")</f>
        <v/>
      </c>
      <c r="Y110" s="319">
        <f>IF(OR(ISNUMBER(SEARCH("토2",$H110)),ISNUMBER(SEARCH("토1.2",$H110))),1,"")</f>
        <v/>
      </c>
      <c r="Z110" s="319">
        <f>IF(OR(ISNUMBER(SEARCH("토3",$H110)),ISNUMBER(SEARCH("토1.3",$H110)),ISNUMBER(SEARCH("토2.3",$H110)),ISNUMBER(SEARCH("토1.2.3",$H110))),1,"")</f>
        <v/>
      </c>
      <c r="AA110" s="319">
        <f>IF(ISNUMBER(SEARCH("일1",$H110)),1,"")</f>
        <v/>
      </c>
      <c r="AB110" s="319">
        <f>IF(OR(ISNUMBER(SEARCH("일2",$H110)),ISNUMBER(SEARCH("일1.2",$H110))),1,"")</f>
        <v/>
      </c>
      <c r="AC110" s="319">
        <f>IF(OR(ISNUMBER(SEARCH("일3",$H110)),ISNUMBER(SEARCH("일1.3",$H110)),ISNUMBER(SEARCH("일2.3",$H110)),ISNUMBER(SEARCH("일1.2.3",$H110))),1,"")</f>
        <v/>
      </c>
      <c r="AD110" s="319">
        <f>SUM(I110:AC110)</f>
        <v/>
      </c>
      <c r="AE110" s="323" t="n"/>
    </row>
    <row r="111" ht="24" customHeight="1">
      <c r="A111" s="168" t="n"/>
      <c r="B111" s="319" t="n"/>
      <c r="C111" s="319" t="n"/>
      <c r="D111" s="319" t="n"/>
      <c r="E111" s="341" t="n"/>
      <c r="F111" s="341" t="n"/>
      <c r="G111" s="342" t="n"/>
      <c r="H111" s="322" t="n"/>
      <c r="I111" s="319">
        <f>IF(ISNUMBER(SEARCH("월1",$H111)),1,"")</f>
        <v/>
      </c>
      <c r="J111" s="319">
        <f>IF(OR(ISNUMBER(SEARCH("월2",$H111)),ISNUMBER(SEARCH("월1.2",$H111))),1,"")</f>
        <v/>
      </c>
      <c r="K111" s="319">
        <f>IF(OR(ISNUMBER(SEARCH("월3",$H111)),ISNUMBER(SEARCH("월1.3",$H111)),ISNUMBER(SEARCH("월2.3",$H111)),ISNUMBER(SEARCH("월1.2.3",$H111))),1,"")</f>
        <v/>
      </c>
      <c r="L111" s="319">
        <f>IF(ISNUMBER(SEARCH("화1",$H111)),1,"")</f>
        <v/>
      </c>
      <c r="M111" s="319">
        <f>IF(OR(ISNUMBER(SEARCH("화2",$H111)),ISNUMBER(SEARCH("화1.2",$H111))),1,"")</f>
        <v/>
      </c>
      <c r="N111" s="319">
        <f>IF(OR(ISNUMBER(SEARCH("화3",$H111)),ISNUMBER(SEARCH("화1.3",$H111)),ISNUMBER(SEARCH("화2.3",$H111)),ISNUMBER(SEARCH("화1.2.3",$H111))),1,"")</f>
        <v/>
      </c>
      <c r="O111" s="319">
        <f>IF(ISNUMBER(SEARCH("수1",$H111)),1,"")</f>
        <v/>
      </c>
      <c r="P111" s="319">
        <f>IF(OR(ISNUMBER(SEARCH("수2",$H111)),ISNUMBER(SEARCH("수1.2",$H111))),1,"")</f>
        <v/>
      </c>
      <c r="Q111" s="319">
        <f>IF(OR(ISNUMBER(SEARCH("수3",$H111)),ISNUMBER(SEARCH("수1.3",$H111)),ISNUMBER(SEARCH("수2.3",$H111)),ISNUMBER(SEARCH("수1.2.3",$H111))),1,"")</f>
        <v/>
      </c>
      <c r="R111" s="319">
        <f>IF(ISNUMBER(SEARCH("목1",$H111)),1,"")</f>
        <v/>
      </c>
      <c r="S111" s="319">
        <f>IF(OR(ISNUMBER(SEARCH("목2",$H111)),ISNUMBER(SEARCH("목1.2",$H111))),1,"")</f>
        <v/>
      </c>
      <c r="T111" s="319">
        <f>IF(OR(ISNUMBER(SEARCH("목3",$H111)),ISNUMBER(SEARCH("목1.3",$H111)),ISNUMBER(SEARCH("목2.3",$H111)),ISNUMBER(SEARCH("목1.2.3",$H111))),1,"")</f>
        <v/>
      </c>
      <c r="U111" s="319">
        <f>IF(ISNUMBER(SEARCH("금1",$H111)),1,"")</f>
        <v/>
      </c>
      <c r="V111" s="319">
        <f>IF(OR(ISNUMBER(SEARCH("금2",$H111)),ISNUMBER(SEARCH("금1.2",$H111))),1,"")</f>
        <v/>
      </c>
      <c r="W111" s="319">
        <f>IF(OR(ISNUMBER(SEARCH("금3",$H111)),ISNUMBER(SEARCH("금1.3",$H111)),ISNUMBER(SEARCH("금2.3",$H111)),ISNUMBER(SEARCH("금1.2.3",$H111))),1,"")</f>
        <v/>
      </c>
      <c r="X111" s="319">
        <f>IF(ISNUMBER(SEARCH("토1",$H111)),1,"")</f>
        <v/>
      </c>
      <c r="Y111" s="319">
        <f>IF(OR(ISNUMBER(SEARCH("토2",$H111)),ISNUMBER(SEARCH("토1.2",$H111))),1,"")</f>
        <v/>
      </c>
      <c r="Z111" s="319">
        <f>IF(OR(ISNUMBER(SEARCH("토3",$H111)),ISNUMBER(SEARCH("토1.3",$H111)),ISNUMBER(SEARCH("토2.3",$H111)),ISNUMBER(SEARCH("토1.2.3",$H111))),1,"")</f>
        <v/>
      </c>
      <c r="AA111" s="319">
        <f>IF(ISNUMBER(SEARCH("일1",$H111)),1,"")</f>
        <v/>
      </c>
      <c r="AB111" s="319">
        <f>IF(OR(ISNUMBER(SEARCH("일2",$H111)),ISNUMBER(SEARCH("일1.2",$H111))),1,"")</f>
        <v/>
      </c>
      <c r="AC111" s="319">
        <f>IF(OR(ISNUMBER(SEARCH("일3",$H111)),ISNUMBER(SEARCH("일1.3",$H111)),ISNUMBER(SEARCH("일2.3",$H111)),ISNUMBER(SEARCH("일1.2.3",$H111))),1,"")</f>
        <v/>
      </c>
      <c r="AD111" s="319">
        <f>SUM(I111:AC111)</f>
        <v/>
      </c>
      <c r="AE111" s="323" t="n"/>
    </row>
    <row r="112" ht="24" customHeight="1">
      <c r="A112" s="168" t="n"/>
      <c r="B112" s="319" t="n"/>
      <c r="C112" s="319" t="n"/>
      <c r="D112" s="319" t="n"/>
      <c r="E112" s="341" t="n"/>
      <c r="F112" s="341" t="n"/>
      <c r="G112" s="342" t="n"/>
      <c r="H112" s="322" t="n"/>
      <c r="I112" s="319">
        <f>IF(ISNUMBER(SEARCH("월1",$H112)),1,"")</f>
        <v/>
      </c>
      <c r="J112" s="319">
        <f>IF(OR(ISNUMBER(SEARCH("월2",$H112)),ISNUMBER(SEARCH("월1.2",$H112))),1,"")</f>
        <v/>
      </c>
      <c r="K112" s="319">
        <f>IF(OR(ISNUMBER(SEARCH("월3",$H112)),ISNUMBER(SEARCH("월1.3",$H112)),ISNUMBER(SEARCH("월2.3",$H112)),ISNUMBER(SEARCH("월1.2.3",$H112))),1,"")</f>
        <v/>
      </c>
      <c r="L112" s="319">
        <f>IF(ISNUMBER(SEARCH("화1",$H112)),1,"")</f>
        <v/>
      </c>
      <c r="M112" s="319">
        <f>IF(OR(ISNUMBER(SEARCH("화2",$H112)),ISNUMBER(SEARCH("화1.2",$H112))),1,"")</f>
        <v/>
      </c>
      <c r="N112" s="319">
        <f>IF(OR(ISNUMBER(SEARCH("화3",$H112)),ISNUMBER(SEARCH("화1.3",$H112)),ISNUMBER(SEARCH("화2.3",$H112)),ISNUMBER(SEARCH("화1.2.3",$H112))),1,"")</f>
        <v/>
      </c>
      <c r="O112" s="319">
        <f>IF(ISNUMBER(SEARCH("수1",$H112)),1,"")</f>
        <v/>
      </c>
      <c r="P112" s="319">
        <f>IF(OR(ISNUMBER(SEARCH("수2",$H112)),ISNUMBER(SEARCH("수1.2",$H112))),1,"")</f>
        <v/>
      </c>
      <c r="Q112" s="319">
        <f>IF(OR(ISNUMBER(SEARCH("수3",$H112)),ISNUMBER(SEARCH("수1.3",$H112)),ISNUMBER(SEARCH("수2.3",$H112)),ISNUMBER(SEARCH("수1.2.3",$H112))),1,"")</f>
        <v/>
      </c>
      <c r="R112" s="319">
        <f>IF(ISNUMBER(SEARCH("목1",$H112)),1,"")</f>
        <v/>
      </c>
      <c r="S112" s="319">
        <f>IF(OR(ISNUMBER(SEARCH("목2",$H112)),ISNUMBER(SEARCH("목1.2",$H112))),1,"")</f>
        <v/>
      </c>
      <c r="T112" s="319">
        <f>IF(OR(ISNUMBER(SEARCH("목3",$H112)),ISNUMBER(SEARCH("목1.3",$H112)),ISNUMBER(SEARCH("목2.3",$H112)),ISNUMBER(SEARCH("목1.2.3",$H112))),1,"")</f>
        <v/>
      </c>
      <c r="U112" s="319">
        <f>IF(ISNUMBER(SEARCH("금1",$H112)),1,"")</f>
        <v/>
      </c>
      <c r="V112" s="319">
        <f>IF(OR(ISNUMBER(SEARCH("금2",$H112)),ISNUMBER(SEARCH("금1.2",$H112))),1,"")</f>
        <v/>
      </c>
      <c r="W112" s="319">
        <f>IF(OR(ISNUMBER(SEARCH("금3",$H112)),ISNUMBER(SEARCH("금1.3",$H112)),ISNUMBER(SEARCH("금2.3",$H112)),ISNUMBER(SEARCH("금1.2.3",$H112))),1,"")</f>
        <v/>
      </c>
      <c r="X112" s="319">
        <f>IF(ISNUMBER(SEARCH("토1",$H112)),1,"")</f>
        <v/>
      </c>
      <c r="Y112" s="319">
        <f>IF(OR(ISNUMBER(SEARCH("토2",$H112)),ISNUMBER(SEARCH("토1.2",$H112))),1,"")</f>
        <v/>
      </c>
      <c r="Z112" s="319">
        <f>IF(OR(ISNUMBER(SEARCH("토3",$H112)),ISNUMBER(SEARCH("토1.3",$H112)),ISNUMBER(SEARCH("토2.3",$H112)),ISNUMBER(SEARCH("토1.2.3",$H112))),1,"")</f>
        <v/>
      </c>
      <c r="AA112" s="319">
        <f>IF(ISNUMBER(SEARCH("일1",$H112)),1,"")</f>
        <v/>
      </c>
      <c r="AB112" s="319">
        <f>IF(OR(ISNUMBER(SEARCH("일2",$H112)),ISNUMBER(SEARCH("일1.2",$H112))),1,"")</f>
        <v/>
      </c>
      <c r="AC112" s="319">
        <f>IF(OR(ISNUMBER(SEARCH("일3",$H112)),ISNUMBER(SEARCH("일1.3",$H112)),ISNUMBER(SEARCH("일2.3",$H112)),ISNUMBER(SEARCH("일1.2.3",$H112))),1,"")</f>
        <v/>
      </c>
      <c r="AD112" s="319">
        <f>SUM(I112:AC112)</f>
        <v/>
      </c>
      <c r="AE112" s="323" t="n"/>
    </row>
    <row r="113" ht="24" customHeight="1">
      <c r="A113" s="168" t="n"/>
      <c r="B113" s="319" t="n"/>
      <c r="C113" s="319" t="n"/>
      <c r="D113" s="319" t="n"/>
      <c r="E113" s="341" t="n"/>
      <c r="F113" s="341" t="n"/>
      <c r="G113" s="342" t="n"/>
      <c r="H113" s="322" t="n"/>
      <c r="I113" s="319">
        <f>IF(ISNUMBER(SEARCH("월1",$H113)),1,"")</f>
        <v/>
      </c>
      <c r="J113" s="319">
        <f>IF(OR(ISNUMBER(SEARCH("월2",$H113)),ISNUMBER(SEARCH("월1.2",$H113))),1,"")</f>
        <v/>
      </c>
      <c r="K113" s="319">
        <f>IF(OR(ISNUMBER(SEARCH("월3",$H113)),ISNUMBER(SEARCH("월1.3",$H113)),ISNUMBER(SEARCH("월2.3",$H113)),ISNUMBER(SEARCH("월1.2.3",$H113))),1,"")</f>
        <v/>
      </c>
      <c r="L113" s="319">
        <f>IF(ISNUMBER(SEARCH("화1",$H113)),1,"")</f>
        <v/>
      </c>
      <c r="M113" s="319">
        <f>IF(OR(ISNUMBER(SEARCH("화2",$H113)),ISNUMBER(SEARCH("화1.2",$H113))),1,"")</f>
        <v/>
      </c>
      <c r="N113" s="319">
        <f>IF(OR(ISNUMBER(SEARCH("화3",$H113)),ISNUMBER(SEARCH("화1.3",$H113)),ISNUMBER(SEARCH("화2.3",$H113)),ISNUMBER(SEARCH("화1.2.3",$H113))),1,"")</f>
        <v/>
      </c>
      <c r="O113" s="319">
        <f>IF(ISNUMBER(SEARCH("수1",$H113)),1,"")</f>
        <v/>
      </c>
      <c r="P113" s="319">
        <f>IF(OR(ISNUMBER(SEARCH("수2",$H113)),ISNUMBER(SEARCH("수1.2",$H113))),1,"")</f>
        <v/>
      </c>
      <c r="Q113" s="319">
        <f>IF(OR(ISNUMBER(SEARCH("수3",$H113)),ISNUMBER(SEARCH("수1.3",$H113)),ISNUMBER(SEARCH("수2.3",$H113)),ISNUMBER(SEARCH("수1.2.3",$H113))),1,"")</f>
        <v/>
      </c>
      <c r="R113" s="319">
        <f>IF(ISNUMBER(SEARCH("목1",$H113)),1,"")</f>
        <v/>
      </c>
      <c r="S113" s="319">
        <f>IF(OR(ISNUMBER(SEARCH("목2",$H113)),ISNUMBER(SEARCH("목1.2",$H113))),1,"")</f>
        <v/>
      </c>
      <c r="T113" s="319">
        <f>IF(OR(ISNUMBER(SEARCH("목3",$H113)),ISNUMBER(SEARCH("목1.3",$H113)),ISNUMBER(SEARCH("목2.3",$H113)),ISNUMBER(SEARCH("목1.2.3",$H113))),1,"")</f>
        <v/>
      </c>
      <c r="U113" s="319">
        <f>IF(ISNUMBER(SEARCH("금1",$H113)),1,"")</f>
        <v/>
      </c>
      <c r="V113" s="319">
        <f>IF(OR(ISNUMBER(SEARCH("금2",$H113)),ISNUMBER(SEARCH("금1.2",$H113))),1,"")</f>
        <v/>
      </c>
      <c r="W113" s="319">
        <f>IF(OR(ISNUMBER(SEARCH("금3",$H113)),ISNUMBER(SEARCH("금1.3",$H113)),ISNUMBER(SEARCH("금2.3",$H113)),ISNUMBER(SEARCH("금1.2.3",$H113))),1,"")</f>
        <v/>
      </c>
      <c r="X113" s="319">
        <f>IF(ISNUMBER(SEARCH("토1",$H113)),1,"")</f>
        <v/>
      </c>
      <c r="Y113" s="319">
        <f>IF(OR(ISNUMBER(SEARCH("토2",$H113)),ISNUMBER(SEARCH("토1.2",$H113))),1,"")</f>
        <v/>
      </c>
      <c r="Z113" s="319">
        <f>IF(OR(ISNUMBER(SEARCH("토3",$H113)),ISNUMBER(SEARCH("토1.3",$H113)),ISNUMBER(SEARCH("토2.3",$H113)),ISNUMBER(SEARCH("토1.2.3",$H113))),1,"")</f>
        <v/>
      </c>
      <c r="AA113" s="319">
        <f>IF(ISNUMBER(SEARCH("일1",$H113)),1,"")</f>
        <v/>
      </c>
      <c r="AB113" s="319">
        <f>IF(OR(ISNUMBER(SEARCH("일2",$H113)),ISNUMBER(SEARCH("일1.2",$H113))),1,"")</f>
        <v/>
      </c>
      <c r="AC113" s="319">
        <f>IF(OR(ISNUMBER(SEARCH("일3",$H113)),ISNUMBER(SEARCH("일1.3",$H113)),ISNUMBER(SEARCH("일2.3",$H113)),ISNUMBER(SEARCH("일1.2.3",$H113))),1,"")</f>
        <v/>
      </c>
      <c r="AD113" s="319">
        <f>SUM(I113:AC113)</f>
        <v/>
      </c>
      <c r="AE113" s="323" t="n"/>
    </row>
    <row r="114" ht="24" customHeight="1">
      <c r="A114" s="168" t="n"/>
      <c r="B114" s="319" t="n"/>
      <c r="C114" s="319" t="n"/>
      <c r="D114" s="319" t="n"/>
      <c r="E114" s="341" t="n"/>
      <c r="F114" s="341" t="n"/>
      <c r="G114" s="342" t="n"/>
      <c r="H114" s="322" t="n"/>
      <c r="I114" s="319">
        <f>IF(ISNUMBER(SEARCH("월1",$H114)),1,"")</f>
        <v/>
      </c>
      <c r="J114" s="319">
        <f>IF(OR(ISNUMBER(SEARCH("월2",$H114)),ISNUMBER(SEARCH("월1.2",$H114))),1,"")</f>
        <v/>
      </c>
      <c r="K114" s="319">
        <f>IF(OR(ISNUMBER(SEARCH("월3",$H114)),ISNUMBER(SEARCH("월1.3",$H114)),ISNUMBER(SEARCH("월2.3",$H114)),ISNUMBER(SEARCH("월1.2.3",$H114))),1,"")</f>
        <v/>
      </c>
      <c r="L114" s="319">
        <f>IF(ISNUMBER(SEARCH("화1",$H114)),1,"")</f>
        <v/>
      </c>
      <c r="M114" s="319">
        <f>IF(OR(ISNUMBER(SEARCH("화2",$H114)),ISNUMBER(SEARCH("화1.2",$H114))),1,"")</f>
        <v/>
      </c>
      <c r="N114" s="319">
        <f>IF(OR(ISNUMBER(SEARCH("화3",$H114)),ISNUMBER(SEARCH("화1.3",$H114)),ISNUMBER(SEARCH("화2.3",$H114)),ISNUMBER(SEARCH("화1.2.3",$H114))),1,"")</f>
        <v/>
      </c>
      <c r="O114" s="319">
        <f>IF(ISNUMBER(SEARCH("수1",$H114)),1,"")</f>
        <v/>
      </c>
      <c r="P114" s="319">
        <f>IF(OR(ISNUMBER(SEARCH("수2",$H114)),ISNUMBER(SEARCH("수1.2",$H114))),1,"")</f>
        <v/>
      </c>
      <c r="Q114" s="319">
        <f>IF(OR(ISNUMBER(SEARCH("수3",$H114)),ISNUMBER(SEARCH("수1.3",$H114)),ISNUMBER(SEARCH("수2.3",$H114)),ISNUMBER(SEARCH("수1.2.3",$H114))),1,"")</f>
        <v/>
      </c>
      <c r="R114" s="319">
        <f>IF(ISNUMBER(SEARCH("목1",$H114)),1,"")</f>
        <v/>
      </c>
      <c r="S114" s="319">
        <f>IF(OR(ISNUMBER(SEARCH("목2",$H114)),ISNUMBER(SEARCH("목1.2",$H114))),1,"")</f>
        <v/>
      </c>
      <c r="T114" s="319">
        <f>IF(OR(ISNUMBER(SEARCH("목3",$H114)),ISNUMBER(SEARCH("목1.3",$H114)),ISNUMBER(SEARCH("목2.3",$H114)),ISNUMBER(SEARCH("목1.2.3",$H114))),1,"")</f>
        <v/>
      </c>
      <c r="U114" s="319">
        <f>IF(ISNUMBER(SEARCH("금1",$H114)),1,"")</f>
        <v/>
      </c>
      <c r="V114" s="319">
        <f>IF(OR(ISNUMBER(SEARCH("금2",$H114)),ISNUMBER(SEARCH("금1.2",$H114))),1,"")</f>
        <v/>
      </c>
      <c r="W114" s="319">
        <f>IF(OR(ISNUMBER(SEARCH("금3",$H114)),ISNUMBER(SEARCH("금1.3",$H114)),ISNUMBER(SEARCH("금2.3",$H114)),ISNUMBER(SEARCH("금1.2.3",$H114))),1,"")</f>
        <v/>
      </c>
      <c r="X114" s="319">
        <f>IF(ISNUMBER(SEARCH("토1",$H114)),1,"")</f>
        <v/>
      </c>
      <c r="Y114" s="319">
        <f>IF(OR(ISNUMBER(SEARCH("토2",$H114)),ISNUMBER(SEARCH("토1.2",$H114))),1,"")</f>
        <v/>
      </c>
      <c r="Z114" s="319">
        <f>IF(OR(ISNUMBER(SEARCH("토3",$H114)),ISNUMBER(SEARCH("토1.3",$H114)),ISNUMBER(SEARCH("토2.3",$H114)),ISNUMBER(SEARCH("토1.2.3",$H114))),1,"")</f>
        <v/>
      </c>
      <c r="AA114" s="319">
        <f>IF(ISNUMBER(SEARCH("일1",$H114)),1,"")</f>
        <v/>
      </c>
      <c r="AB114" s="319">
        <f>IF(OR(ISNUMBER(SEARCH("일2",$H114)),ISNUMBER(SEARCH("일1.2",$H114))),1,"")</f>
        <v/>
      </c>
      <c r="AC114" s="319">
        <f>IF(OR(ISNUMBER(SEARCH("일3",$H114)),ISNUMBER(SEARCH("일1.3",$H114)),ISNUMBER(SEARCH("일2.3",$H114)),ISNUMBER(SEARCH("일1.2.3",$H114))),1,"")</f>
        <v/>
      </c>
      <c r="AD114" s="319">
        <f>SUM(I114:AC114)</f>
        <v/>
      </c>
      <c r="AE114" s="323" t="n"/>
    </row>
    <row r="115" ht="24" customHeight="1">
      <c r="A115" s="168" t="n"/>
      <c r="B115" s="319" t="n"/>
      <c r="C115" s="319" t="n"/>
      <c r="D115" s="319" t="n"/>
      <c r="E115" s="341" t="n"/>
      <c r="F115" s="341" t="n"/>
      <c r="G115" s="342" t="n"/>
      <c r="H115" s="322" t="n"/>
      <c r="I115" s="319">
        <f>IF(ISNUMBER(SEARCH("월1",$H115)),1,"")</f>
        <v/>
      </c>
      <c r="J115" s="319">
        <f>IF(OR(ISNUMBER(SEARCH("월2",$H115)),ISNUMBER(SEARCH("월1.2",$H115))),1,"")</f>
        <v/>
      </c>
      <c r="K115" s="319">
        <f>IF(OR(ISNUMBER(SEARCH("월3",$H115)),ISNUMBER(SEARCH("월1.3",$H115)),ISNUMBER(SEARCH("월2.3",$H115)),ISNUMBER(SEARCH("월1.2.3",$H115))),1,"")</f>
        <v/>
      </c>
      <c r="L115" s="319">
        <f>IF(ISNUMBER(SEARCH("화1",$H115)),1,"")</f>
        <v/>
      </c>
      <c r="M115" s="319">
        <f>IF(OR(ISNUMBER(SEARCH("화2",$H115)),ISNUMBER(SEARCH("화1.2",$H115))),1,"")</f>
        <v/>
      </c>
      <c r="N115" s="319">
        <f>IF(OR(ISNUMBER(SEARCH("화3",$H115)),ISNUMBER(SEARCH("화1.3",$H115)),ISNUMBER(SEARCH("화2.3",$H115)),ISNUMBER(SEARCH("화1.2.3",$H115))),1,"")</f>
        <v/>
      </c>
      <c r="O115" s="319">
        <f>IF(ISNUMBER(SEARCH("수1",$H115)),1,"")</f>
        <v/>
      </c>
      <c r="P115" s="319">
        <f>IF(OR(ISNUMBER(SEARCH("수2",$H115)),ISNUMBER(SEARCH("수1.2",$H115))),1,"")</f>
        <v/>
      </c>
      <c r="Q115" s="319">
        <f>IF(OR(ISNUMBER(SEARCH("수3",$H115)),ISNUMBER(SEARCH("수1.3",$H115)),ISNUMBER(SEARCH("수2.3",$H115)),ISNUMBER(SEARCH("수1.2.3",$H115))),1,"")</f>
        <v/>
      </c>
      <c r="R115" s="319">
        <f>IF(ISNUMBER(SEARCH("목1",$H115)),1,"")</f>
        <v/>
      </c>
      <c r="S115" s="319">
        <f>IF(OR(ISNUMBER(SEARCH("목2",$H115)),ISNUMBER(SEARCH("목1.2",$H115))),1,"")</f>
        <v/>
      </c>
      <c r="T115" s="319">
        <f>IF(OR(ISNUMBER(SEARCH("목3",$H115)),ISNUMBER(SEARCH("목1.3",$H115)),ISNUMBER(SEARCH("목2.3",$H115)),ISNUMBER(SEARCH("목1.2.3",$H115))),1,"")</f>
        <v/>
      </c>
      <c r="U115" s="319">
        <f>IF(ISNUMBER(SEARCH("금1",$H115)),1,"")</f>
        <v/>
      </c>
      <c r="V115" s="319">
        <f>IF(OR(ISNUMBER(SEARCH("금2",$H115)),ISNUMBER(SEARCH("금1.2",$H115))),1,"")</f>
        <v/>
      </c>
      <c r="W115" s="319">
        <f>IF(OR(ISNUMBER(SEARCH("금3",$H115)),ISNUMBER(SEARCH("금1.3",$H115)),ISNUMBER(SEARCH("금2.3",$H115)),ISNUMBER(SEARCH("금1.2.3",$H115))),1,"")</f>
        <v/>
      </c>
      <c r="X115" s="319">
        <f>IF(ISNUMBER(SEARCH("토1",$H115)),1,"")</f>
        <v/>
      </c>
      <c r="Y115" s="319">
        <f>IF(OR(ISNUMBER(SEARCH("토2",$H115)),ISNUMBER(SEARCH("토1.2",$H115))),1,"")</f>
        <v/>
      </c>
      <c r="Z115" s="319">
        <f>IF(OR(ISNUMBER(SEARCH("토3",$H115)),ISNUMBER(SEARCH("토1.3",$H115)),ISNUMBER(SEARCH("토2.3",$H115)),ISNUMBER(SEARCH("토1.2.3",$H115))),1,"")</f>
        <v/>
      </c>
      <c r="AA115" s="319">
        <f>IF(ISNUMBER(SEARCH("일1",$H115)),1,"")</f>
        <v/>
      </c>
      <c r="AB115" s="319">
        <f>IF(OR(ISNUMBER(SEARCH("일2",$H115)),ISNUMBER(SEARCH("일1.2",$H115))),1,"")</f>
        <v/>
      </c>
      <c r="AC115" s="319">
        <f>IF(OR(ISNUMBER(SEARCH("일3",$H115)),ISNUMBER(SEARCH("일1.3",$H115)),ISNUMBER(SEARCH("일2.3",$H115)),ISNUMBER(SEARCH("일1.2.3",$H115))),1,"")</f>
        <v/>
      </c>
      <c r="AD115" s="319">
        <f>SUM(I115:AC115)</f>
        <v/>
      </c>
      <c r="AE115" s="323" t="n"/>
    </row>
    <row r="116" ht="24" customHeight="1">
      <c r="A116" s="168" t="n"/>
      <c r="B116" s="319" t="n"/>
      <c r="C116" s="319" t="n"/>
      <c r="D116" s="319" t="n"/>
      <c r="E116" s="341" t="n"/>
      <c r="F116" s="341" t="n"/>
      <c r="G116" s="342" t="n"/>
      <c r="H116" s="322" t="n"/>
      <c r="I116" s="319">
        <f>IF(ISNUMBER(SEARCH("월1",$H116)),1,"")</f>
        <v/>
      </c>
      <c r="J116" s="319">
        <f>IF(OR(ISNUMBER(SEARCH("월2",$H116)),ISNUMBER(SEARCH("월1.2",$H116))),1,"")</f>
        <v/>
      </c>
      <c r="K116" s="319">
        <f>IF(OR(ISNUMBER(SEARCH("월3",$H116)),ISNUMBER(SEARCH("월1.3",$H116)),ISNUMBER(SEARCH("월2.3",$H116)),ISNUMBER(SEARCH("월1.2.3",$H116))),1,"")</f>
        <v/>
      </c>
      <c r="L116" s="319">
        <f>IF(ISNUMBER(SEARCH("화1",$H116)),1,"")</f>
        <v/>
      </c>
      <c r="M116" s="319">
        <f>IF(OR(ISNUMBER(SEARCH("화2",$H116)),ISNUMBER(SEARCH("화1.2",$H116))),1,"")</f>
        <v/>
      </c>
      <c r="N116" s="319">
        <f>IF(OR(ISNUMBER(SEARCH("화3",$H116)),ISNUMBER(SEARCH("화1.3",$H116)),ISNUMBER(SEARCH("화2.3",$H116)),ISNUMBER(SEARCH("화1.2.3",$H116))),1,"")</f>
        <v/>
      </c>
      <c r="O116" s="319">
        <f>IF(ISNUMBER(SEARCH("수1",$H116)),1,"")</f>
        <v/>
      </c>
      <c r="P116" s="319">
        <f>IF(OR(ISNUMBER(SEARCH("수2",$H116)),ISNUMBER(SEARCH("수1.2",$H116))),1,"")</f>
        <v/>
      </c>
      <c r="Q116" s="319">
        <f>IF(OR(ISNUMBER(SEARCH("수3",$H116)),ISNUMBER(SEARCH("수1.3",$H116)),ISNUMBER(SEARCH("수2.3",$H116)),ISNUMBER(SEARCH("수1.2.3",$H116))),1,"")</f>
        <v/>
      </c>
      <c r="R116" s="319">
        <f>IF(ISNUMBER(SEARCH("목1",$H116)),1,"")</f>
        <v/>
      </c>
      <c r="S116" s="319">
        <f>IF(OR(ISNUMBER(SEARCH("목2",$H116)),ISNUMBER(SEARCH("목1.2",$H116))),1,"")</f>
        <v/>
      </c>
      <c r="T116" s="319">
        <f>IF(OR(ISNUMBER(SEARCH("목3",$H116)),ISNUMBER(SEARCH("목1.3",$H116)),ISNUMBER(SEARCH("목2.3",$H116)),ISNUMBER(SEARCH("목1.2.3",$H116))),1,"")</f>
        <v/>
      </c>
      <c r="U116" s="319">
        <f>IF(ISNUMBER(SEARCH("금1",$H116)),1,"")</f>
        <v/>
      </c>
      <c r="V116" s="319">
        <f>IF(OR(ISNUMBER(SEARCH("금2",$H116)),ISNUMBER(SEARCH("금1.2",$H116))),1,"")</f>
        <v/>
      </c>
      <c r="W116" s="319">
        <f>IF(OR(ISNUMBER(SEARCH("금3",$H116)),ISNUMBER(SEARCH("금1.3",$H116)),ISNUMBER(SEARCH("금2.3",$H116)),ISNUMBER(SEARCH("금1.2.3",$H116))),1,"")</f>
        <v/>
      </c>
      <c r="X116" s="319">
        <f>IF(ISNUMBER(SEARCH("토1",$H116)),1,"")</f>
        <v/>
      </c>
      <c r="Y116" s="319">
        <f>IF(OR(ISNUMBER(SEARCH("토2",$H116)),ISNUMBER(SEARCH("토1.2",$H116))),1,"")</f>
        <v/>
      </c>
      <c r="Z116" s="319">
        <f>IF(OR(ISNUMBER(SEARCH("토3",$H116)),ISNUMBER(SEARCH("토1.3",$H116)),ISNUMBER(SEARCH("토2.3",$H116)),ISNUMBER(SEARCH("토1.2.3",$H116))),1,"")</f>
        <v/>
      </c>
      <c r="AA116" s="319">
        <f>IF(ISNUMBER(SEARCH("일1",$H116)),1,"")</f>
        <v/>
      </c>
      <c r="AB116" s="319">
        <f>IF(OR(ISNUMBER(SEARCH("일2",$H116)),ISNUMBER(SEARCH("일1.2",$H116))),1,"")</f>
        <v/>
      </c>
      <c r="AC116" s="319">
        <f>IF(OR(ISNUMBER(SEARCH("일3",$H116)),ISNUMBER(SEARCH("일1.3",$H116)),ISNUMBER(SEARCH("일2.3",$H116)),ISNUMBER(SEARCH("일1.2.3",$H116))),1,"")</f>
        <v/>
      </c>
      <c r="AD116" s="319">
        <f>SUM(I116:AC116)</f>
        <v/>
      </c>
      <c r="AE116" s="323" t="n"/>
    </row>
    <row r="117" ht="24" customHeight="1">
      <c r="A117" s="168" t="n"/>
      <c r="B117" s="319" t="n"/>
      <c r="C117" s="319" t="n"/>
      <c r="D117" s="319" t="n"/>
      <c r="E117" s="341" t="n"/>
      <c r="F117" s="341" t="n"/>
      <c r="G117" s="342" t="n"/>
      <c r="H117" s="322" t="n"/>
      <c r="I117" s="319">
        <f>IF(ISNUMBER(SEARCH("월1",$H117)),1,"")</f>
        <v/>
      </c>
      <c r="J117" s="319">
        <f>IF(OR(ISNUMBER(SEARCH("월2",$H117)),ISNUMBER(SEARCH("월1.2",$H117))),1,"")</f>
        <v/>
      </c>
      <c r="K117" s="319">
        <f>IF(OR(ISNUMBER(SEARCH("월3",$H117)),ISNUMBER(SEARCH("월1.3",$H117)),ISNUMBER(SEARCH("월2.3",$H117)),ISNUMBER(SEARCH("월1.2.3",$H117))),1,"")</f>
        <v/>
      </c>
      <c r="L117" s="319">
        <f>IF(ISNUMBER(SEARCH("화1",$H117)),1,"")</f>
        <v/>
      </c>
      <c r="M117" s="319">
        <f>IF(OR(ISNUMBER(SEARCH("화2",$H117)),ISNUMBER(SEARCH("화1.2",$H117))),1,"")</f>
        <v/>
      </c>
      <c r="N117" s="319">
        <f>IF(OR(ISNUMBER(SEARCH("화3",$H117)),ISNUMBER(SEARCH("화1.3",$H117)),ISNUMBER(SEARCH("화2.3",$H117)),ISNUMBER(SEARCH("화1.2.3",$H117))),1,"")</f>
        <v/>
      </c>
      <c r="O117" s="319">
        <f>IF(ISNUMBER(SEARCH("수1",$H117)),1,"")</f>
        <v/>
      </c>
      <c r="P117" s="319">
        <f>IF(OR(ISNUMBER(SEARCH("수2",$H117)),ISNUMBER(SEARCH("수1.2",$H117))),1,"")</f>
        <v/>
      </c>
      <c r="Q117" s="319">
        <f>IF(OR(ISNUMBER(SEARCH("수3",$H117)),ISNUMBER(SEARCH("수1.3",$H117)),ISNUMBER(SEARCH("수2.3",$H117)),ISNUMBER(SEARCH("수1.2.3",$H117))),1,"")</f>
        <v/>
      </c>
      <c r="R117" s="319">
        <f>IF(ISNUMBER(SEARCH("목1",$H117)),1,"")</f>
        <v/>
      </c>
      <c r="S117" s="319">
        <f>IF(OR(ISNUMBER(SEARCH("목2",$H117)),ISNUMBER(SEARCH("목1.2",$H117))),1,"")</f>
        <v/>
      </c>
      <c r="T117" s="319">
        <f>IF(OR(ISNUMBER(SEARCH("목3",$H117)),ISNUMBER(SEARCH("목1.3",$H117)),ISNUMBER(SEARCH("목2.3",$H117)),ISNUMBER(SEARCH("목1.2.3",$H117))),1,"")</f>
        <v/>
      </c>
      <c r="U117" s="319">
        <f>IF(ISNUMBER(SEARCH("금1",$H117)),1,"")</f>
        <v/>
      </c>
      <c r="V117" s="319">
        <f>IF(OR(ISNUMBER(SEARCH("금2",$H117)),ISNUMBER(SEARCH("금1.2",$H117))),1,"")</f>
        <v/>
      </c>
      <c r="W117" s="319">
        <f>IF(OR(ISNUMBER(SEARCH("금3",$H117)),ISNUMBER(SEARCH("금1.3",$H117)),ISNUMBER(SEARCH("금2.3",$H117)),ISNUMBER(SEARCH("금1.2.3",$H117))),1,"")</f>
        <v/>
      </c>
      <c r="X117" s="319">
        <f>IF(ISNUMBER(SEARCH("토1",$H117)),1,"")</f>
        <v/>
      </c>
      <c r="Y117" s="319">
        <f>IF(OR(ISNUMBER(SEARCH("토2",$H117)),ISNUMBER(SEARCH("토1.2",$H117))),1,"")</f>
        <v/>
      </c>
      <c r="Z117" s="319">
        <f>IF(OR(ISNUMBER(SEARCH("토3",$H117)),ISNUMBER(SEARCH("토1.3",$H117)),ISNUMBER(SEARCH("토2.3",$H117)),ISNUMBER(SEARCH("토1.2.3",$H117))),1,"")</f>
        <v/>
      </c>
      <c r="AA117" s="319">
        <f>IF(ISNUMBER(SEARCH("일1",$H117)),1,"")</f>
        <v/>
      </c>
      <c r="AB117" s="319">
        <f>IF(OR(ISNUMBER(SEARCH("일2",$H117)),ISNUMBER(SEARCH("일1.2",$H117))),1,"")</f>
        <v/>
      </c>
      <c r="AC117" s="319">
        <f>IF(OR(ISNUMBER(SEARCH("일3",$H117)),ISNUMBER(SEARCH("일1.3",$H117)),ISNUMBER(SEARCH("일2.3",$H117)),ISNUMBER(SEARCH("일1.2.3",$H117))),1,"")</f>
        <v/>
      </c>
      <c r="AD117" s="319">
        <f>SUM(I117:AC117)</f>
        <v/>
      </c>
      <c r="AE117" s="323" t="n"/>
    </row>
    <row r="118" ht="24" customHeight="1">
      <c r="A118" s="168" t="n"/>
      <c r="B118" s="319" t="n"/>
      <c r="C118" s="319" t="n"/>
      <c r="D118" s="319" t="n"/>
      <c r="E118" s="341" t="n"/>
      <c r="F118" s="341" t="n"/>
      <c r="G118" s="342" t="n"/>
      <c r="H118" s="322" t="n"/>
      <c r="I118" s="319">
        <f>IF(ISNUMBER(SEARCH("월1",$H118)),1,"")</f>
        <v/>
      </c>
      <c r="J118" s="319">
        <f>IF(OR(ISNUMBER(SEARCH("월2",$H118)),ISNUMBER(SEARCH("월1.2",$H118))),1,"")</f>
        <v/>
      </c>
      <c r="K118" s="319">
        <f>IF(OR(ISNUMBER(SEARCH("월3",$H118)),ISNUMBER(SEARCH("월1.3",$H118)),ISNUMBER(SEARCH("월2.3",$H118)),ISNUMBER(SEARCH("월1.2.3",$H118))),1,"")</f>
        <v/>
      </c>
      <c r="L118" s="319">
        <f>IF(ISNUMBER(SEARCH("화1",$H118)),1,"")</f>
        <v/>
      </c>
      <c r="M118" s="319">
        <f>IF(OR(ISNUMBER(SEARCH("화2",$H118)),ISNUMBER(SEARCH("화1.2",$H118))),1,"")</f>
        <v/>
      </c>
      <c r="N118" s="319">
        <f>IF(OR(ISNUMBER(SEARCH("화3",$H118)),ISNUMBER(SEARCH("화1.3",$H118)),ISNUMBER(SEARCH("화2.3",$H118)),ISNUMBER(SEARCH("화1.2.3",$H118))),1,"")</f>
        <v/>
      </c>
      <c r="O118" s="319">
        <f>IF(ISNUMBER(SEARCH("수1",$H118)),1,"")</f>
        <v/>
      </c>
      <c r="P118" s="319">
        <f>IF(OR(ISNUMBER(SEARCH("수2",$H118)),ISNUMBER(SEARCH("수1.2",$H118))),1,"")</f>
        <v/>
      </c>
      <c r="Q118" s="319">
        <f>IF(OR(ISNUMBER(SEARCH("수3",$H118)),ISNUMBER(SEARCH("수1.3",$H118)),ISNUMBER(SEARCH("수2.3",$H118)),ISNUMBER(SEARCH("수1.2.3",$H118))),1,"")</f>
        <v/>
      </c>
      <c r="R118" s="319">
        <f>IF(ISNUMBER(SEARCH("목1",$H118)),1,"")</f>
        <v/>
      </c>
      <c r="S118" s="319">
        <f>IF(OR(ISNUMBER(SEARCH("목2",$H118)),ISNUMBER(SEARCH("목1.2",$H118))),1,"")</f>
        <v/>
      </c>
      <c r="T118" s="319">
        <f>IF(OR(ISNUMBER(SEARCH("목3",$H118)),ISNUMBER(SEARCH("목1.3",$H118)),ISNUMBER(SEARCH("목2.3",$H118)),ISNUMBER(SEARCH("목1.2.3",$H118))),1,"")</f>
        <v/>
      </c>
      <c r="U118" s="319">
        <f>IF(ISNUMBER(SEARCH("금1",$H118)),1,"")</f>
        <v/>
      </c>
      <c r="V118" s="319">
        <f>IF(OR(ISNUMBER(SEARCH("금2",$H118)),ISNUMBER(SEARCH("금1.2",$H118))),1,"")</f>
        <v/>
      </c>
      <c r="W118" s="319">
        <f>IF(OR(ISNUMBER(SEARCH("금3",$H118)),ISNUMBER(SEARCH("금1.3",$H118)),ISNUMBER(SEARCH("금2.3",$H118)),ISNUMBER(SEARCH("금1.2.3",$H118))),1,"")</f>
        <v/>
      </c>
      <c r="X118" s="319">
        <f>IF(ISNUMBER(SEARCH("토1",$H118)),1,"")</f>
        <v/>
      </c>
      <c r="Y118" s="319">
        <f>IF(OR(ISNUMBER(SEARCH("토2",$H118)),ISNUMBER(SEARCH("토1.2",$H118))),1,"")</f>
        <v/>
      </c>
      <c r="Z118" s="319">
        <f>IF(OR(ISNUMBER(SEARCH("토3",$H118)),ISNUMBER(SEARCH("토1.3",$H118)),ISNUMBER(SEARCH("토2.3",$H118)),ISNUMBER(SEARCH("토1.2.3",$H118))),1,"")</f>
        <v/>
      </c>
      <c r="AA118" s="319">
        <f>IF(ISNUMBER(SEARCH("일1",$H118)),1,"")</f>
        <v/>
      </c>
      <c r="AB118" s="319">
        <f>IF(OR(ISNUMBER(SEARCH("일2",$H118)),ISNUMBER(SEARCH("일1.2",$H118))),1,"")</f>
        <v/>
      </c>
      <c r="AC118" s="319">
        <f>IF(OR(ISNUMBER(SEARCH("일3",$H118)),ISNUMBER(SEARCH("일1.3",$H118)),ISNUMBER(SEARCH("일2.3",$H118)),ISNUMBER(SEARCH("일1.2.3",$H118))),1,"")</f>
        <v/>
      </c>
      <c r="AD118" s="319">
        <f>SUM(I118:AC118)</f>
        <v/>
      </c>
      <c r="AE118" s="323" t="n"/>
    </row>
    <row r="119" ht="24" customHeight="1">
      <c r="A119" s="168" t="n"/>
      <c r="B119" s="319" t="n"/>
      <c r="C119" s="319" t="n"/>
      <c r="D119" s="319" t="n"/>
      <c r="E119" s="341" t="n"/>
      <c r="F119" s="341" t="n"/>
      <c r="G119" s="342" t="n"/>
      <c r="H119" s="322" t="n"/>
      <c r="I119" s="319">
        <f>IF(ISNUMBER(SEARCH("월1",$H119)),1,"")</f>
        <v/>
      </c>
      <c r="J119" s="319">
        <f>IF(OR(ISNUMBER(SEARCH("월2",$H119)),ISNUMBER(SEARCH("월1.2",$H119))),1,"")</f>
        <v/>
      </c>
      <c r="K119" s="319">
        <f>IF(OR(ISNUMBER(SEARCH("월3",$H119)),ISNUMBER(SEARCH("월1.3",$H119)),ISNUMBER(SEARCH("월2.3",$H119)),ISNUMBER(SEARCH("월1.2.3",$H119))),1,"")</f>
        <v/>
      </c>
      <c r="L119" s="319">
        <f>IF(ISNUMBER(SEARCH("화1",$H119)),1,"")</f>
        <v/>
      </c>
      <c r="M119" s="319">
        <f>IF(OR(ISNUMBER(SEARCH("화2",$H119)),ISNUMBER(SEARCH("화1.2",$H119))),1,"")</f>
        <v/>
      </c>
      <c r="N119" s="319">
        <f>IF(OR(ISNUMBER(SEARCH("화3",$H119)),ISNUMBER(SEARCH("화1.3",$H119)),ISNUMBER(SEARCH("화2.3",$H119)),ISNUMBER(SEARCH("화1.2.3",$H119))),1,"")</f>
        <v/>
      </c>
      <c r="O119" s="319">
        <f>IF(ISNUMBER(SEARCH("수1",$H119)),1,"")</f>
        <v/>
      </c>
      <c r="P119" s="319">
        <f>IF(OR(ISNUMBER(SEARCH("수2",$H119)),ISNUMBER(SEARCH("수1.2",$H119))),1,"")</f>
        <v/>
      </c>
      <c r="Q119" s="319">
        <f>IF(OR(ISNUMBER(SEARCH("수3",$H119)),ISNUMBER(SEARCH("수1.3",$H119)),ISNUMBER(SEARCH("수2.3",$H119)),ISNUMBER(SEARCH("수1.2.3",$H119))),1,"")</f>
        <v/>
      </c>
      <c r="R119" s="319">
        <f>IF(ISNUMBER(SEARCH("목1",$H119)),1,"")</f>
        <v/>
      </c>
      <c r="S119" s="319">
        <f>IF(OR(ISNUMBER(SEARCH("목2",$H119)),ISNUMBER(SEARCH("목1.2",$H119))),1,"")</f>
        <v/>
      </c>
      <c r="T119" s="319">
        <f>IF(OR(ISNUMBER(SEARCH("목3",$H119)),ISNUMBER(SEARCH("목1.3",$H119)),ISNUMBER(SEARCH("목2.3",$H119)),ISNUMBER(SEARCH("목1.2.3",$H119))),1,"")</f>
        <v/>
      </c>
      <c r="U119" s="319">
        <f>IF(ISNUMBER(SEARCH("금1",$H119)),1,"")</f>
        <v/>
      </c>
      <c r="V119" s="319">
        <f>IF(OR(ISNUMBER(SEARCH("금2",$H119)),ISNUMBER(SEARCH("금1.2",$H119))),1,"")</f>
        <v/>
      </c>
      <c r="W119" s="319">
        <f>IF(OR(ISNUMBER(SEARCH("금3",$H119)),ISNUMBER(SEARCH("금1.3",$H119)),ISNUMBER(SEARCH("금2.3",$H119)),ISNUMBER(SEARCH("금1.2.3",$H119))),1,"")</f>
        <v/>
      </c>
      <c r="X119" s="319">
        <f>IF(ISNUMBER(SEARCH("토1",$H119)),1,"")</f>
        <v/>
      </c>
      <c r="Y119" s="319">
        <f>IF(OR(ISNUMBER(SEARCH("토2",$H119)),ISNUMBER(SEARCH("토1.2",$H119))),1,"")</f>
        <v/>
      </c>
      <c r="Z119" s="319">
        <f>IF(OR(ISNUMBER(SEARCH("토3",$H119)),ISNUMBER(SEARCH("토1.3",$H119)),ISNUMBER(SEARCH("토2.3",$H119)),ISNUMBER(SEARCH("토1.2.3",$H119))),1,"")</f>
        <v/>
      </c>
      <c r="AA119" s="319">
        <f>IF(ISNUMBER(SEARCH("일1",$H119)),1,"")</f>
        <v/>
      </c>
      <c r="AB119" s="319">
        <f>IF(OR(ISNUMBER(SEARCH("일2",$H119)),ISNUMBER(SEARCH("일1.2",$H119))),1,"")</f>
        <v/>
      </c>
      <c r="AC119" s="319">
        <f>IF(OR(ISNUMBER(SEARCH("일3",$H119)),ISNUMBER(SEARCH("일1.3",$H119)),ISNUMBER(SEARCH("일2.3",$H119)),ISNUMBER(SEARCH("일1.2.3",$H119))),1,"")</f>
        <v/>
      </c>
      <c r="AD119" s="319">
        <f>SUM(I119:AC119)</f>
        <v/>
      </c>
      <c r="AE119" s="323" t="n"/>
    </row>
    <row r="120" ht="24" customHeight="1">
      <c r="A120" s="168" t="n"/>
      <c r="B120" s="319" t="n"/>
      <c r="C120" s="319" t="n"/>
      <c r="D120" s="319" t="n"/>
      <c r="E120" s="341" t="n"/>
      <c r="F120" s="341" t="n"/>
      <c r="G120" s="342" t="n"/>
      <c r="H120" s="322" t="n"/>
      <c r="I120" s="319">
        <f>IF(ISNUMBER(SEARCH("월1",$H120)),1,"")</f>
        <v/>
      </c>
      <c r="J120" s="319">
        <f>IF(OR(ISNUMBER(SEARCH("월2",$H120)),ISNUMBER(SEARCH("월1.2",$H120))),1,"")</f>
        <v/>
      </c>
      <c r="K120" s="319">
        <f>IF(OR(ISNUMBER(SEARCH("월3",$H120)),ISNUMBER(SEARCH("월1.3",$H120)),ISNUMBER(SEARCH("월2.3",$H120)),ISNUMBER(SEARCH("월1.2.3",$H120))),1,"")</f>
        <v/>
      </c>
      <c r="L120" s="319">
        <f>IF(ISNUMBER(SEARCH("화1",$H120)),1,"")</f>
        <v/>
      </c>
      <c r="M120" s="319">
        <f>IF(OR(ISNUMBER(SEARCH("화2",$H120)),ISNUMBER(SEARCH("화1.2",$H120))),1,"")</f>
        <v/>
      </c>
      <c r="N120" s="319">
        <f>IF(OR(ISNUMBER(SEARCH("화3",$H120)),ISNUMBER(SEARCH("화1.3",$H120)),ISNUMBER(SEARCH("화2.3",$H120)),ISNUMBER(SEARCH("화1.2.3",$H120))),1,"")</f>
        <v/>
      </c>
      <c r="O120" s="319">
        <f>IF(ISNUMBER(SEARCH("수1",$H120)),1,"")</f>
        <v/>
      </c>
      <c r="P120" s="319">
        <f>IF(OR(ISNUMBER(SEARCH("수2",$H120)),ISNUMBER(SEARCH("수1.2",$H120))),1,"")</f>
        <v/>
      </c>
      <c r="Q120" s="319">
        <f>IF(OR(ISNUMBER(SEARCH("수3",$H120)),ISNUMBER(SEARCH("수1.3",$H120)),ISNUMBER(SEARCH("수2.3",$H120)),ISNUMBER(SEARCH("수1.2.3",$H120))),1,"")</f>
        <v/>
      </c>
      <c r="R120" s="319">
        <f>IF(ISNUMBER(SEARCH("목1",$H120)),1,"")</f>
        <v/>
      </c>
      <c r="S120" s="319">
        <f>IF(OR(ISNUMBER(SEARCH("목2",$H120)),ISNUMBER(SEARCH("목1.2",$H120))),1,"")</f>
        <v/>
      </c>
      <c r="T120" s="319">
        <f>IF(OR(ISNUMBER(SEARCH("목3",$H120)),ISNUMBER(SEARCH("목1.3",$H120)),ISNUMBER(SEARCH("목2.3",$H120)),ISNUMBER(SEARCH("목1.2.3",$H120))),1,"")</f>
        <v/>
      </c>
      <c r="U120" s="319">
        <f>IF(ISNUMBER(SEARCH("금1",$H120)),1,"")</f>
        <v/>
      </c>
      <c r="V120" s="319">
        <f>IF(OR(ISNUMBER(SEARCH("금2",$H120)),ISNUMBER(SEARCH("금1.2",$H120))),1,"")</f>
        <v/>
      </c>
      <c r="W120" s="319">
        <f>IF(OR(ISNUMBER(SEARCH("금3",$H120)),ISNUMBER(SEARCH("금1.3",$H120)),ISNUMBER(SEARCH("금2.3",$H120)),ISNUMBER(SEARCH("금1.2.3",$H120))),1,"")</f>
        <v/>
      </c>
      <c r="X120" s="319">
        <f>IF(ISNUMBER(SEARCH("토1",$H120)),1,"")</f>
        <v/>
      </c>
      <c r="Y120" s="319">
        <f>IF(OR(ISNUMBER(SEARCH("토2",$H120)),ISNUMBER(SEARCH("토1.2",$H120))),1,"")</f>
        <v/>
      </c>
      <c r="Z120" s="319">
        <f>IF(OR(ISNUMBER(SEARCH("토3",$H120)),ISNUMBER(SEARCH("토1.3",$H120)),ISNUMBER(SEARCH("토2.3",$H120)),ISNUMBER(SEARCH("토1.2.3",$H120))),1,"")</f>
        <v/>
      </c>
      <c r="AA120" s="319">
        <f>IF(ISNUMBER(SEARCH("일1",$H120)),1,"")</f>
        <v/>
      </c>
      <c r="AB120" s="319">
        <f>IF(OR(ISNUMBER(SEARCH("일2",$H120)),ISNUMBER(SEARCH("일1.2",$H120))),1,"")</f>
        <v/>
      </c>
      <c r="AC120" s="319">
        <f>IF(OR(ISNUMBER(SEARCH("일3",$H120)),ISNUMBER(SEARCH("일1.3",$H120)),ISNUMBER(SEARCH("일2.3",$H120)),ISNUMBER(SEARCH("일1.2.3",$H120))),1,"")</f>
        <v/>
      </c>
      <c r="AD120" s="319">
        <f>SUM(I120:AC120)</f>
        <v/>
      </c>
      <c r="AE120" s="323" t="n"/>
    </row>
    <row r="121" ht="24" customHeight="1">
      <c r="A121" s="168" t="n"/>
      <c r="B121" s="319" t="n"/>
      <c r="C121" s="319" t="n"/>
      <c r="D121" s="319" t="n"/>
      <c r="E121" s="341" t="n"/>
      <c r="F121" s="341" t="n"/>
      <c r="G121" s="342" t="n"/>
      <c r="H121" s="322" t="n"/>
      <c r="I121" s="319">
        <f>IF(ISNUMBER(SEARCH("월1",$H121)),1,"")</f>
        <v/>
      </c>
      <c r="J121" s="319">
        <f>IF(OR(ISNUMBER(SEARCH("월2",$H121)),ISNUMBER(SEARCH("월1.2",$H121))),1,"")</f>
        <v/>
      </c>
      <c r="K121" s="319">
        <f>IF(OR(ISNUMBER(SEARCH("월3",$H121)),ISNUMBER(SEARCH("월1.3",$H121)),ISNUMBER(SEARCH("월2.3",$H121)),ISNUMBER(SEARCH("월1.2.3",$H121))),1,"")</f>
        <v/>
      </c>
      <c r="L121" s="319">
        <f>IF(ISNUMBER(SEARCH("화1",$H121)),1,"")</f>
        <v/>
      </c>
      <c r="M121" s="319">
        <f>IF(OR(ISNUMBER(SEARCH("화2",$H121)),ISNUMBER(SEARCH("화1.2",$H121))),1,"")</f>
        <v/>
      </c>
      <c r="N121" s="319">
        <f>IF(OR(ISNUMBER(SEARCH("화3",$H121)),ISNUMBER(SEARCH("화1.3",$H121)),ISNUMBER(SEARCH("화2.3",$H121)),ISNUMBER(SEARCH("화1.2.3",$H121))),1,"")</f>
        <v/>
      </c>
      <c r="O121" s="319">
        <f>IF(ISNUMBER(SEARCH("수1",$H121)),1,"")</f>
        <v/>
      </c>
      <c r="P121" s="319">
        <f>IF(OR(ISNUMBER(SEARCH("수2",$H121)),ISNUMBER(SEARCH("수1.2",$H121))),1,"")</f>
        <v/>
      </c>
      <c r="Q121" s="319">
        <f>IF(OR(ISNUMBER(SEARCH("수3",$H121)),ISNUMBER(SEARCH("수1.3",$H121)),ISNUMBER(SEARCH("수2.3",$H121)),ISNUMBER(SEARCH("수1.2.3",$H121))),1,"")</f>
        <v/>
      </c>
      <c r="R121" s="319">
        <f>IF(ISNUMBER(SEARCH("목1",$H121)),1,"")</f>
        <v/>
      </c>
      <c r="S121" s="319">
        <f>IF(OR(ISNUMBER(SEARCH("목2",$H121)),ISNUMBER(SEARCH("목1.2",$H121))),1,"")</f>
        <v/>
      </c>
      <c r="T121" s="319">
        <f>IF(OR(ISNUMBER(SEARCH("목3",$H121)),ISNUMBER(SEARCH("목1.3",$H121)),ISNUMBER(SEARCH("목2.3",$H121)),ISNUMBER(SEARCH("목1.2.3",$H121))),1,"")</f>
        <v/>
      </c>
      <c r="U121" s="319">
        <f>IF(ISNUMBER(SEARCH("금1",$H121)),1,"")</f>
        <v/>
      </c>
      <c r="V121" s="319">
        <f>IF(OR(ISNUMBER(SEARCH("금2",$H121)),ISNUMBER(SEARCH("금1.2",$H121))),1,"")</f>
        <v/>
      </c>
      <c r="W121" s="319">
        <f>IF(OR(ISNUMBER(SEARCH("금3",$H121)),ISNUMBER(SEARCH("금1.3",$H121)),ISNUMBER(SEARCH("금2.3",$H121)),ISNUMBER(SEARCH("금1.2.3",$H121))),1,"")</f>
        <v/>
      </c>
      <c r="X121" s="319">
        <f>IF(ISNUMBER(SEARCH("토1",$H121)),1,"")</f>
        <v/>
      </c>
      <c r="Y121" s="319">
        <f>IF(OR(ISNUMBER(SEARCH("토2",$H121)),ISNUMBER(SEARCH("토1.2",$H121))),1,"")</f>
        <v/>
      </c>
      <c r="Z121" s="319">
        <f>IF(OR(ISNUMBER(SEARCH("토3",$H121)),ISNUMBER(SEARCH("토1.3",$H121)),ISNUMBER(SEARCH("토2.3",$H121)),ISNUMBER(SEARCH("토1.2.3",$H121))),1,"")</f>
        <v/>
      </c>
      <c r="AA121" s="319">
        <f>IF(ISNUMBER(SEARCH("일1",$H121)),1,"")</f>
        <v/>
      </c>
      <c r="AB121" s="319">
        <f>IF(OR(ISNUMBER(SEARCH("일2",$H121)),ISNUMBER(SEARCH("일1.2",$H121))),1,"")</f>
        <v/>
      </c>
      <c r="AC121" s="319">
        <f>IF(OR(ISNUMBER(SEARCH("일3",$H121)),ISNUMBER(SEARCH("일1.3",$H121)),ISNUMBER(SEARCH("일2.3",$H121)),ISNUMBER(SEARCH("일1.2.3",$H121))),1,"")</f>
        <v/>
      </c>
      <c r="AD121" s="319">
        <f>SUM(I121:AC121)</f>
        <v/>
      </c>
      <c r="AE121" s="323" t="n"/>
    </row>
    <row r="122" ht="24" customHeight="1">
      <c r="A122" s="168" t="n"/>
      <c r="B122" s="319" t="n"/>
      <c r="C122" s="319" t="n"/>
      <c r="D122" s="319" t="n"/>
      <c r="E122" s="341" t="n"/>
      <c r="F122" s="341" t="n"/>
      <c r="G122" s="342" t="n"/>
      <c r="H122" s="322" t="n"/>
      <c r="I122" s="319">
        <f>IF(ISNUMBER(SEARCH("월1",$H122)),1,"")</f>
        <v/>
      </c>
      <c r="J122" s="319">
        <f>IF(OR(ISNUMBER(SEARCH("월2",$H122)),ISNUMBER(SEARCH("월1.2",$H122))),1,"")</f>
        <v/>
      </c>
      <c r="K122" s="319">
        <f>IF(OR(ISNUMBER(SEARCH("월3",$H122)),ISNUMBER(SEARCH("월1.3",$H122)),ISNUMBER(SEARCH("월2.3",$H122)),ISNUMBER(SEARCH("월1.2.3",$H122))),1,"")</f>
        <v/>
      </c>
      <c r="L122" s="319">
        <f>IF(ISNUMBER(SEARCH("화1",$H122)),1,"")</f>
        <v/>
      </c>
      <c r="M122" s="319">
        <f>IF(OR(ISNUMBER(SEARCH("화2",$H122)),ISNUMBER(SEARCH("화1.2",$H122))),1,"")</f>
        <v/>
      </c>
      <c r="N122" s="319">
        <f>IF(OR(ISNUMBER(SEARCH("화3",$H122)),ISNUMBER(SEARCH("화1.3",$H122)),ISNUMBER(SEARCH("화2.3",$H122)),ISNUMBER(SEARCH("화1.2.3",$H122))),1,"")</f>
        <v/>
      </c>
      <c r="O122" s="319">
        <f>IF(ISNUMBER(SEARCH("수1",$H122)),1,"")</f>
        <v/>
      </c>
      <c r="P122" s="319">
        <f>IF(OR(ISNUMBER(SEARCH("수2",$H122)),ISNUMBER(SEARCH("수1.2",$H122))),1,"")</f>
        <v/>
      </c>
      <c r="Q122" s="319">
        <f>IF(OR(ISNUMBER(SEARCH("수3",$H122)),ISNUMBER(SEARCH("수1.3",$H122)),ISNUMBER(SEARCH("수2.3",$H122)),ISNUMBER(SEARCH("수1.2.3",$H122))),1,"")</f>
        <v/>
      </c>
      <c r="R122" s="319">
        <f>IF(ISNUMBER(SEARCH("목1",$H122)),1,"")</f>
        <v/>
      </c>
      <c r="S122" s="319">
        <f>IF(OR(ISNUMBER(SEARCH("목2",$H122)),ISNUMBER(SEARCH("목1.2",$H122))),1,"")</f>
        <v/>
      </c>
      <c r="T122" s="319">
        <f>IF(OR(ISNUMBER(SEARCH("목3",$H122)),ISNUMBER(SEARCH("목1.3",$H122)),ISNUMBER(SEARCH("목2.3",$H122)),ISNUMBER(SEARCH("목1.2.3",$H122))),1,"")</f>
        <v/>
      </c>
      <c r="U122" s="319">
        <f>IF(ISNUMBER(SEARCH("금1",$H122)),1,"")</f>
        <v/>
      </c>
      <c r="V122" s="319">
        <f>IF(OR(ISNUMBER(SEARCH("금2",$H122)),ISNUMBER(SEARCH("금1.2",$H122))),1,"")</f>
        <v/>
      </c>
      <c r="W122" s="319">
        <f>IF(OR(ISNUMBER(SEARCH("금3",$H122)),ISNUMBER(SEARCH("금1.3",$H122)),ISNUMBER(SEARCH("금2.3",$H122)),ISNUMBER(SEARCH("금1.2.3",$H122))),1,"")</f>
        <v/>
      </c>
      <c r="X122" s="319">
        <f>IF(ISNUMBER(SEARCH("토1",$H122)),1,"")</f>
        <v/>
      </c>
      <c r="Y122" s="319">
        <f>IF(OR(ISNUMBER(SEARCH("토2",$H122)),ISNUMBER(SEARCH("토1.2",$H122))),1,"")</f>
        <v/>
      </c>
      <c r="Z122" s="319">
        <f>IF(OR(ISNUMBER(SEARCH("토3",$H122)),ISNUMBER(SEARCH("토1.3",$H122)),ISNUMBER(SEARCH("토2.3",$H122)),ISNUMBER(SEARCH("토1.2.3",$H122))),1,"")</f>
        <v/>
      </c>
      <c r="AA122" s="319">
        <f>IF(ISNUMBER(SEARCH("일1",$H122)),1,"")</f>
        <v/>
      </c>
      <c r="AB122" s="319">
        <f>IF(OR(ISNUMBER(SEARCH("일2",$H122)),ISNUMBER(SEARCH("일1.2",$H122))),1,"")</f>
        <v/>
      </c>
      <c r="AC122" s="319">
        <f>IF(OR(ISNUMBER(SEARCH("일3",$H122)),ISNUMBER(SEARCH("일1.3",$H122)),ISNUMBER(SEARCH("일2.3",$H122)),ISNUMBER(SEARCH("일1.2.3",$H122))),1,"")</f>
        <v/>
      </c>
      <c r="AD122" s="319">
        <f>SUM(I122:AC122)</f>
        <v/>
      </c>
      <c r="AE122" s="323" t="n"/>
    </row>
    <row r="123" ht="24" customHeight="1">
      <c r="A123" s="168" t="n"/>
      <c r="B123" s="319" t="n"/>
      <c r="C123" s="319" t="n"/>
      <c r="D123" s="319" t="n"/>
      <c r="E123" s="341" t="n"/>
      <c r="F123" s="341" t="n"/>
      <c r="G123" s="342" t="n"/>
      <c r="H123" s="322" t="n"/>
      <c r="I123" s="319">
        <f>IF(ISNUMBER(SEARCH("월1",$H123)),1,"")</f>
        <v/>
      </c>
      <c r="J123" s="319">
        <f>IF(OR(ISNUMBER(SEARCH("월2",$H123)),ISNUMBER(SEARCH("월1.2",$H123))),1,"")</f>
        <v/>
      </c>
      <c r="K123" s="319">
        <f>IF(OR(ISNUMBER(SEARCH("월3",$H123)),ISNUMBER(SEARCH("월1.3",$H123)),ISNUMBER(SEARCH("월2.3",$H123)),ISNUMBER(SEARCH("월1.2.3",$H123))),1,"")</f>
        <v/>
      </c>
      <c r="L123" s="319">
        <f>IF(ISNUMBER(SEARCH("화1",$H123)),1,"")</f>
        <v/>
      </c>
      <c r="M123" s="319">
        <f>IF(OR(ISNUMBER(SEARCH("화2",$H123)),ISNUMBER(SEARCH("화1.2",$H123))),1,"")</f>
        <v/>
      </c>
      <c r="N123" s="319">
        <f>IF(OR(ISNUMBER(SEARCH("화3",$H123)),ISNUMBER(SEARCH("화1.3",$H123)),ISNUMBER(SEARCH("화2.3",$H123)),ISNUMBER(SEARCH("화1.2.3",$H123))),1,"")</f>
        <v/>
      </c>
      <c r="O123" s="319">
        <f>IF(ISNUMBER(SEARCH("수1",$H123)),1,"")</f>
        <v/>
      </c>
      <c r="P123" s="319">
        <f>IF(OR(ISNUMBER(SEARCH("수2",$H123)),ISNUMBER(SEARCH("수1.2",$H123))),1,"")</f>
        <v/>
      </c>
      <c r="Q123" s="319">
        <f>IF(OR(ISNUMBER(SEARCH("수3",$H123)),ISNUMBER(SEARCH("수1.3",$H123)),ISNUMBER(SEARCH("수2.3",$H123)),ISNUMBER(SEARCH("수1.2.3",$H123))),1,"")</f>
        <v/>
      </c>
      <c r="R123" s="319">
        <f>IF(ISNUMBER(SEARCH("목1",$H123)),1,"")</f>
        <v/>
      </c>
      <c r="S123" s="319">
        <f>IF(OR(ISNUMBER(SEARCH("목2",$H123)),ISNUMBER(SEARCH("목1.2",$H123))),1,"")</f>
        <v/>
      </c>
      <c r="T123" s="319">
        <f>IF(OR(ISNUMBER(SEARCH("목3",$H123)),ISNUMBER(SEARCH("목1.3",$H123)),ISNUMBER(SEARCH("목2.3",$H123)),ISNUMBER(SEARCH("목1.2.3",$H123))),1,"")</f>
        <v/>
      </c>
      <c r="U123" s="319">
        <f>IF(ISNUMBER(SEARCH("금1",$H123)),1,"")</f>
        <v/>
      </c>
      <c r="V123" s="319">
        <f>IF(OR(ISNUMBER(SEARCH("금2",$H123)),ISNUMBER(SEARCH("금1.2",$H123))),1,"")</f>
        <v/>
      </c>
      <c r="W123" s="319">
        <f>IF(OR(ISNUMBER(SEARCH("금3",$H123)),ISNUMBER(SEARCH("금1.3",$H123)),ISNUMBER(SEARCH("금2.3",$H123)),ISNUMBER(SEARCH("금1.2.3",$H123))),1,"")</f>
        <v/>
      </c>
      <c r="X123" s="319">
        <f>IF(ISNUMBER(SEARCH("토1",$H123)),1,"")</f>
        <v/>
      </c>
      <c r="Y123" s="319">
        <f>IF(OR(ISNUMBER(SEARCH("토2",$H123)),ISNUMBER(SEARCH("토1.2",$H123))),1,"")</f>
        <v/>
      </c>
      <c r="Z123" s="319">
        <f>IF(OR(ISNUMBER(SEARCH("토3",$H123)),ISNUMBER(SEARCH("토1.3",$H123)),ISNUMBER(SEARCH("토2.3",$H123)),ISNUMBER(SEARCH("토1.2.3",$H123))),1,"")</f>
        <v/>
      </c>
      <c r="AA123" s="319">
        <f>IF(ISNUMBER(SEARCH("일1",$H123)),1,"")</f>
        <v/>
      </c>
      <c r="AB123" s="319">
        <f>IF(OR(ISNUMBER(SEARCH("일2",$H123)),ISNUMBER(SEARCH("일1.2",$H123))),1,"")</f>
        <v/>
      </c>
      <c r="AC123" s="319">
        <f>IF(OR(ISNUMBER(SEARCH("일3",$H123)),ISNUMBER(SEARCH("일1.3",$H123)),ISNUMBER(SEARCH("일2.3",$H123)),ISNUMBER(SEARCH("일1.2.3",$H123))),1,"")</f>
        <v/>
      </c>
      <c r="AD123" s="319">
        <f>SUM(I123:AC123)</f>
        <v/>
      </c>
      <c r="AE123" s="323" t="n"/>
    </row>
    <row r="124" ht="24" customHeight="1">
      <c r="A124" s="168" t="n"/>
      <c r="B124" s="319" t="n"/>
      <c r="C124" s="319" t="n"/>
      <c r="D124" s="319" t="n"/>
      <c r="E124" s="341" t="n"/>
      <c r="F124" s="341" t="n"/>
      <c r="G124" s="342" t="n"/>
      <c r="H124" s="322" t="n"/>
      <c r="I124" s="319">
        <f>IF(ISNUMBER(SEARCH("월1",$H124)),1,"")</f>
        <v/>
      </c>
      <c r="J124" s="319">
        <f>IF(OR(ISNUMBER(SEARCH("월2",$H124)),ISNUMBER(SEARCH("월1.2",$H124))),1,"")</f>
        <v/>
      </c>
      <c r="K124" s="319">
        <f>IF(OR(ISNUMBER(SEARCH("월3",$H124)),ISNUMBER(SEARCH("월1.3",$H124)),ISNUMBER(SEARCH("월2.3",$H124)),ISNUMBER(SEARCH("월1.2.3",$H124))),1,"")</f>
        <v/>
      </c>
      <c r="L124" s="319">
        <f>IF(ISNUMBER(SEARCH("화1",$H124)),1,"")</f>
        <v/>
      </c>
      <c r="M124" s="319">
        <f>IF(OR(ISNUMBER(SEARCH("화2",$H124)),ISNUMBER(SEARCH("화1.2",$H124))),1,"")</f>
        <v/>
      </c>
      <c r="N124" s="319">
        <f>IF(OR(ISNUMBER(SEARCH("화3",$H124)),ISNUMBER(SEARCH("화1.3",$H124)),ISNUMBER(SEARCH("화2.3",$H124)),ISNUMBER(SEARCH("화1.2.3",$H124))),1,"")</f>
        <v/>
      </c>
      <c r="O124" s="319">
        <f>IF(ISNUMBER(SEARCH("수1",$H124)),1,"")</f>
        <v/>
      </c>
      <c r="P124" s="319">
        <f>IF(OR(ISNUMBER(SEARCH("수2",$H124)),ISNUMBER(SEARCH("수1.2",$H124))),1,"")</f>
        <v/>
      </c>
      <c r="Q124" s="319">
        <f>IF(OR(ISNUMBER(SEARCH("수3",$H124)),ISNUMBER(SEARCH("수1.3",$H124)),ISNUMBER(SEARCH("수2.3",$H124)),ISNUMBER(SEARCH("수1.2.3",$H124))),1,"")</f>
        <v/>
      </c>
      <c r="R124" s="319">
        <f>IF(ISNUMBER(SEARCH("목1",$H124)),1,"")</f>
        <v/>
      </c>
      <c r="S124" s="319">
        <f>IF(OR(ISNUMBER(SEARCH("목2",$H124)),ISNUMBER(SEARCH("목1.2",$H124))),1,"")</f>
        <v/>
      </c>
      <c r="T124" s="319">
        <f>IF(OR(ISNUMBER(SEARCH("목3",$H124)),ISNUMBER(SEARCH("목1.3",$H124)),ISNUMBER(SEARCH("목2.3",$H124)),ISNUMBER(SEARCH("목1.2.3",$H124))),1,"")</f>
        <v/>
      </c>
      <c r="U124" s="319">
        <f>IF(ISNUMBER(SEARCH("금1",$H124)),1,"")</f>
        <v/>
      </c>
      <c r="V124" s="319">
        <f>IF(OR(ISNUMBER(SEARCH("금2",$H124)),ISNUMBER(SEARCH("금1.2",$H124))),1,"")</f>
        <v/>
      </c>
      <c r="W124" s="319">
        <f>IF(OR(ISNUMBER(SEARCH("금3",$H124)),ISNUMBER(SEARCH("금1.3",$H124)),ISNUMBER(SEARCH("금2.3",$H124)),ISNUMBER(SEARCH("금1.2.3",$H124))),1,"")</f>
        <v/>
      </c>
      <c r="X124" s="319">
        <f>IF(ISNUMBER(SEARCH("토1",$H124)),1,"")</f>
        <v/>
      </c>
      <c r="Y124" s="319">
        <f>IF(OR(ISNUMBER(SEARCH("토2",$H124)),ISNUMBER(SEARCH("토1.2",$H124))),1,"")</f>
        <v/>
      </c>
      <c r="Z124" s="319">
        <f>IF(OR(ISNUMBER(SEARCH("토3",$H124)),ISNUMBER(SEARCH("토1.3",$H124)),ISNUMBER(SEARCH("토2.3",$H124)),ISNUMBER(SEARCH("토1.2.3",$H124))),1,"")</f>
        <v/>
      </c>
      <c r="AA124" s="319">
        <f>IF(ISNUMBER(SEARCH("일1",$H124)),1,"")</f>
        <v/>
      </c>
      <c r="AB124" s="319">
        <f>IF(OR(ISNUMBER(SEARCH("일2",$H124)),ISNUMBER(SEARCH("일1.2",$H124))),1,"")</f>
        <v/>
      </c>
      <c r="AC124" s="319">
        <f>IF(OR(ISNUMBER(SEARCH("일3",$H124)),ISNUMBER(SEARCH("일1.3",$H124)),ISNUMBER(SEARCH("일2.3",$H124)),ISNUMBER(SEARCH("일1.2.3",$H124))),1,"")</f>
        <v/>
      </c>
      <c r="AD124" s="319">
        <f>SUM(I124:AC124)</f>
        <v/>
      </c>
      <c r="AE124" s="323" t="n"/>
    </row>
    <row r="125" ht="24" customHeight="1">
      <c r="A125" s="168" t="n"/>
      <c r="B125" s="319" t="n"/>
      <c r="C125" s="319" t="n"/>
      <c r="D125" s="319" t="n"/>
      <c r="E125" s="341" t="n"/>
      <c r="F125" s="341" t="n"/>
      <c r="G125" s="342" t="n"/>
      <c r="H125" s="322" t="n"/>
      <c r="I125" s="319">
        <f>IF(ISNUMBER(SEARCH("월1",$H125)),1,"")</f>
        <v/>
      </c>
      <c r="J125" s="319">
        <f>IF(OR(ISNUMBER(SEARCH("월2",$H125)),ISNUMBER(SEARCH("월1.2",$H125))),1,"")</f>
        <v/>
      </c>
      <c r="K125" s="319">
        <f>IF(OR(ISNUMBER(SEARCH("월3",$H125)),ISNUMBER(SEARCH("월1.3",$H125)),ISNUMBER(SEARCH("월2.3",$H125)),ISNUMBER(SEARCH("월1.2.3",$H125))),1,"")</f>
        <v/>
      </c>
      <c r="L125" s="319">
        <f>IF(ISNUMBER(SEARCH("화1",$H125)),1,"")</f>
        <v/>
      </c>
      <c r="M125" s="319">
        <f>IF(OR(ISNUMBER(SEARCH("화2",$H125)),ISNUMBER(SEARCH("화1.2",$H125))),1,"")</f>
        <v/>
      </c>
      <c r="N125" s="319">
        <f>IF(OR(ISNUMBER(SEARCH("화3",$H125)),ISNUMBER(SEARCH("화1.3",$H125)),ISNUMBER(SEARCH("화2.3",$H125)),ISNUMBER(SEARCH("화1.2.3",$H125))),1,"")</f>
        <v/>
      </c>
      <c r="O125" s="319">
        <f>IF(ISNUMBER(SEARCH("수1",$H125)),1,"")</f>
        <v/>
      </c>
      <c r="P125" s="319">
        <f>IF(OR(ISNUMBER(SEARCH("수2",$H125)),ISNUMBER(SEARCH("수1.2",$H125))),1,"")</f>
        <v/>
      </c>
      <c r="Q125" s="319">
        <f>IF(OR(ISNUMBER(SEARCH("수3",$H125)),ISNUMBER(SEARCH("수1.3",$H125)),ISNUMBER(SEARCH("수2.3",$H125)),ISNUMBER(SEARCH("수1.2.3",$H125))),1,"")</f>
        <v/>
      </c>
      <c r="R125" s="319">
        <f>IF(ISNUMBER(SEARCH("목1",$H125)),1,"")</f>
        <v/>
      </c>
      <c r="S125" s="319">
        <f>IF(OR(ISNUMBER(SEARCH("목2",$H125)),ISNUMBER(SEARCH("목1.2",$H125))),1,"")</f>
        <v/>
      </c>
      <c r="T125" s="319">
        <f>IF(OR(ISNUMBER(SEARCH("목3",$H125)),ISNUMBER(SEARCH("목1.3",$H125)),ISNUMBER(SEARCH("목2.3",$H125)),ISNUMBER(SEARCH("목1.2.3",$H125))),1,"")</f>
        <v/>
      </c>
      <c r="U125" s="319">
        <f>IF(ISNUMBER(SEARCH("금1",$H125)),1,"")</f>
        <v/>
      </c>
      <c r="V125" s="319">
        <f>IF(OR(ISNUMBER(SEARCH("금2",$H125)),ISNUMBER(SEARCH("금1.2",$H125))),1,"")</f>
        <v/>
      </c>
      <c r="W125" s="319">
        <f>IF(OR(ISNUMBER(SEARCH("금3",$H125)),ISNUMBER(SEARCH("금1.3",$H125)),ISNUMBER(SEARCH("금2.3",$H125)),ISNUMBER(SEARCH("금1.2.3",$H125))),1,"")</f>
        <v/>
      </c>
      <c r="X125" s="319">
        <f>IF(ISNUMBER(SEARCH("토1",$H125)),1,"")</f>
        <v/>
      </c>
      <c r="Y125" s="319">
        <f>IF(OR(ISNUMBER(SEARCH("토2",$H125)),ISNUMBER(SEARCH("토1.2",$H125))),1,"")</f>
        <v/>
      </c>
      <c r="Z125" s="319">
        <f>IF(OR(ISNUMBER(SEARCH("토3",$H125)),ISNUMBER(SEARCH("토1.3",$H125)),ISNUMBER(SEARCH("토2.3",$H125)),ISNUMBER(SEARCH("토1.2.3",$H125))),1,"")</f>
        <v/>
      </c>
      <c r="AA125" s="319">
        <f>IF(ISNUMBER(SEARCH("일1",$H125)),1,"")</f>
        <v/>
      </c>
      <c r="AB125" s="319">
        <f>IF(OR(ISNUMBER(SEARCH("일2",$H125)),ISNUMBER(SEARCH("일1.2",$H125))),1,"")</f>
        <v/>
      </c>
      <c r="AC125" s="319">
        <f>IF(OR(ISNUMBER(SEARCH("일3",$H125)),ISNUMBER(SEARCH("일1.3",$H125)),ISNUMBER(SEARCH("일2.3",$H125)),ISNUMBER(SEARCH("일1.2.3",$H125))),1,"")</f>
        <v/>
      </c>
      <c r="AD125" s="319">
        <f>SUM(I125:AC125)</f>
        <v/>
      </c>
      <c r="AE125" s="323" t="n"/>
    </row>
    <row r="126" ht="24" customHeight="1">
      <c r="A126" s="168" t="n"/>
      <c r="B126" s="319" t="n"/>
      <c r="C126" s="319" t="n"/>
      <c r="D126" s="319" t="n"/>
      <c r="E126" s="341" t="n"/>
      <c r="F126" s="341" t="n"/>
      <c r="G126" s="342" t="n"/>
      <c r="H126" s="322" t="n"/>
      <c r="I126" s="319">
        <f>IF(ISNUMBER(SEARCH("월1",$H126)),1,"")</f>
        <v/>
      </c>
      <c r="J126" s="319">
        <f>IF(OR(ISNUMBER(SEARCH("월2",$H126)),ISNUMBER(SEARCH("월1.2",$H126))),1,"")</f>
        <v/>
      </c>
      <c r="K126" s="319">
        <f>IF(OR(ISNUMBER(SEARCH("월3",$H126)),ISNUMBER(SEARCH("월1.3",$H126)),ISNUMBER(SEARCH("월2.3",$H126)),ISNUMBER(SEARCH("월1.2.3",$H126))),1,"")</f>
        <v/>
      </c>
      <c r="L126" s="319">
        <f>IF(ISNUMBER(SEARCH("화1",$H126)),1,"")</f>
        <v/>
      </c>
      <c r="M126" s="319">
        <f>IF(OR(ISNUMBER(SEARCH("화2",$H126)),ISNUMBER(SEARCH("화1.2",$H126))),1,"")</f>
        <v/>
      </c>
      <c r="N126" s="319">
        <f>IF(OR(ISNUMBER(SEARCH("화3",$H126)),ISNUMBER(SEARCH("화1.3",$H126)),ISNUMBER(SEARCH("화2.3",$H126)),ISNUMBER(SEARCH("화1.2.3",$H126))),1,"")</f>
        <v/>
      </c>
      <c r="O126" s="319">
        <f>IF(ISNUMBER(SEARCH("수1",$H126)),1,"")</f>
        <v/>
      </c>
      <c r="P126" s="319">
        <f>IF(OR(ISNUMBER(SEARCH("수2",$H126)),ISNUMBER(SEARCH("수1.2",$H126))),1,"")</f>
        <v/>
      </c>
      <c r="Q126" s="319">
        <f>IF(OR(ISNUMBER(SEARCH("수3",$H126)),ISNUMBER(SEARCH("수1.3",$H126)),ISNUMBER(SEARCH("수2.3",$H126)),ISNUMBER(SEARCH("수1.2.3",$H126))),1,"")</f>
        <v/>
      </c>
      <c r="R126" s="319">
        <f>IF(ISNUMBER(SEARCH("목1",$H126)),1,"")</f>
        <v/>
      </c>
      <c r="S126" s="319">
        <f>IF(OR(ISNUMBER(SEARCH("목2",$H126)),ISNUMBER(SEARCH("목1.2",$H126))),1,"")</f>
        <v/>
      </c>
      <c r="T126" s="319">
        <f>IF(OR(ISNUMBER(SEARCH("목3",$H126)),ISNUMBER(SEARCH("목1.3",$H126)),ISNUMBER(SEARCH("목2.3",$H126)),ISNUMBER(SEARCH("목1.2.3",$H126))),1,"")</f>
        <v/>
      </c>
      <c r="U126" s="319">
        <f>IF(ISNUMBER(SEARCH("금1",$H126)),1,"")</f>
        <v/>
      </c>
      <c r="V126" s="319">
        <f>IF(OR(ISNUMBER(SEARCH("금2",$H126)),ISNUMBER(SEARCH("금1.2",$H126))),1,"")</f>
        <v/>
      </c>
      <c r="W126" s="319">
        <f>IF(OR(ISNUMBER(SEARCH("금3",$H126)),ISNUMBER(SEARCH("금1.3",$H126)),ISNUMBER(SEARCH("금2.3",$H126)),ISNUMBER(SEARCH("금1.2.3",$H126))),1,"")</f>
        <v/>
      </c>
      <c r="X126" s="319">
        <f>IF(ISNUMBER(SEARCH("토1",$H126)),1,"")</f>
        <v/>
      </c>
      <c r="Y126" s="319">
        <f>IF(OR(ISNUMBER(SEARCH("토2",$H126)),ISNUMBER(SEARCH("토1.2",$H126))),1,"")</f>
        <v/>
      </c>
      <c r="Z126" s="319">
        <f>IF(OR(ISNUMBER(SEARCH("토3",$H126)),ISNUMBER(SEARCH("토1.3",$H126)),ISNUMBER(SEARCH("토2.3",$H126)),ISNUMBER(SEARCH("토1.2.3",$H126))),1,"")</f>
        <v/>
      </c>
      <c r="AA126" s="319">
        <f>IF(ISNUMBER(SEARCH("일1",$H126)),1,"")</f>
        <v/>
      </c>
      <c r="AB126" s="319">
        <f>IF(OR(ISNUMBER(SEARCH("일2",$H126)),ISNUMBER(SEARCH("일1.2",$H126))),1,"")</f>
        <v/>
      </c>
      <c r="AC126" s="319">
        <f>IF(OR(ISNUMBER(SEARCH("일3",$H126)),ISNUMBER(SEARCH("일1.3",$H126)),ISNUMBER(SEARCH("일2.3",$H126)),ISNUMBER(SEARCH("일1.2.3",$H126))),1,"")</f>
        <v/>
      </c>
      <c r="AD126" s="319">
        <f>SUM(I126:AC126)</f>
        <v/>
      </c>
      <c r="AE126" s="323" t="n"/>
    </row>
    <row r="127" ht="24" customHeight="1">
      <c r="A127" s="168" t="n"/>
      <c r="B127" s="319" t="n"/>
      <c r="C127" s="319" t="n"/>
      <c r="D127" s="319" t="n"/>
      <c r="E127" s="341" t="n"/>
      <c r="F127" s="341" t="n"/>
      <c r="G127" s="342" t="n"/>
      <c r="H127" s="322" t="n"/>
      <c r="I127" s="319">
        <f>IF(ISNUMBER(SEARCH("월1",$H127)),1,"")</f>
        <v/>
      </c>
      <c r="J127" s="319">
        <f>IF(OR(ISNUMBER(SEARCH("월2",$H127)),ISNUMBER(SEARCH("월1.2",$H127))),1,"")</f>
        <v/>
      </c>
      <c r="K127" s="319">
        <f>IF(OR(ISNUMBER(SEARCH("월3",$H127)),ISNUMBER(SEARCH("월1.3",$H127)),ISNUMBER(SEARCH("월2.3",$H127)),ISNUMBER(SEARCH("월1.2.3",$H127))),1,"")</f>
        <v/>
      </c>
      <c r="L127" s="319">
        <f>IF(ISNUMBER(SEARCH("화1",$H127)),1,"")</f>
        <v/>
      </c>
      <c r="M127" s="319">
        <f>IF(OR(ISNUMBER(SEARCH("화2",$H127)),ISNUMBER(SEARCH("화1.2",$H127))),1,"")</f>
        <v/>
      </c>
      <c r="N127" s="319">
        <f>IF(OR(ISNUMBER(SEARCH("화3",$H127)),ISNUMBER(SEARCH("화1.3",$H127)),ISNUMBER(SEARCH("화2.3",$H127)),ISNUMBER(SEARCH("화1.2.3",$H127))),1,"")</f>
        <v/>
      </c>
      <c r="O127" s="319">
        <f>IF(ISNUMBER(SEARCH("수1",$H127)),1,"")</f>
        <v/>
      </c>
      <c r="P127" s="319">
        <f>IF(OR(ISNUMBER(SEARCH("수2",$H127)),ISNUMBER(SEARCH("수1.2",$H127))),1,"")</f>
        <v/>
      </c>
      <c r="Q127" s="319">
        <f>IF(OR(ISNUMBER(SEARCH("수3",$H127)),ISNUMBER(SEARCH("수1.3",$H127)),ISNUMBER(SEARCH("수2.3",$H127)),ISNUMBER(SEARCH("수1.2.3",$H127))),1,"")</f>
        <v/>
      </c>
      <c r="R127" s="319">
        <f>IF(ISNUMBER(SEARCH("목1",$H127)),1,"")</f>
        <v/>
      </c>
      <c r="S127" s="319">
        <f>IF(OR(ISNUMBER(SEARCH("목2",$H127)),ISNUMBER(SEARCH("목1.2",$H127))),1,"")</f>
        <v/>
      </c>
      <c r="T127" s="319">
        <f>IF(OR(ISNUMBER(SEARCH("목3",$H127)),ISNUMBER(SEARCH("목1.3",$H127)),ISNUMBER(SEARCH("목2.3",$H127)),ISNUMBER(SEARCH("목1.2.3",$H127))),1,"")</f>
        <v/>
      </c>
      <c r="U127" s="319">
        <f>IF(ISNUMBER(SEARCH("금1",$H127)),1,"")</f>
        <v/>
      </c>
      <c r="V127" s="319">
        <f>IF(OR(ISNUMBER(SEARCH("금2",$H127)),ISNUMBER(SEARCH("금1.2",$H127))),1,"")</f>
        <v/>
      </c>
      <c r="W127" s="319">
        <f>IF(OR(ISNUMBER(SEARCH("금3",$H127)),ISNUMBER(SEARCH("금1.3",$H127)),ISNUMBER(SEARCH("금2.3",$H127)),ISNUMBER(SEARCH("금1.2.3",$H127))),1,"")</f>
        <v/>
      </c>
      <c r="X127" s="319">
        <f>IF(ISNUMBER(SEARCH("토1",$H127)),1,"")</f>
        <v/>
      </c>
      <c r="Y127" s="319">
        <f>IF(OR(ISNUMBER(SEARCH("토2",$H127)),ISNUMBER(SEARCH("토1.2",$H127))),1,"")</f>
        <v/>
      </c>
      <c r="Z127" s="319">
        <f>IF(OR(ISNUMBER(SEARCH("토3",$H127)),ISNUMBER(SEARCH("토1.3",$H127)),ISNUMBER(SEARCH("토2.3",$H127)),ISNUMBER(SEARCH("토1.2.3",$H127))),1,"")</f>
        <v/>
      </c>
      <c r="AA127" s="319">
        <f>IF(ISNUMBER(SEARCH("일1",$H127)),1,"")</f>
        <v/>
      </c>
      <c r="AB127" s="319">
        <f>IF(OR(ISNUMBER(SEARCH("일2",$H127)),ISNUMBER(SEARCH("일1.2",$H127))),1,"")</f>
        <v/>
      </c>
      <c r="AC127" s="319">
        <f>IF(OR(ISNUMBER(SEARCH("일3",$H127)),ISNUMBER(SEARCH("일1.3",$H127)),ISNUMBER(SEARCH("일2.3",$H127)),ISNUMBER(SEARCH("일1.2.3",$H127))),1,"")</f>
        <v/>
      </c>
      <c r="AD127" s="319">
        <f>SUM(I127:AC127)</f>
        <v/>
      </c>
      <c r="AE127" s="323" t="n"/>
    </row>
    <row r="128" ht="24" customHeight="1">
      <c r="A128" s="168" t="n"/>
      <c r="B128" s="319" t="n"/>
      <c r="C128" s="319" t="n"/>
      <c r="D128" s="319" t="n"/>
      <c r="E128" s="341" t="n"/>
      <c r="F128" s="341" t="n"/>
      <c r="G128" s="342" t="n"/>
      <c r="H128" s="322" t="n"/>
      <c r="I128" s="319">
        <f>IF(ISNUMBER(SEARCH("월1",$H128)),1,"")</f>
        <v/>
      </c>
      <c r="J128" s="319">
        <f>IF(OR(ISNUMBER(SEARCH("월2",$H128)),ISNUMBER(SEARCH("월1.2",$H128))),1,"")</f>
        <v/>
      </c>
      <c r="K128" s="319">
        <f>IF(OR(ISNUMBER(SEARCH("월3",$H128)),ISNUMBER(SEARCH("월1.3",$H128)),ISNUMBER(SEARCH("월2.3",$H128)),ISNUMBER(SEARCH("월1.2.3",$H128))),1,"")</f>
        <v/>
      </c>
      <c r="L128" s="319">
        <f>IF(ISNUMBER(SEARCH("화1",$H128)),1,"")</f>
        <v/>
      </c>
      <c r="M128" s="319">
        <f>IF(OR(ISNUMBER(SEARCH("화2",$H128)),ISNUMBER(SEARCH("화1.2",$H128))),1,"")</f>
        <v/>
      </c>
      <c r="N128" s="319">
        <f>IF(OR(ISNUMBER(SEARCH("화3",$H128)),ISNUMBER(SEARCH("화1.3",$H128)),ISNUMBER(SEARCH("화2.3",$H128)),ISNUMBER(SEARCH("화1.2.3",$H128))),1,"")</f>
        <v/>
      </c>
      <c r="O128" s="319">
        <f>IF(ISNUMBER(SEARCH("수1",$H128)),1,"")</f>
        <v/>
      </c>
      <c r="P128" s="319">
        <f>IF(OR(ISNUMBER(SEARCH("수2",$H128)),ISNUMBER(SEARCH("수1.2",$H128))),1,"")</f>
        <v/>
      </c>
      <c r="Q128" s="319">
        <f>IF(OR(ISNUMBER(SEARCH("수3",$H128)),ISNUMBER(SEARCH("수1.3",$H128)),ISNUMBER(SEARCH("수2.3",$H128)),ISNUMBER(SEARCH("수1.2.3",$H128))),1,"")</f>
        <v/>
      </c>
      <c r="R128" s="319">
        <f>IF(ISNUMBER(SEARCH("목1",$H128)),1,"")</f>
        <v/>
      </c>
      <c r="S128" s="319">
        <f>IF(OR(ISNUMBER(SEARCH("목2",$H128)),ISNUMBER(SEARCH("목1.2",$H128))),1,"")</f>
        <v/>
      </c>
      <c r="T128" s="319">
        <f>IF(OR(ISNUMBER(SEARCH("목3",$H128)),ISNUMBER(SEARCH("목1.3",$H128)),ISNUMBER(SEARCH("목2.3",$H128)),ISNUMBER(SEARCH("목1.2.3",$H128))),1,"")</f>
        <v/>
      </c>
      <c r="U128" s="319">
        <f>IF(ISNUMBER(SEARCH("금1",$H128)),1,"")</f>
        <v/>
      </c>
      <c r="V128" s="319">
        <f>IF(OR(ISNUMBER(SEARCH("금2",$H128)),ISNUMBER(SEARCH("금1.2",$H128))),1,"")</f>
        <v/>
      </c>
      <c r="W128" s="319">
        <f>IF(OR(ISNUMBER(SEARCH("금3",$H128)),ISNUMBER(SEARCH("금1.3",$H128)),ISNUMBER(SEARCH("금2.3",$H128)),ISNUMBER(SEARCH("금1.2.3",$H128))),1,"")</f>
        <v/>
      </c>
      <c r="X128" s="319">
        <f>IF(ISNUMBER(SEARCH("토1",$H128)),1,"")</f>
        <v/>
      </c>
      <c r="Y128" s="319">
        <f>IF(OR(ISNUMBER(SEARCH("토2",$H128)),ISNUMBER(SEARCH("토1.2",$H128))),1,"")</f>
        <v/>
      </c>
      <c r="Z128" s="319">
        <f>IF(OR(ISNUMBER(SEARCH("토3",$H128)),ISNUMBER(SEARCH("토1.3",$H128)),ISNUMBER(SEARCH("토2.3",$H128)),ISNUMBER(SEARCH("토1.2.3",$H128))),1,"")</f>
        <v/>
      </c>
      <c r="AA128" s="319">
        <f>IF(ISNUMBER(SEARCH("일1",$H128)),1,"")</f>
        <v/>
      </c>
      <c r="AB128" s="319">
        <f>IF(OR(ISNUMBER(SEARCH("일2",$H128)),ISNUMBER(SEARCH("일1.2",$H128))),1,"")</f>
        <v/>
      </c>
      <c r="AC128" s="319">
        <f>IF(OR(ISNUMBER(SEARCH("일3",$H128)),ISNUMBER(SEARCH("일1.3",$H128)),ISNUMBER(SEARCH("일2.3",$H128)),ISNUMBER(SEARCH("일1.2.3",$H128))),1,"")</f>
        <v/>
      </c>
      <c r="AD128" s="319">
        <f>SUM(I128:AC128)</f>
        <v/>
      </c>
      <c r="AE128" s="323" t="n"/>
    </row>
    <row r="129" ht="24" customHeight="1">
      <c r="A129" s="168" t="n"/>
      <c r="B129" s="319" t="n"/>
      <c r="C129" s="319" t="n"/>
      <c r="D129" s="319" t="n"/>
      <c r="E129" s="341" t="n"/>
      <c r="F129" s="341" t="n"/>
      <c r="G129" s="342" t="n"/>
      <c r="H129" s="322" t="n"/>
      <c r="I129" s="319">
        <f>IF(ISNUMBER(SEARCH("월1",$H129)),1,"")</f>
        <v/>
      </c>
      <c r="J129" s="319">
        <f>IF(OR(ISNUMBER(SEARCH("월2",$H129)),ISNUMBER(SEARCH("월1.2",$H129))),1,"")</f>
        <v/>
      </c>
      <c r="K129" s="319">
        <f>IF(OR(ISNUMBER(SEARCH("월3",$H129)),ISNUMBER(SEARCH("월1.3",$H129)),ISNUMBER(SEARCH("월2.3",$H129)),ISNUMBER(SEARCH("월1.2.3",$H129))),1,"")</f>
        <v/>
      </c>
      <c r="L129" s="319">
        <f>IF(ISNUMBER(SEARCH("화1",$H129)),1,"")</f>
        <v/>
      </c>
      <c r="M129" s="319">
        <f>IF(OR(ISNUMBER(SEARCH("화2",$H129)),ISNUMBER(SEARCH("화1.2",$H129))),1,"")</f>
        <v/>
      </c>
      <c r="N129" s="319">
        <f>IF(OR(ISNUMBER(SEARCH("화3",$H129)),ISNUMBER(SEARCH("화1.3",$H129)),ISNUMBER(SEARCH("화2.3",$H129)),ISNUMBER(SEARCH("화1.2.3",$H129))),1,"")</f>
        <v/>
      </c>
      <c r="O129" s="319">
        <f>IF(ISNUMBER(SEARCH("수1",$H129)),1,"")</f>
        <v/>
      </c>
      <c r="P129" s="319">
        <f>IF(OR(ISNUMBER(SEARCH("수2",$H129)),ISNUMBER(SEARCH("수1.2",$H129))),1,"")</f>
        <v/>
      </c>
      <c r="Q129" s="319">
        <f>IF(OR(ISNUMBER(SEARCH("수3",$H129)),ISNUMBER(SEARCH("수1.3",$H129)),ISNUMBER(SEARCH("수2.3",$H129)),ISNUMBER(SEARCH("수1.2.3",$H129))),1,"")</f>
        <v/>
      </c>
      <c r="R129" s="319">
        <f>IF(ISNUMBER(SEARCH("목1",$H129)),1,"")</f>
        <v/>
      </c>
      <c r="S129" s="319">
        <f>IF(OR(ISNUMBER(SEARCH("목2",$H129)),ISNUMBER(SEARCH("목1.2",$H129))),1,"")</f>
        <v/>
      </c>
      <c r="T129" s="319">
        <f>IF(OR(ISNUMBER(SEARCH("목3",$H129)),ISNUMBER(SEARCH("목1.3",$H129)),ISNUMBER(SEARCH("목2.3",$H129)),ISNUMBER(SEARCH("목1.2.3",$H129))),1,"")</f>
        <v/>
      </c>
      <c r="U129" s="319">
        <f>IF(ISNUMBER(SEARCH("금1",$H129)),1,"")</f>
        <v/>
      </c>
      <c r="V129" s="319">
        <f>IF(OR(ISNUMBER(SEARCH("금2",$H129)),ISNUMBER(SEARCH("금1.2",$H129))),1,"")</f>
        <v/>
      </c>
      <c r="W129" s="319">
        <f>IF(OR(ISNUMBER(SEARCH("금3",$H129)),ISNUMBER(SEARCH("금1.3",$H129)),ISNUMBER(SEARCH("금2.3",$H129)),ISNUMBER(SEARCH("금1.2.3",$H129))),1,"")</f>
        <v/>
      </c>
      <c r="X129" s="319">
        <f>IF(ISNUMBER(SEARCH("토1",$H129)),1,"")</f>
        <v/>
      </c>
      <c r="Y129" s="319">
        <f>IF(OR(ISNUMBER(SEARCH("토2",$H129)),ISNUMBER(SEARCH("토1.2",$H129))),1,"")</f>
        <v/>
      </c>
      <c r="Z129" s="319">
        <f>IF(OR(ISNUMBER(SEARCH("토3",$H129)),ISNUMBER(SEARCH("토1.3",$H129)),ISNUMBER(SEARCH("토2.3",$H129)),ISNUMBER(SEARCH("토1.2.3",$H129))),1,"")</f>
        <v/>
      </c>
      <c r="AA129" s="319">
        <f>IF(ISNUMBER(SEARCH("일1",$H129)),1,"")</f>
        <v/>
      </c>
      <c r="AB129" s="319">
        <f>IF(OR(ISNUMBER(SEARCH("일2",$H129)),ISNUMBER(SEARCH("일1.2",$H129))),1,"")</f>
        <v/>
      </c>
      <c r="AC129" s="319">
        <f>IF(OR(ISNUMBER(SEARCH("일3",$H129)),ISNUMBER(SEARCH("일1.3",$H129)),ISNUMBER(SEARCH("일2.3",$H129)),ISNUMBER(SEARCH("일1.2.3",$H129))),1,"")</f>
        <v/>
      </c>
      <c r="AD129" s="319">
        <f>SUM(I129:AC129)</f>
        <v/>
      </c>
      <c r="AE129" s="323" t="n"/>
    </row>
    <row r="130" ht="24" customHeight="1">
      <c r="A130" s="168" t="n"/>
      <c r="B130" s="319" t="n"/>
      <c r="C130" s="319" t="n"/>
      <c r="D130" s="319" t="n"/>
      <c r="E130" s="341" t="n"/>
      <c r="F130" s="341" t="n"/>
      <c r="G130" s="342" t="n"/>
      <c r="H130" s="322" t="n"/>
      <c r="I130" s="319">
        <f>IF(ISNUMBER(SEARCH("월1",$H130)),1,"")</f>
        <v/>
      </c>
      <c r="J130" s="319">
        <f>IF(OR(ISNUMBER(SEARCH("월2",$H130)),ISNUMBER(SEARCH("월1.2",$H130))),1,"")</f>
        <v/>
      </c>
      <c r="K130" s="319">
        <f>IF(OR(ISNUMBER(SEARCH("월3",$H130)),ISNUMBER(SEARCH("월1.3",$H130)),ISNUMBER(SEARCH("월2.3",$H130)),ISNUMBER(SEARCH("월1.2.3",$H130))),1,"")</f>
        <v/>
      </c>
      <c r="L130" s="319">
        <f>IF(ISNUMBER(SEARCH("화1",$H130)),1,"")</f>
        <v/>
      </c>
      <c r="M130" s="319">
        <f>IF(OR(ISNUMBER(SEARCH("화2",$H130)),ISNUMBER(SEARCH("화1.2",$H130))),1,"")</f>
        <v/>
      </c>
      <c r="N130" s="319">
        <f>IF(OR(ISNUMBER(SEARCH("화3",$H130)),ISNUMBER(SEARCH("화1.3",$H130)),ISNUMBER(SEARCH("화2.3",$H130)),ISNUMBER(SEARCH("화1.2.3",$H130))),1,"")</f>
        <v/>
      </c>
      <c r="O130" s="319">
        <f>IF(ISNUMBER(SEARCH("수1",$H130)),1,"")</f>
        <v/>
      </c>
      <c r="P130" s="319">
        <f>IF(OR(ISNUMBER(SEARCH("수2",$H130)),ISNUMBER(SEARCH("수1.2",$H130))),1,"")</f>
        <v/>
      </c>
      <c r="Q130" s="319">
        <f>IF(OR(ISNUMBER(SEARCH("수3",$H130)),ISNUMBER(SEARCH("수1.3",$H130)),ISNUMBER(SEARCH("수2.3",$H130)),ISNUMBER(SEARCH("수1.2.3",$H130))),1,"")</f>
        <v/>
      </c>
      <c r="R130" s="319">
        <f>IF(ISNUMBER(SEARCH("목1",$H130)),1,"")</f>
        <v/>
      </c>
      <c r="S130" s="319">
        <f>IF(OR(ISNUMBER(SEARCH("목2",$H130)),ISNUMBER(SEARCH("목1.2",$H130))),1,"")</f>
        <v/>
      </c>
      <c r="T130" s="319">
        <f>IF(OR(ISNUMBER(SEARCH("목3",$H130)),ISNUMBER(SEARCH("목1.3",$H130)),ISNUMBER(SEARCH("목2.3",$H130)),ISNUMBER(SEARCH("목1.2.3",$H130))),1,"")</f>
        <v/>
      </c>
      <c r="U130" s="319">
        <f>IF(ISNUMBER(SEARCH("금1",$H130)),1,"")</f>
        <v/>
      </c>
      <c r="V130" s="319">
        <f>IF(OR(ISNUMBER(SEARCH("금2",$H130)),ISNUMBER(SEARCH("금1.2",$H130))),1,"")</f>
        <v/>
      </c>
      <c r="W130" s="319">
        <f>IF(OR(ISNUMBER(SEARCH("금3",$H130)),ISNUMBER(SEARCH("금1.3",$H130)),ISNUMBER(SEARCH("금2.3",$H130)),ISNUMBER(SEARCH("금1.2.3",$H130))),1,"")</f>
        <v/>
      </c>
      <c r="X130" s="319">
        <f>IF(ISNUMBER(SEARCH("토1",$H130)),1,"")</f>
        <v/>
      </c>
      <c r="Y130" s="319">
        <f>IF(OR(ISNUMBER(SEARCH("토2",$H130)),ISNUMBER(SEARCH("토1.2",$H130))),1,"")</f>
        <v/>
      </c>
      <c r="Z130" s="319">
        <f>IF(OR(ISNUMBER(SEARCH("토3",$H130)),ISNUMBER(SEARCH("토1.3",$H130)),ISNUMBER(SEARCH("토2.3",$H130)),ISNUMBER(SEARCH("토1.2.3",$H130))),1,"")</f>
        <v/>
      </c>
      <c r="AA130" s="319">
        <f>IF(ISNUMBER(SEARCH("일1",$H130)),1,"")</f>
        <v/>
      </c>
      <c r="AB130" s="319">
        <f>IF(OR(ISNUMBER(SEARCH("일2",$H130)),ISNUMBER(SEARCH("일1.2",$H130))),1,"")</f>
        <v/>
      </c>
      <c r="AC130" s="319">
        <f>IF(OR(ISNUMBER(SEARCH("일3",$H130)),ISNUMBER(SEARCH("일1.3",$H130)),ISNUMBER(SEARCH("일2.3",$H130)),ISNUMBER(SEARCH("일1.2.3",$H130))),1,"")</f>
        <v/>
      </c>
      <c r="AD130" s="319">
        <f>SUM(I130:AC130)</f>
        <v/>
      </c>
      <c r="AE130" s="323" t="n"/>
    </row>
    <row r="131" ht="24" customHeight="1">
      <c r="A131" s="168" t="n"/>
      <c r="B131" s="319" t="n"/>
      <c r="C131" s="319" t="n"/>
      <c r="D131" s="319" t="n"/>
      <c r="E131" s="341" t="n"/>
      <c r="F131" s="341" t="n"/>
      <c r="G131" s="342" t="n"/>
      <c r="H131" s="322" t="n"/>
      <c r="I131" s="319">
        <f>IF(ISNUMBER(SEARCH("월1",$H131)),1,"")</f>
        <v/>
      </c>
      <c r="J131" s="319">
        <f>IF(OR(ISNUMBER(SEARCH("월2",$H131)),ISNUMBER(SEARCH("월1.2",$H131))),1,"")</f>
        <v/>
      </c>
      <c r="K131" s="319">
        <f>IF(OR(ISNUMBER(SEARCH("월3",$H131)),ISNUMBER(SEARCH("월1.3",$H131)),ISNUMBER(SEARCH("월2.3",$H131)),ISNUMBER(SEARCH("월1.2.3",$H131))),1,"")</f>
        <v/>
      </c>
      <c r="L131" s="319">
        <f>IF(ISNUMBER(SEARCH("화1",$H131)),1,"")</f>
        <v/>
      </c>
      <c r="M131" s="319">
        <f>IF(OR(ISNUMBER(SEARCH("화2",$H131)),ISNUMBER(SEARCH("화1.2",$H131))),1,"")</f>
        <v/>
      </c>
      <c r="N131" s="319">
        <f>IF(OR(ISNUMBER(SEARCH("화3",$H131)),ISNUMBER(SEARCH("화1.3",$H131)),ISNUMBER(SEARCH("화2.3",$H131)),ISNUMBER(SEARCH("화1.2.3",$H131))),1,"")</f>
        <v/>
      </c>
      <c r="O131" s="319">
        <f>IF(ISNUMBER(SEARCH("수1",$H131)),1,"")</f>
        <v/>
      </c>
      <c r="P131" s="319">
        <f>IF(OR(ISNUMBER(SEARCH("수2",$H131)),ISNUMBER(SEARCH("수1.2",$H131))),1,"")</f>
        <v/>
      </c>
      <c r="Q131" s="319">
        <f>IF(OR(ISNUMBER(SEARCH("수3",$H131)),ISNUMBER(SEARCH("수1.3",$H131)),ISNUMBER(SEARCH("수2.3",$H131)),ISNUMBER(SEARCH("수1.2.3",$H131))),1,"")</f>
        <v/>
      </c>
      <c r="R131" s="319">
        <f>IF(ISNUMBER(SEARCH("목1",$H131)),1,"")</f>
        <v/>
      </c>
      <c r="S131" s="319">
        <f>IF(OR(ISNUMBER(SEARCH("목2",$H131)),ISNUMBER(SEARCH("목1.2",$H131))),1,"")</f>
        <v/>
      </c>
      <c r="T131" s="319">
        <f>IF(OR(ISNUMBER(SEARCH("목3",$H131)),ISNUMBER(SEARCH("목1.3",$H131)),ISNUMBER(SEARCH("목2.3",$H131)),ISNUMBER(SEARCH("목1.2.3",$H131))),1,"")</f>
        <v/>
      </c>
      <c r="U131" s="319">
        <f>IF(ISNUMBER(SEARCH("금1",$H131)),1,"")</f>
        <v/>
      </c>
      <c r="V131" s="319">
        <f>IF(OR(ISNUMBER(SEARCH("금2",$H131)),ISNUMBER(SEARCH("금1.2",$H131))),1,"")</f>
        <v/>
      </c>
      <c r="W131" s="319">
        <f>IF(OR(ISNUMBER(SEARCH("금3",$H131)),ISNUMBER(SEARCH("금1.3",$H131)),ISNUMBER(SEARCH("금2.3",$H131)),ISNUMBER(SEARCH("금1.2.3",$H131))),1,"")</f>
        <v/>
      </c>
      <c r="X131" s="319">
        <f>IF(ISNUMBER(SEARCH("토1",$H131)),1,"")</f>
        <v/>
      </c>
      <c r="Y131" s="319">
        <f>IF(OR(ISNUMBER(SEARCH("토2",$H131)),ISNUMBER(SEARCH("토1.2",$H131))),1,"")</f>
        <v/>
      </c>
      <c r="Z131" s="319">
        <f>IF(OR(ISNUMBER(SEARCH("토3",$H131)),ISNUMBER(SEARCH("토1.3",$H131)),ISNUMBER(SEARCH("토2.3",$H131)),ISNUMBER(SEARCH("토1.2.3",$H131))),1,"")</f>
        <v/>
      </c>
      <c r="AA131" s="319">
        <f>IF(ISNUMBER(SEARCH("일1",$H131)),1,"")</f>
        <v/>
      </c>
      <c r="AB131" s="319">
        <f>IF(OR(ISNUMBER(SEARCH("일2",$H131)),ISNUMBER(SEARCH("일1.2",$H131))),1,"")</f>
        <v/>
      </c>
      <c r="AC131" s="319">
        <f>IF(OR(ISNUMBER(SEARCH("일3",$H131)),ISNUMBER(SEARCH("일1.3",$H131)),ISNUMBER(SEARCH("일2.3",$H131)),ISNUMBER(SEARCH("일1.2.3",$H131))),1,"")</f>
        <v/>
      </c>
      <c r="AD131" s="319">
        <f>SUM(I131:AC131)</f>
        <v/>
      </c>
      <c r="AE131" s="323" t="n"/>
    </row>
    <row r="132" ht="24" customHeight="1">
      <c r="A132" s="168" t="n"/>
      <c r="B132" s="319" t="n"/>
      <c r="C132" s="319" t="n"/>
      <c r="D132" s="319" t="n"/>
      <c r="E132" s="341" t="n"/>
      <c r="F132" s="341" t="n"/>
      <c r="G132" s="342" t="n"/>
      <c r="H132" s="322" t="n"/>
      <c r="I132" s="319">
        <f>IF(ISNUMBER(SEARCH("월1",$H132)),1,"")</f>
        <v/>
      </c>
      <c r="J132" s="319">
        <f>IF(OR(ISNUMBER(SEARCH("월2",$H132)),ISNUMBER(SEARCH("월1.2",$H132))),1,"")</f>
        <v/>
      </c>
      <c r="K132" s="319">
        <f>IF(OR(ISNUMBER(SEARCH("월3",$H132)),ISNUMBER(SEARCH("월1.3",$H132)),ISNUMBER(SEARCH("월2.3",$H132)),ISNUMBER(SEARCH("월1.2.3",$H132))),1,"")</f>
        <v/>
      </c>
      <c r="L132" s="319">
        <f>IF(ISNUMBER(SEARCH("화1",$H132)),1,"")</f>
        <v/>
      </c>
      <c r="M132" s="319">
        <f>IF(OR(ISNUMBER(SEARCH("화2",$H132)),ISNUMBER(SEARCH("화1.2",$H132))),1,"")</f>
        <v/>
      </c>
      <c r="N132" s="319">
        <f>IF(OR(ISNUMBER(SEARCH("화3",$H132)),ISNUMBER(SEARCH("화1.3",$H132)),ISNUMBER(SEARCH("화2.3",$H132)),ISNUMBER(SEARCH("화1.2.3",$H132))),1,"")</f>
        <v/>
      </c>
      <c r="O132" s="319">
        <f>IF(ISNUMBER(SEARCH("수1",$H132)),1,"")</f>
        <v/>
      </c>
      <c r="P132" s="319">
        <f>IF(OR(ISNUMBER(SEARCH("수2",$H132)),ISNUMBER(SEARCH("수1.2",$H132))),1,"")</f>
        <v/>
      </c>
      <c r="Q132" s="319">
        <f>IF(OR(ISNUMBER(SEARCH("수3",$H132)),ISNUMBER(SEARCH("수1.3",$H132)),ISNUMBER(SEARCH("수2.3",$H132)),ISNUMBER(SEARCH("수1.2.3",$H132))),1,"")</f>
        <v/>
      </c>
      <c r="R132" s="319">
        <f>IF(ISNUMBER(SEARCH("목1",$H132)),1,"")</f>
        <v/>
      </c>
      <c r="S132" s="319">
        <f>IF(OR(ISNUMBER(SEARCH("목2",$H132)),ISNUMBER(SEARCH("목1.2",$H132))),1,"")</f>
        <v/>
      </c>
      <c r="T132" s="319">
        <f>IF(OR(ISNUMBER(SEARCH("목3",$H132)),ISNUMBER(SEARCH("목1.3",$H132)),ISNUMBER(SEARCH("목2.3",$H132)),ISNUMBER(SEARCH("목1.2.3",$H132))),1,"")</f>
        <v/>
      </c>
      <c r="U132" s="319">
        <f>IF(ISNUMBER(SEARCH("금1",$H132)),1,"")</f>
        <v/>
      </c>
      <c r="V132" s="319">
        <f>IF(OR(ISNUMBER(SEARCH("금2",$H132)),ISNUMBER(SEARCH("금1.2",$H132))),1,"")</f>
        <v/>
      </c>
      <c r="W132" s="319">
        <f>IF(OR(ISNUMBER(SEARCH("금3",$H132)),ISNUMBER(SEARCH("금1.3",$H132)),ISNUMBER(SEARCH("금2.3",$H132)),ISNUMBER(SEARCH("금1.2.3",$H132))),1,"")</f>
        <v/>
      </c>
      <c r="X132" s="319">
        <f>IF(ISNUMBER(SEARCH("토1",$H132)),1,"")</f>
        <v/>
      </c>
      <c r="Y132" s="319">
        <f>IF(OR(ISNUMBER(SEARCH("토2",$H132)),ISNUMBER(SEARCH("토1.2",$H132))),1,"")</f>
        <v/>
      </c>
      <c r="Z132" s="319">
        <f>IF(OR(ISNUMBER(SEARCH("토3",$H132)),ISNUMBER(SEARCH("토1.3",$H132)),ISNUMBER(SEARCH("토2.3",$H132)),ISNUMBER(SEARCH("토1.2.3",$H132))),1,"")</f>
        <v/>
      </c>
      <c r="AA132" s="319">
        <f>IF(ISNUMBER(SEARCH("일1",$H132)),1,"")</f>
        <v/>
      </c>
      <c r="AB132" s="319">
        <f>IF(OR(ISNUMBER(SEARCH("일2",$H132)),ISNUMBER(SEARCH("일1.2",$H132))),1,"")</f>
        <v/>
      </c>
      <c r="AC132" s="319">
        <f>IF(OR(ISNUMBER(SEARCH("일3",$H132)),ISNUMBER(SEARCH("일1.3",$H132)),ISNUMBER(SEARCH("일2.3",$H132)),ISNUMBER(SEARCH("일1.2.3",$H132))),1,"")</f>
        <v/>
      </c>
      <c r="AD132" s="319">
        <f>SUM(I132:AC132)</f>
        <v/>
      </c>
      <c r="AE132" s="323" t="n"/>
    </row>
    <row r="133" ht="24" customHeight="1">
      <c r="A133" s="168" t="n"/>
      <c r="B133" s="319" t="n"/>
      <c r="C133" s="319" t="n"/>
      <c r="D133" s="319" t="n"/>
      <c r="E133" s="341" t="n"/>
      <c r="F133" s="341" t="n"/>
      <c r="G133" s="342" t="n"/>
      <c r="H133" s="322" t="n"/>
      <c r="I133" s="319">
        <f>IF(ISNUMBER(SEARCH("월1",$H133)),1,"")</f>
        <v/>
      </c>
      <c r="J133" s="319">
        <f>IF(OR(ISNUMBER(SEARCH("월2",$H133)),ISNUMBER(SEARCH("월1.2",$H133))),1,"")</f>
        <v/>
      </c>
      <c r="K133" s="319">
        <f>IF(OR(ISNUMBER(SEARCH("월3",$H133)),ISNUMBER(SEARCH("월1.3",$H133)),ISNUMBER(SEARCH("월2.3",$H133)),ISNUMBER(SEARCH("월1.2.3",$H133))),1,"")</f>
        <v/>
      </c>
      <c r="L133" s="319">
        <f>IF(ISNUMBER(SEARCH("화1",$H133)),1,"")</f>
        <v/>
      </c>
      <c r="M133" s="319">
        <f>IF(OR(ISNUMBER(SEARCH("화2",$H133)),ISNUMBER(SEARCH("화1.2",$H133))),1,"")</f>
        <v/>
      </c>
      <c r="N133" s="319">
        <f>IF(OR(ISNUMBER(SEARCH("화3",$H133)),ISNUMBER(SEARCH("화1.3",$H133)),ISNUMBER(SEARCH("화2.3",$H133)),ISNUMBER(SEARCH("화1.2.3",$H133))),1,"")</f>
        <v/>
      </c>
      <c r="O133" s="319">
        <f>IF(ISNUMBER(SEARCH("수1",$H133)),1,"")</f>
        <v/>
      </c>
      <c r="P133" s="319">
        <f>IF(OR(ISNUMBER(SEARCH("수2",$H133)),ISNUMBER(SEARCH("수1.2",$H133))),1,"")</f>
        <v/>
      </c>
      <c r="Q133" s="319">
        <f>IF(OR(ISNUMBER(SEARCH("수3",$H133)),ISNUMBER(SEARCH("수1.3",$H133)),ISNUMBER(SEARCH("수2.3",$H133)),ISNUMBER(SEARCH("수1.2.3",$H133))),1,"")</f>
        <v/>
      </c>
      <c r="R133" s="319">
        <f>IF(ISNUMBER(SEARCH("목1",$H133)),1,"")</f>
        <v/>
      </c>
      <c r="S133" s="319">
        <f>IF(OR(ISNUMBER(SEARCH("목2",$H133)),ISNUMBER(SEARCH("목1.2",$H133))),1,"")</f>
        <v/>
      </c>
      <c r="T133" s="319">
        <f>IF(OR(ISNUMBER(SEARCH("목3",$H133)),ISNUMBER(SEARCH("목1.3",$H133)),ISNUMBER(SEARCH("목2.3",$H133)),ISNUMBER(SEARCH("목1.2.3",$H133))),1,"")</f>
        <v/>
      </c>
      <c r="U133" s="319">
        <f>IF(ISNUMBER(SEARCH("금1",$H133)),1,"")</f>
        <v/>
      </c>
      <c r="V133" s="319">
        <f>IF(OR(ISNUMBER(SEARCH("금2",$H133)),ISNUMBER(SEARCH("금1.2",$H133))),1,"")</f>
        <v/>
      </c>
      <c r="W133" s="319">
        <f>IF(OR(ISNUMBER(SEARCH("금3",$H133)),ISNUMBER(SEARCH("금1.3",$H133)),ISNUMBER(SEARCH("금2.3",$H133)),ISNUMBER(SEARCH("금1.2.3",$H133))),1,"")</f>
        <v/>
      </c>
      <c r="X133" s="319">
        <f>IF(ISNUMBER(SEARCH("토1",$H133)),1,"")</f>
        <v/>
      </c>
      <c r="Y133" s="319">
        <f>IF(OR(ISNUMBER(SEARCH("토2",$H133)),ISNUMBER(SEARCH("토1.2",$H133))),1,"")</f>
        <v/>
      </c>
      <c r="Z133" s="319">
        <f>IF(OR(ISNUMBER(SEARCH("토3",$H133)),ISNUMBER(SEARCH("토1.3",$H133)),ISNUMBER(SEARCH("토2.3",$H133)),ISNUMBER(SEARCH("토1.2.3",$H133))),1,"")</f>
        <v/>
      </c>
      <c r="AA133" s="319">
        <f>IF(ISNUMBER(SEARCH("일1",$H133)),1,"")</f>
        <v/>
      </c>
      <c r="AB133" s="319">
        <f>IF(OR(ISNUMBER(SEARCH("일2",$H133)),ISNUMBER(SEARCH("일1.2",$H133))),1,"")</f>
        <v/>
      </c>
      <c r="AC133" s="319">
        <f>IF(OR(ISNUMBER(SEARCH("일3",$H133)),ISNUMBER(SEARCH("일1.3",$H133)),ISNUMBER(SEARCH("일2.3",$H133)),ISNUMBER(SEARCH("일1.2.3",$H133))),1,"")</f>
        <v/>
      </c>
      <c r="AD133" s="319">
        <f>SUM(I133:AC133)</f>
        <v/>
      </c>
      <c r="AE133" s="323" t="n"/>
    </row>
    <row r="134" ht="24" customHeight="1">
      <c r="A134" s="168" t="n"/>
      <c r="B134" s="319" t="n"/>
      <c r="C134" s="319" t="n"/>
      <c r="D134" s="319" t="n"/>
      <c r="E134" s="341" t="n"/>
      <c r="F134" s="341" t="n"/>
      <c r="G134" s="342" t="n"/>
      <c r="H134" s="322" t="n"/>
      <c r="I134" s="319">
        <f>IF(ISNUMBER(SEARCH("월1",$H134)),1,"")</f>
        <v/>
      </c>
      <c r="J134" s="319">
        <f>IF(OR(ISNUMBER(SEARCH("월2",$H134)),ISNUMBER(SEARCH("월1.2",$H134))),1,"")</f>
        <v/>
      </c>
      <c r="K134" s="319">
        <f>IF(OR(ISNUMBER(SEARCH("월3",$H134)),ISNUMBER(SEARCH("월1.3",$H134)),ISNUMBER(SEARCH("월2.3",$H134)),ISNUMBER(SEARCH("월1.2.3",$H134))),1,"")</f>
        <v/>
      </c>
      <c r="L134" s="319">
        <f>IF(ISNUMBER(SEARCH("화1",$H134)),1,"")</f>
        <v/>
      </c>
      <c r="M134" s="319">
        <f>IF(OR(ISNUMBER(SEARCH("화2",$H134)),ISNUMBER(SEARCH("화1.2",$H134))),1,"")</f>
        <v/>
      </c>
      <c r="N134" s="319">
        <f>IF(OR(ISNUMBER(SEARCH("화3",$H134)),ISNUMBER(SEARCH("화1.3",$H134)),ISNUMBER(SEARCH("화2.3",$H134)),ISNUMBER(SEARCH("화1.2.3",$H134))),1,"")</f>
        <v/>
      </c>
      <c r="O134" s="319">
        <f>IF(ISNUMBER(SEARCH("수1",$H134)),1,"")</f>
        <v/>
      </c>
      <c r="P134" s="319">
        <f>IF(OR(ISNUMBER(SEARCH("수2",$H134)),ISNUMBER(SEARCH("수1.2",$H134))),1,"")</f>
        <v/>
      </c>
      <c r="Q134" s="319">
        <f>IF(OR(ISNUMBER(SEARCH("수3",$H134)),ISNUMBER(SEARCH("수1.3",$H134)),ISNUMBER(SEARCH("수2.3",$H134)),ISNUMBER(SEARCH("수1.2.3",$H134))),1,"")</f>
        <v/>
      </c>
      <c r="R134" s="319">
        <f>IF(ISNUMBER(SEARCH("목1",$H134)),1,"")</f>
        <v/>
      </c>
      <c r="S134" s="319">
        <f>IF(OR(ISNUMBER(SEARCH("목2",$H134)),ISNUMBER(SEARCH("목1.2",$H134))),1,"")</f>
        <v/>
      </c>
      <c r="T134" s="319">
        <f>IF(OR(ISNUMBER(SEARCH("목3",$H134)),ISNUMBER(SEARCH("목1.3",$H134)),ISNUMBER(SEARCH("목2.3",$H134)),ISNUMBER(SEARCH("목1.2.3",$H134))),1,"")</f>
        <v/>
      </c>
      <c r="U134" s="319">
        <f>IF(ISNUMBER(SEARCH("금1",$H134)),1,"")</f>
        <v/>
      </c>
      <c r="V134" s="319">
        <f>IF(OR(ISNUMBER(SEARCH("금2",$H134)),ISNUMBER(SEARCH("금1.2",$H134))),1,"")</f>
        <v/>
      </c>
      <c r="W134" s="319">
        <f>IF(OR(ISNUMBER(SEARCH("금3",$H134)),ISNUMBER(SEARCH("금1.3",$H134)),ISNUMBER(SEARCH("금2.3",$H134)),ISNUMBER(SEARCH("금1.2.3",$H134))),1,"")</f>
        <v/>
      </c>
      <c r="X134" s="319">
        <f>IF(ISNUMBER(SEARCH("토1",$H134)),1,"")</f>
        <v/>
      </c>
      <c r="Y134" s="319">
        <f>IF(OR(ISNUMBER(SEARCH("토2",$H134)),ISNUMBER(SEARCH("토1.2",$H134))),1,"")</f>
        <v/>
      </c>
      <c r="Z134" s="319">
        <f>IF(OR(ISNUMBER(SEARCH("토3",$H134)),ISNUMBER(SEARCH("토1.3",$H134)),ISNUMBER(SEARCH("토2.3",$H134)),ISNUMBER(SEARCH("토1.2.3",$H134))),1,"")</f>
        <v/>
      </c>
      <c r="AA134" s="319">
        <f>IF(ISNUMBER(SEARCH("일1",$H134)),1,"")</f>
        <v/>
      </c>
      <c r="AB134" s="319">
        <f>IF(OR(ISNUMBER(SEARCH("일2",$H134)),ISNUMBER(SEARCH("일1.2",$H134))),1,"")</f>
        <v/>
      </c>
      <c r="AC134" s="319">
        <f>IF(OR(ISNUMBER(SEARCH("일3",$H134)),ISNUMBER(SEARCH("일1.3",$H134)),ISNUMBER(SEARCH("일2.3",$H134)),ISNUMBER(SEARCH("일1.2.3",$H134))),1,"")</f>
        <v/>
      </c>
      <c r="AD134" s="319">
        <f>SUM(I134:AC134)</f>
        <v/>
      </c>
      <c r="AE134" s="323" t="n"/>
    </row>
    <row r="135" ht="24" customHeight="1">
      <c r="A135" s="168" t="n"/>
      <c r="B135" s="319" t="n"/>
      <c r="C135" s="319" t="n"/>
      <c r="D135" s="319" t="n"/>
      <c r="E135" s="341" t="n"/>
      <c r="F135" s="341" t="n"/>
      <c r="G135" s="342" t="n"/>
      <c r="H135" s="322" t="n"/>
      <c r="I135" s="319">
        <f>IF(ISNUMBER(SEARCH("월1",$H135)),1,"")</f>
        <v/>
      </c>
      <c r="J135" s="319">
        <f>IF(OR(ISNUMBER(SEARCH("월2",$H135)),ISNUMBER(SEARCH("월1.2",$H135))),1,"")</f>
        <v/>
      </c>
      <c r="K135" s="319">
        <f>IF(OR(ISNUMBER(SEARCH("월3",$H135)),ISNUMBER(SEARCH("월1.3",$H135)),ISNUMBER(SEARCH("월2.3",$H135)),ISNUMBER(SEARCH("월1.2.3",$H135))),1,"")</f>
        <v/>
      </c>
      <c r="L135" s="319">
        <f>IF(ISNUMBER(SEARCH("화1",$H135)),1,"")</f>
        <v/>
      </c>
      <c r="M135" s="319">
        <f>IF(OR(ISNUMBER(SEARCH("화2",$H135)),ISNUMBER(SEARCH("화1.2",$H135))),1,"")</f>
        <v/>
      </c>
      <c r="N135" s="319">
        <f>IF(OR(ISNUMBER(SEARCH("화3",$H135)),ISNUMBER(SEARCH("화1.3",$H135)),ISNUMBER(SEARCH("화2.3",$H135)),ISNUMBER(SEARCH("화1.2.3",$H135))),1,"")</f>
        <v/>
      </c>
      <c r="O135" s="319">
        <f>IF(ISNUMBER(SEARCH("수1",$H135)),1,"")</f>
        <v/>
      </c>
      <c r="P135" s="319">
        <f>IF(OR(ISNUMBER(SEARCH("수2",$H135)),ISNUMBER(SEARCH("수1.2",$H135))),1,"")</f>
        <v/>
      </c>
      <c r="Q135" s="319">
        <f>IF(OR(ISNUMBER(SEARCH("수3",$H135)),ISNUMBER(SEARCH("수1.3",$H135)),ISNUMBER(SEARCH("수2.3",$H135)),ISNUMBER(SEARCH("수1.2.3",$H135))),1,"")</f>
        <v/>
      </c>
      <c r="R135" s="319">
        <f>IF(ISNUMBER(SEARCH("목1",$H135)),1,"")</f>
        <v/>
      </c>
      <c r="S135" s="319">
        <f>IF(OR(ISNUMBER(SEARCH("목2",$H135)),ISNUMBER(SEARCH("목1.2",$H135))),1,"")</f>
        <v/>
      </c>
      <c r="T135" s="319">
        <f>IF(OR(ISNUMBER(SEARCH("목3",$H135)),ISNUMBER(SEARCH("목1.3",$H135)),ISNUMBER(SEARCH("목2.3",$H135)),ISNUMBER(SEARCH("목1.2.3",$H135))),1,"")</f>
        <v/>
      </c>
      <c r="U135" s="319">
        <f>IF(ISNUMBER(SEARCH("금1",$H135)),1,"")</f>
        <v/>
      </c>
      <c r="V135" s="319">
        <f>IF(OR(ISNUMBER(SEARCH("금2",$H135)),ISNUMBER(SEARCH("금1.2",$H135))),1,"")</f>
        <v/>
      </c>
      <c r="W135" s="319">
        <f>IF(OR(ISNUMBER(SEARCH("금3",$H135)),ISNUMBER(SEARCH("금1.3",$H135)),ISNUMBER(SEARCH("금2.3",$H135)),ISNUMBER(SEARCH("금1.2.3",$H135))),1,"")</f>
        <v/>
      </c>
      <c r="X135" s="319">
        <f>IF(ISNUMBER(SEARCH("토1",$H135)),1,"")</f>
        <v/>
      </c>
      <c r="Y135" s="319">
        <f>IF(OR(ISNUMBER(SEARCH("토2",$H135)),ISNUMBER(SEARCH("토1.2",$H135))),1,"")</f>
        <v/>
      </c>
      <c r="Z135" s="319">
        <f>IF(OR(ISNUMBER(SEARCH("토3",$H135)),ISNUMBER(SEARCH("토1.3",$H135)),ISNUMBER(SEARCH("토2.3",$H135)),ISNUMBER(SEARCH("토1.2.3",$H135))),1,"")</f>
        <v/>
      </c>
      <c r="AA135" s="319">
        <f>IF(ISNUMBER(SEARCH("일1",$H135)),1,"")</f>
        <v/>
      </c>
      <c r="AB135" s="319">
        <f>IF(OR(ISNUMBER(SEARCH("일2",$H135)),ISNUMBER(SEARCH("일1.2",$H135))),1,"")</f>
        <v/>
      </c>
      <c r="AC135" s="319">
        <f>IF(OR(ISNUMBER(SEARCH("일3",$H135)),ISNUMBER(SEARCH("일1.3",$H135)),ISNUMBER(SEARCH("일2.3",$H135)),ISNUMBER(SEARCH("일1.2.3",$H135))),1,"")</f>
        <v/>
      </c>
      <c r="AD135" s="319">
        <f>SUM(I135:AC135)</f>
        <v/>
      </c>
      <c r="AE135" s="323" t="n"/>
    </row>
    <row r="136" ht="24" customHeight="1">
      <c r="A136" s="168" t="n"/>
      <c r="B136" s="319" t="n"/>
      <c r="C136" s="319" t="n"/>
      <c r="D136" s="319" t="n"/>
      <c r="E136" s="341" t="n"/>
      <c r="F136" s="341" t="n"/>
      <c r="G136" s="342" t="n"/>
      <c r="H136" s="322" t="n"/>
      <c r="I136" s="319">
        <f>IF(ISNUMBER(SEARCH("월1",$H136)),1,"")</f>
        <v/>
      </c>
      <c r="J136" s="319">
        <f>IF(OR(ISNUMBER(SEARCH("월2",$H136)),ISNUMBER(SEARCH("월1.2",$H136))),1,"")</f>
        <v/>
      </c>
      <c r="K136" s="319">
        <f>IF(OR(ISNUMBER(SEARCH("월3",$H136)),ISNUMBER(SEARCH("월1.3",$H136)),ISNUMBER(SEARCH("월2.3",$H136)),ISNUMBER(SEARCH("월1.2.3",$H136))),1,"")</f>
        <v/>
      </c>
      <c r="L136" s="319">
        <f>IF(ISNUMBER(SEARCH("화1",$H136)),1,"")</f>
        <v/>
      </c>
      <c r="M136" s="319">
        <f>IF(OR(ISNUMBER(SEARCH("화2",$H136)),ISNUMBER(SEARCH("화1.2",$H136))),1,"")</f>
        <v/>
      </c>
      <c r="N136" s="319">
        <f>IF(OR(ISNUMBER(SEARCH("화3",$H136)),ISNUMBER(SEARCH("화1.3",$H136)),ISNUMBER(SEARCH("화2.3",$H136)),ISNUMBER(SEARCH("화1.2.3",$H136))),1,"")</f>
        <v/>
      </c>
      <c r="O136" s="319">
        <f>IF(ISNUMBER(SEARCH("수1",$H136)),1,"")</f>
        <v/>
      </c>
      <c r="P136" s="319">
        <f>IF(OR(ISNUMBER(SEARCH("수2",$H136)),ISNUMBER(SEARCH("수1.2",$H136))),1,"")</f>
        <v/>
      </c>
      <c r="Q136" s="319">
        <f>IF(OR(ISNUMBER(SEARCH("수3",$H136)),ISNUMBER(SEARCH("수1.3",$H136)),ISNUMBER(SEARCH("수2.3",$H136)),ISNUMBER(SEARCH("수1.2.3",$H136))),1,"")</f>
        <v/>
      </c>
      <c r="R136" s="319">
        <f>IF(ISNUMBER(SEARCH("목1",$H136)),1,"")</f>
        <v/>
      </c>
      <c r="S136" s="319">
        <f>IF(OR(ISNUMBER(SEARCH("목2",$H136)),ISNUMBER(SEARCH("목1.2",$H136))),1,"")</f>
        <v/>
      </c>
      <c r="T136" s="319">
        <f>IF(OR(ISNUMBER(SEARCH("목3",$H136)),ISNUMBER(SEARCH("목1.3",$H136)),ISNUMBER(SEARCH("목2.3",$H136)),ISNUMBER(SEARCH("목1.2.3",$H136))),1,"")</f>
        <v/>
      </c>
      <c r="U136" s="319">
        <f>IF(ISNUMBER(SEARCH("금1",$H136)),1,"")</f>
        <v/>
      </c>
      <c r="V136" s="319">
        <f>IF(OR(ISNUMBER(SEARCH("금2",$H136)),ISNUMBER(SEARCH("금1.2",$H136))),1,"")</f>
        <v/>
      </c>
      <c r="W136" s="319">
        <f>IF(OR(ISNUMBER(SEARCH("금3",$H136)),ISNUMBER(SEARCH("금1.3",$H136)),ISNUMBER(SEARCH("금2.3",$H136)),ISNUMBER(SEARCH("금1.2.3",$H136))),1,"")</f>
        <v/>
      </c>
      <c r="X136" s="319">
        <f>IF(ISNUMBER(SEARCH("토1",$H136)),1,"")</f>
        <v/>
      </c>
      <c r="Y136" s="319">
        <f>IF(OR(ISNUMBER(SEARCH("토2",$H136)),ISNUMBER(SEARCH("토1.2",$H136))),1,"")</f>
        <v/>
      </c>
      <c r="Z136" s="319">
        <f>IF(OR(ISNUMBER(SEARCH("토3",$H136)),ISNUMBER(SEARCH("토1.3",$H136)),ISNUMBER(SEARCH("토2.3",$H136)),ISNUMBER(SEARCH("토1.2.3",$H136))),1,"")</f>
        <v/>
      </c>
      <c r="AA136" s="319">
        <f>IF(ISNUMBER(SEARCH("일1",$H136)),1,"")</f>
        <v/>
      </c>
      <c r="AB136" s="319">
        <f>IF(OR(ISNUMBER(SEARCH("일2",$H136)),ISNUMBER(SEARCH("일1.2",$H136))),1,"")</f>
        <v/>
      </c>
      <c r="AC136" s="319">
        <f>IF(OR(ISNUMBER(SEARCH("일3",$H136)),ISNUMBER(SEARCH("일1.3",$H136)),ISNUMBER(SEARCH("일2.3",$H136)),ISNUMBER(SEARCH("일1.2.3",$H136))),1,"")</f>
        <v/>
      </c>
      <c r="AD136" s="319">
        <f>SUM(I136:AC136)</f>
        <v/>
      </c>
      <c r="AE136" s="323" t="n"/>
    </row>
    <row r="137" ht="24" customHeight="1">
      <c r="A137" s="168" t="n"/>
      <c r="B137" s="319" t="n"/>
      <c r="C137" s="319" t="n"/>
      <c r="D137" s="319" t="n"/>
      <c r="E137" s="341" t="n"/>
      <c r="F137" s="341" t="n"/>
      <c r="G137" s="342" t="n"/>
      <c r="H137" s="322" t="n"/>
      <c r="I137" s="319">
        <f>IF(ISNUMBER(SEARCH("월1",$H137)),1,"")</f>
        <v/>
      </c>
      <c r="J137" s="319">
        <f>IF(OR(ISNUMBER(SEARCH("월2",$H137)),ISNUMBER(SEARCH("월1.2",$H137))),1,"")</f>
        <v/>
      </c>
      <c r="K137" s="319">
        <f>IF(OR(ISNUMBER(SEARCH("월3",$H137)),ISNUMBER(SEARCH("월1.3",$H137)),ISNUMBER(SEARCH("월2.3",$H137)),ISNUMBER(SEARCH("월1.2.3",$H137))),1,"")</f>
        <v/>
      </c>
      <c r="L137" s="319">
        <f>IF(ISNUMBER(SEARCH("화1",$H137)),1,"")</f>
        <v/>
      </c>
      <c r="M137" s="319">
        <f>IF(OR(ISNUMBER(SEARCH("화2",$H137)),ISNUMBER(SEARCH("화1.2",$H137))),1,"")</f>
        <v/>
      </c>
      <c r="N137" s="319">
        <f>IF(OR(ISNUMBER(SEARCH("화3",$H137)),ISNUMBER(SEARCH("화1.3",$H137)),ISNUMBER(SEARCH("화2.3",$H137)),ISNUMBER(SEARCH("화1.2.3",$H137))),1,"")</f>
        <v/>
      </c>
      <c r="O137" s="319">
        <f>IF(ISNUMBER(SEARCH("수1",$H137)),1,"")</f>
        <v/>
      </c>
      <c r="P137" s="319">
        <f>IF(OR(ISNUMBER(SEARCH("수2",$H137)),ISNUMBER(SEARCH("수1.2",$H137))),1,"")</f>
        <v/>
      </c>
      <c r="Q137" s="319">
        <f>IF(OR(ISNUMBER(SEARCH("수3",$H137)),ISNUMBER(SEARCH("수1.3",$H137)),ISNUMBER(SEARCH("수2.3",$H137)),ISNUMBER(SEARCH("수1.2.3",$H137))),1,"")</f>
        <v/>
      </c>
      <c r="R137" s="319">
        <f>IF(ISNUMBER(SEARCH("목1",$H137)),1,"")</f>
        <v/>
      </c>
      <c r="S137" s="319">
        <f>IF(OR(ISNUMBER(SEARCH("목2",$H137)),ISNUMBER(SEARCH("목1.2",$H137))),1,"")</f>
        <v/>
      </c>
      <c r="T137" s="319">
        <f>IF(OR(ISNUMBER(SEARCH("목3",$H137)),ISNUMBER(SEARCH("목1.3",$H137)),ISNUMBER(SEARCH("목2.3",$H137)),ISNUMBER(SEARCH("목1.2.3",$H137))),1,"")</f>
        <v/>
      </c>
      <c r="U137" s="319">
        <f>IF(ISNUMBER(SEARCH("금1",$H137)),1,"")</f>
        <v/>
      </c>
      <c r="V137" s="319">
        <f>IF(OR(ISNUMBER(SEARCH("금2",$H137)),ISNUMBER(SEARCH("금1.2",$H137))),1,"")</f>
        <v/>
      </c>
      <c r="W137" s="319">
        <f>IF(OR(ISNUMBER(SEARCH("금3",$H137)),ISNUMBER(SEARCH("금1.3",$H137)),ISNUMBER(SEARCH("금2.3",$H137)),ISNUMBER(SEARCH("금1.2.3",$H137))),1,"")</f>
        <v/>
      </c>
      <c r="X137" s="319">
        <f>IF(ISNUMBER(SEARCH("토1",$H137)),1,"")</f>
        <v/>
      </c>
      <c r="Y137" s="319">
        <f>IF(OR(ISNUMBER(SEARCH("토2",$H137)),ISNUMBER(SEARCH("토1.2",$H137))),1,"")</f>
        <v/>
      </c>
      <c r="Z137" s="319">
        <f>IF(OR(ISNUMBER(SEARCH("토3",$H137)),ISNUMBER(SEARCH("토1.3",$H137)),ISNUMBER(SEARCH("토2.3",$H137)),ISNUMBER(SEARCH("토1.2.3",$H137))),1,"")</f>
        <v/>
      </c>
      <c r="AA137" s="319">
        <f>IF(ISNUMBER(SEARCH("일1",$H137)),1,"")</f>
        <v/>
      </c>
      <c r="AB137" s="319">
        <f>IF(OR(ISNUMBER(SEARCH("일2",$H137)),ISNUMBER(SEARCH("일1.2",$H137))),1,"")</f>
        <v/>
      </c>
      <c r="AC137" s="319">
        <f>IF(OR(ISNUMBER(SEARCH("일3",$H137)),ISNUMBER(SEARCH("일1.3",$H137)),ISNUMBER(SEARCH("일2.3",$H137)),ISNUMBER(SEARCH("일1.2.3",$H137))),1,"")</f>
        <v/>
      </c>
      <c r="AD137" s="319">
        <f>SUM(I137:AC137)</f>
        <v/>
      </c>
      <c r="AE137" s="323" t="n"/>
    </row>
    <row r="138" ht="24" customHeight="1">
      <c r="A138" s="168" t="n"/>
      <c r="B138" s="319" t="n"/>
      <c r="C138" s="319" t="n"/>
      <c r="D138" s="319" t="n"/>
      <c r="E138" s="341" t="n"/>
      <c r="F138" s="341" t="n"/>
      <c r="G138" s="342" t="n"/>
      <c r="H138" s="322" t="n"/>
      <c r="I138" s="319">
        <f>IF(ISNUMBER(SEARCH("월1",$H138)),1,"")</f>
        <v/>
      </c>
      <c r="J138" s="319">
        <f>IF(OR(ISNUMBER(SEARCH("월2",$H138)),ISNUMBER(SEARCH("월1.2",$H138))),1,"")</f>
        <v/>
      </c>
      <c r="K138" s="319">
        <f>IF(OR(ISNUMBER(SEARCH("월3",$H138)),ISNUMBER(SEARCH("월1.3",$H138)),ISNUMBER(SEARCH("월2.3",$H138)),ISNUMBER(SEARCH("월1.2.3",$H138))),1,"")</f>
        <v/>
      </c>
      <c r="L138" s="319">
        <f>IF(ISNUMBER(SEARCH("화1",$H138)),1,"")</f>
        <v/>
      </c>
      <c r="M138" s="319">
        <f>IF(OR(ISNUMBER(SEARCH("화2",$H138)),ISNUMBER(SEARCH("화1.2",$H138))),1,"")</f>
        <v/>
      </c>
      <c r="N138" s="319">
        <f>IF(OR(ISNUMBER(SEARCH("화3",$H138)),ISNUMBER(SEARCH("화1.3",$H138)),ISNUMBER(SEARCH("화2.3",$H138)),ISNUMBER(SEARCH("화1.2.3",$H138))),1,"")</f>
        <v/>
      </c>
      <c r="O138" s="319">
        <f>IF(ISNUMBER(SEARCH("수1",$H138)),1,"")</f>
        <v/>
      </c>
      <c r="P138" s="319">
        <f>IF(OR(ISNUMBER(SEARCH("수2",$H138)),ISNUMBER(SEARCH("수1.2",$H138))),1,"")</f>
        <v/>
      </c>
      <c r="Q138" s="319">
        <f>IF(OR(ISNUMBER(SEARCH("수3",$H138)),ISNUMBER(SEARCH("수1.3",$H138)),ISNUMBER(SEARCH("수2.3",$H138)),ISNUMBER(SEARCH("수1.2.3",$H138))),1,"")</f>
        <v/>
      </c>
      <c r="R138" s="319">
        <f>IF(ISNUMBER(SEARCH("목1",$H138)),1,"")</f>
        <v/>
      </c>
      <c r="S138" s="319">
        <f>IF(OR(ISNUMBER(SEARCH("목2",$H138)),ISNUMBER(SEARCH("목1.2",$H138))),1,"")</f>
        <v/>
      </c>
      <c r="T138" s="319">
        <f>IF(OR(ISNUMBER(SEARCH("목3",$H138)),ISNUMBER(SEARCH("목1.3",$H138)),ISNUMBER(SEARCH("목2.3",$H138)),ISNUMBER(SEARCH("목1.2.3",$H138))),1,"")</f>
        <v/>
      </c>
      <c r="U138" s="319">
        <f>IF(ISNUMBER(SEARCH("금1",$H138)),1,"")</f>
        <v/>
      </c>
      <c r="V138" s="319">
        <f>IF(OR(ISNUMBER(SEARCH("금2",$H138)),ISNUMBER(SEARCH("금1.2",$H138))),1,"")</f>
        <v/>
      </c>
      <c r="W138" s="319">
        <f>IF(OR(ISNUMBER(SEARCH("금3",$H138)),ISNUMBER(SEARCH("금1.3",$H138)),ISNUMBER(SEARCH("금2.3",$H138)),ISNUMBER(SEARCH("금1.2.3",$H138))),1,"")</f>
        <v/>
      </c>
      <c r="X138" s="319">
        <f>IF(ISNUMBER(SEARCH("토1",$H138)),1,"")</f>
        <v/>
      </c>
      <c r="Y138" s="319">
        <f>IF(OR(ISNUMBER(SEARCH("토2",$H138)),ISNUMBER(SEARCH("토1.2",$H138))),1,"")</f>
        <v/>
      </c>
      <c r="Z138" s="319">
        <f>IF(OR(ISNUMBER(SEARCH("토3",$H138)),ISNUMBER(SEARCH("토1.3",$H138)),ISNUMBER(SEARCH("토2.3",$H138)),ISNUMBER(SEARCH("토1.2.3",$H138))),1,"")</f>
        <v/>
      </c>
      <c r="AA138" s="319">
        <f>IF(ISNUMBER(SEARCH("일1",$H138)),1,"")</f>
        <v/>
      </c>
      <c r="AB138" s="319">
        <f>IF(OR(ISNUMBER(SEARCH("일2",$H138)),ISNUMBER(SEARCH("일1.2",$H138))),1,"")</f>
        <v/>
      </c>
      <c r="AC138" s="319">
        <f>IF(OR(ISNUMBER(SEARCH("일3",$H138)),ISNUMBER(SEARCH("일1.3",$H138)),ISNUMBER(SEARCH("일2.3",$H138)),ISNUMBER(SEARCH("일1.2.3",$H138))),1,"")</f>
        <v/>
      </c>
      <c r="AD138" s="319">
        <f>SUM(I138:AC138)</f>
        <v/>
      </c>
      <c r="AE138" s="323" t="n"/>
    </row>
    <row r="139" ht="24" customHeight="1">
      <c r="A139" s="168" t="n"/>
      <c r="B139" s="319" t="n"/>
      <c r="C139" s="319" t="n"/>
      <c r="D139" s="319" t="n"/>
      <c r="E139" s="341" t="n"/>
      <c r="F139" s="341" t="n"/>
      <c r="G139" s="342" t="n"/>
      <c r="H139" s="322" t="n"/>
      <c r="I139" s="319">
        <f>IF(ISNUMBER(SEARCH("월1",$H139)),1,"")</f>
        <v/>
      </c>
      <c r="J139" s="319">
        <f>IF(OR(ISNUMBER(SEARCH("월2",$H139)),ISNUMBER(SEARCH("월1.2",$H139))),1,"")</f>
        <v/>
      </c>
      <c r="K139" s="319">
        <f>IF(OR(ISNUMBER(SEARCH("월3",$H139)),ISNUMBER(SEARCH("월1.3",$H139)),ISNUMBER(SEARCH("월2.3",$H139)),ISNUMBER(SEARCH("월1.2.3",$H139))),1,"")</f>
        <v/>
      </c>
      <c r="L139" s="319">
        <f>IF(ISNUMBER(SEARCH("화1",$H139)),1,"")</f>
        <v/>
      </c>
      <c r="M139" s="319">
        <f>IF(OR(ISNUMBER(SEARCH("화2",$H139)),ISNUMBER(SEARCH("화1.2",$H139))),1,"")</f>
        <v/>
      </c>
      <c r="N139" s="319">
        <f>IF(OR(ISNUMBER(SEARCH("화3",$H139)),ISNUMBER(SEARCH("화1.3",$H139)),ISNUMBER(SEARCH("화2.3",$H139)),ISNUMBER(SEARCH("화1.2.3",$H139))),1,"")</f>
        <v/>
      </c>
      <c r="O139" s="319">
        <f>IF(ISNUMBER(SEARCH("수1",$H139)),1,"")</f>
        <v/>
      </c>
      <c r="P139" s="319">
        <f>IF(OR(ISNUMBER(SEARCH("수2",$H139)),ISNUMBER(SEARCH("수1.2",$H139))),1,"")</f>
        <v/>
      </c>
      <c r="Q139" s="319">
        <f>IF(OR(ISNUMBER(SEARCH("수3",$H139)),ISNUMBER(SEARCH("수1.3",$H139)),ISNUMBER(SEARCH("수2.3",$H139)),ISNUMBER(SEARCH("수1.2.3",$H139))),1,"")</f>
        <v/>
      </c>
      <c r="R139" s="319">
        <f>IF(ISNUMBER(SEARCH("목1",$H139)),1,"")</f>
        <v/>
      </c>
      <c r="S139" s="319">
        <f>IF(OR(ISNUMBER(SEARCH("목2",$H139)),ISNUMBER(SEARCH("목1.2",$H139))),1,"")</f>
        <v/>
      </c>
      <c r="T139" s="319">
        <f>IF(OR(ISNUMBER(SEARCH("목3",$H139)),ISNUMBER(SEARCH("목1.3",$H139)),ISNUMBER(SEARCH("목2.3",$H139)),ISNUMBER(SEARCH("목1.2.3",$H139))),1,"")</f>
        <v/>
      </c>
      <c r="U139" s="319">
        <f>IF(ISNUMBER(SEARCH("금1",$H139)),1,"")</f>
        <v/>
      </c>
      <c r="V139" s="319">
        <f>IF(OR(ISNUMBER(SEARCH("금2",$H139)),ISNUMBER(SEARCH("금1.2",$H139))),1,"")</f>
        <v/>
      </c>
      <c r="W139" s="319">
        <f>IF(OR(ISNUMBER(SEARCH("금3",$H139)),ISNUMBER(SEARCH("금1.3",$H139)),ISNUMBER(SEARCH("금2.3",$H139)),ISNUMBER(SEARCH("금1.2.3",$H139))),1,"")</f>
        <v/>
      </c>
      <c r="X139" s="319">
        <f>IF(ISNUMBER(SEARCH("토1",$H139)),1,"")</f>
        <v/>
      </c>
      <c r="Y139" s="319">
        <f>IF(OR(ISNUMBER(SEARCH("토2",$H139)),ISNUMBER(SEARCH("토1.2",$H139))),1,"")</f>
        <v/>
      </c>
      <c r="Z139" s="319">
        <f>IF(OR(ISNUMBER(SEARCH("토3",$H139)),ISNUMBER(SEARCH("토1.3",$H139)),ISNUMBER(SEARCH("토2.3",$H139)),ISNUMBER(SEARCH("토1.2.3",$H139))),1,"")</f>
        <v/>
      </c>
      <c r="AA139" s="319">
        <f>IF(ISNUMBER(SEARCH("일1",$H139)),1,"")</f>
        <v/>
      </c>
      <c r="AB139" s="319">
        <f>IF(OR(ISNUMBER(SEARCH("일2",$H139)),ISNUMBER(SEARCH("일1.2",$H139))),1,"")</f>
        <v/>
      </c>
      <c r="AC139" s="319">
        <f>IF(OR(ISNUMBER(SEARCH("일3",$H139)),ISNUMBER(SEARCH("일1.3",$H139)),ISNUMBER(SEARCH("일2.3",$H139)),ISNUMBER(SEARCH("일1.2.3",$H139))),1,"")</f>
        <v/>
      </c>
      <c r="AD139" s="319">
        <f>SUM(I139:AC139)</f>
        <v/>
      </c>
      <c r="AE139" s="323" t="n"/>
    </row>
    <row r="140" ht="24" customHeight="1">
      <c r="A140" s="168" t="n"/>
      <c r="B140" s="319" t="n"/>
      <c r="C140" s="319" t="n"/>
      <c r="D140" s="319" t="n"/>
      <c r="E140" s="341" t="n"/>
      <c r="F140" s="341" t="n"/>
      <c r="G140" s="342" t="n"/>
      <c r="H140" s="322" t="n"/>
      <c r="I140" s="319">
        <f>IF(ISNUMBER(SEARCH("월1",$H140)),1,"")</f>
        <v/>
      </c>
      <c r="J140" s="319">
        <f>IF(OR(ISNUMBER(SEARCH("월2",$H140)),ISNUMBER(SEARCH("월1.2",$H140))),1,"")</f>
        <v/>
      </c>
      <c r="K140" s="319">
        <f>IF(OR(ISNUMBER(SEARCH("월3",$H140)),ISNUMBER(SEARCH("월1.3",$H140)),ISNUMBER(SEARCH("월2.3",$H140)),ISNUMBER(SEARCH("월1.2.3",$H140))),1,"")</f>
        <v/>
      </c>
      <c r="L140" s="319">
        <f>IF(ISNUMBER(SEARCH("화1",$H140)),1,"")</f>
        <v/>
      </c>
      <c r="M140" s="319">
        <f>IF(OR(ISNUMBER(SEARCH("화2",$H140)),ISNUMBER(SEARCH("화1.2",$H140))),1,"")</f>
        <v/>
      </c>
      <c r="N140" s="319">
        <f>IF(OR(ISNUMBER(SEARCH("화3",$H140)),ISNUMBER(SEARCH("화1.3",$H140)),ISNUMBER(SEARCH("화2.3",$H140)),ISNUMBER(SEARCH("화1.2.3",$H140))),1,"")</f>
        <v/>
      </c>
      <c r="O140" s="319">
        <f>IF(ISNUMBER(SEARCH("수1",$H140)),1,"")</f>
        <v/>
      </c>
      <c r="P140" s="319">
        <f>IF(OR(ISNUMBER(SEARCH("수2",$H140)),ISNUMBER(SEARCH("수1.2",$H140))),1,"")</f>
        <v/>
      </c>
      <c r="Q140" s="319">
        <f>IF(OR(ISNUMBER(SEARCH("수3",$H140)),ISNUMBER(SEARCH("수1.3",$H140)),ISNUMBER(SEARCH("수2.3",$H140)),ISNUMBER(SEARCH("수1.2.3",$H140))),1,"")</f>
        <v/>
      </c>
      <c r="R140" s="319">
        <f>IF(ISNUMBER(SEARCH("목1",$H140)),1,"")</f>
        <v/>
      </c>
      <c r="S140" s="319">
        <f>IF(OR(ISNUMBER(SEARCH("목2",$H140)),ISNUMBER(SEARCH("목1.2",$H140))),1,"")</f>
        <v/>
      </c>
      <c r="T140" s="319">
        <f>IF(OR(ISNUMBER(SEARCH("목3",$H140)),ISNUMBER(SEARCH("목1.3",$H140)),ISNUMBER(SEARCH("목2.3",$H140)),ISNUMBER(SEARCH("목1.2.3",$H140))),1,"")</f>
        <v/>
      </c>
      <c r="U140" s="319">
        <f>IF(ISNUMBER(SEARCH("금1",$H140)),1,"")</f>
        <v/>
      </c>
      <c r="V140" s="319">
        <f>IF(OR(ISNUMBER(SEARCH("금2",$H140)),ISNUMBER(SEARCH("금1.2",$H140))),1,"")</f>
        <v/>
      </c>
      <c r="W140" s="319">
        <f>IF(OR(ISNUMBER(SEARCH("금3",$H140)),ISNUMBER(SEARCH("금1.3",$H140)),ISNUMBER(SEARCH("금2.3",$H140)),ISNUMBER(SEARCH("금1.2.3",$H140))),1,"")</f>
        <v/>
      </c>
      <c r="X140" s="319">
        <f>IF(ISNUMBER(SEARCH("토1",$H140)),1,"")</f>
        <v/>
      </c>
      <c r="Y140" s="319">
        <f>IF(OR(ISNUMBER(SEARCH("토2",$H140)),ISNUMBER(SEARCH("토1.2",$H140))),1,"")</f>
        <v/>
      </c>
      <c r="Z140" s="319">
        <f>IF(OR(ISNUMBER(SEARCH("토3",$H140)),ISNUMBER(SEARCH("토1.3",$H140)),ISNUMBER(SEARCH("토2.3",$H140)),ISNUMBER(SEARCH("토1.2.3",$H140))),1,"")</f>
        <v/>
      </c>
      <c r="AA140" s="319">
        <f>IF(ISNUMBER(SEARCH("일1",$H140)),1,"")</f>
        <v/>
      </c>
      <c r="AB140" s="319">
        <f>IF(OR(ISNUMBER(SEARCH("일2",$H140)),ISNUMBER(SEARCH("일1.2",$H140))),1,"")</f>
        <v/>
      </c>
      <c r="AC140" s="319">
        <f>IF(OR(ISNUMBER(SEARCH("일3",$H140)),ISNUMBER(SEARCH("일1.3",$H140)),ISNUMBER(SEARCH("일2.3",$H140)),ISNUMBER(SEARCH("일1.2.3",$H140))),1,"")</f>
        <v/>
      </c>
      <c r="AD140" s="319">
        <f>SUM(I140:AC140)</f>
        <v/>
      </c>
      <c r="AE140" s="323" t="n"/>
    </row>
    <row r="141" ht="24" customHeight="1">
      <c r="A141" s="168" t="n"/>
      <c r="B141" s="319" t="n"/>
      <c r="C141" s="319" t="n"/>
      <c r="D141" s="319" t="n"/>
      <c r="E141" s="341" t="n"/>
      <c r="F141" s="341" t="n"/>
      <c r="G141" s="342" t="n"/>
      <c r="H141" s="322" t="n"/>
      <c r="I141" s="319">
        <f>IF(ISNUMBER(SEARCH("월1",$H141)),1,"")</f>
        <v/>
      </c>
      <c r="J141" s="319">
        <f>IF(OR(ISNUMBER(SEARCH("월2",$H141)),ISNUMBER(SEARCH("월1.2",$H141))),1,"")</f>
        <v/>
      </c>
      <c r="K141" s="319">
        <f>IF(OR(ISNUMBER(SEARCH("월3",$H141)),ISNUMBER(SEARCH("월1.3",$H141)),ISNUMBER(SEARCH("월2.3",$H141)),ISNUMBER(SEARCH("월1.2.3",$H141))),1,"")</f>
        <v/>
      </c>
      <c r="L141" s="319">
        <f>IF(ISNUMBER(SEARCH("화1",$H141)),1,"")</f>
        <v/>
      </c>
      <c r="M141" s="319">
        <f>IF(OR(ISNUMBER(SEARCH("화2",$H141)),ISNUMBER(SEARCH("화1.2",$H141))),1,"")</f>
        <v/>
      </c>
      <c r="N141" s="319">
        <f>IF(OR(ISNUMBER(SEARCH("화3",$H141)),ISNUMBER(SEARCH("화1.3",$H141)),ISNUMBER(SEARCH("화2.3",$H141)),ISNUMBER(SEARCH("화1.2.3",$H141))),1,"")</f>
        <v/>
      </c>
      <c r="O141" s="319">
        <f>IF(ISNUMBER(SEARCH("수1",$H141)),1,"")</f>
        <v/>
      </c>
      <c r="P141" s="319">
        <f>IF(OR(ISNUMBER(SEARCH("수2",$H141)),ISNUMBER(SEARCH("수1.2",$H141))),1,"")</f>
        <v/>
      </c>
      <c r="Q141" s="319">
        <f>IF(OR(ISNUMBER(SEARCH("수3",$H141)),ISNUMBER(SEARCH("수1.3",$H141)),ISNUMBER(SEARCH("수2.3",$H141)),ISNUMBER(SEARCH("수1.2.3",$H141))),1,"")</f>
        <v/>
      </c>
      <c r="R141" s="319">
        <f>IF(ISNUMBER(SEARCH("목1",$H141)),1,"")</f>
        <v/>
      </c>
      <c r="S141" s="319">
        <f>IF(OR(ISNUMBER(SEARCH("목2",$H141)),ISNUMBER(SEARCH("목1.2",$H141))),1,"")</f>
        <v/>
      </c>
      <c r="T141" s="319">
        <f>IF(OR(ISNUMBER(SEARCH("목3",$H141)),ISNUMBER(SEARCH("목1.3",$H141)),ISNUMBER(SEARCH("목2.3",$H141)),ISNUMBER(SEARCH("목1.2.3",$H141))),1,"")</f>
        <v/>
      </c>
      <c r="U141" s="319">
        <f>IF(ISNUMBER(SEARCH("금1",$H141)),1,"")</f>
        <v/>
      </c>
      <c r="V141" s="319">
        <f>IF(OR(ISNUMBER(SEARCH("금2",$H141)),ISNUMBER(SEARCH("금1.2",$H141))),1,"")</f>
        <v/>
      </c>
      <c r="W141" s="319">
        <f>IF(OR(ISNUMBER(SEARCH("금3",$H141)),ISNUMBER(SEARCH("금1.3",$H141)),ISNUMBER(SEARCH("금2.3",$H141)),ISNUMBER(SEARCH("금1.2.3",$H141))),1,"")</f>
        <v/>
      </c>
      <c r="X141" s="319">
        <f>IF(ISNUMBER(SEARCH("토1",$H141)),1,"")</f>
        <v/>
      </c>
      <c r="Y141" s="319">
        <f>IF(OR(ISNUMBER(SEARCH("토2",$H141)),ISNUMBER(SEARCH("토1.2",$H141))),1,"")</f>
        <v/>
      </c>
      <c r="Z141" s="319">
        <f>IF(OR(ISNUMBER(SEARCH("토3",$H141)),ISNUMBER(SEARCH("토1.3",$H141)),ISNUMBER(SEARCH("토2.3",$H141)),ISNUMBER(SEARCH("토1.2.3",$H141))),1,"")</f>
        <v/>
      </c>
      <c r="AA141" s="319">
        <f>IF(ISNUMBER(SEARCH("일1",$H141)),1,"")</f>
        <v/>
      </c>
      <c r="AB141" s="319">
        <f>IF(OR(ISNUMBER(SEARCH("일2",$H141)),ISNUMBER(SEARCH("일1.2",$H141))),1,"")</f>
        <v/>
      </c>
      <c r="AC141" s="319">
        <f>IF(OR(ISNUMBER(SEARCH("일3",$H141)),ISNUMBER(SEARCH("일1.3",$H141)),ISNUMBER(SEARCH("일2.3",$H141)),ISNUMBER(SEARCH("일1.2.3",$H141))),1,"")</f>
        <v/>
      </c>
      <c r="AD141" s="319">
        <f>SUM(I141:AC141)</f>
        <v/>
      </c>
      <c r="AE141" s="323" t="n"/>
    </row>
    <row r="142" ht="24" customHeight="1">
      <c r="A142" s="168" t="n"/>
      <c r="B142" s="319" t="n"/>
      <c r="C142" s="319" t="n"/>
      <c r="D142" s="319" t="n"/>
      <c r="E142" s="341" t="n"/>
      <c r="F142" s="341" t="n"/>
      <c r="G142" s="342" t="n"/>
      <c r="H142" s="322" t="n"/>
      <c r="I142" s="319">
        <f>IF(ISNUMBER(SEARCH("월1",$H142)),1,"")</f>
        <v/>
      </c>
      <c r="J142" s="319">
        <f>IF(OR(ISNUMBER(SEARCH("월2",$H142)),ISNUMBER(SEARCH("월1.2",$H142))),1,"")</f>
        <v/>
      </c>
      <c r="K142" s="319">
        <f>IF(OR(ISNUMBER(SEARCH("월3",$H142)),ISNUMBER(SEARCH("월1.3",$H142)),ISNUMBER(SEARCH("월2.3",$H142)),ISNUMBER(SEARCH("월1.2.3",$H142))),1,"")</f>
        <v/>
      </c>
      <c r="L142" s="319">
        <f>IF(ISNUMBER(SEARCH("화1",$H142)),1,"")</f>
        <v/>
      </c>
      <c r="M142" s="319">
        <f>IF(OR(ISNUMBER(SEARCH("화2",$H142)),ISNUMBER(SEARCH("화1.2",$H142))),1,"")</f>
        <v/>
      </c>
      <c r="N142" s="319">
        <f>IF(OR(ISNUMBER(SEARCH("화3",$H142)),ISNUMBER(SEARCH("화1.3",$H142)),ISNUMBER(SEARCH("화2.3",$H142)),ISNUMBER(SEARCH("화1.2.3",$H142))),1,"")</f>
        <v/>
      </c>
      <c r="O142" s="319">
        <f>IF(ISNUMBER(SEARCH("수1",$H142)),1,"")</f>
        <v/>
      </c>
      <c r="P142" s="319">
        <f>IF(OR(ISNUMBER(SEARCH("수2",$H142)),ISNUMBER(SEARCH("수1.2",$H142))),1,"")</f>
        <v/>
      </c>
      <c r="Q142" s="319">
        <f>IF(OR(ISNUMBER(SEARCH("수3",$H142)),ISNUMBER(SEARCH("수1.3",$H142)),ISNUMBER(SEARCH("수2.3",$H142)),ISNUMBER(SEARCH("수1.2.3",$H142))),1,"")</f>
        <v/>
      </c>
      <c r="R142" s="319">
        <f>IF(ISNUMBER(SEARCH("목1",$H142)),1,"")</f>
        <v/>
      </c>
      <c r="S142" s="319">
        <f>IF(OR(ISNUMBER(SEARCH("목2",$H142)),ISNUMBER(SEARCH("목1.2",$H142))),1,"")</f>
        <v/>
      </c>
      <c r="T142" s="319">
        <f>IF(OR(ISNUMBER(SEARCH("목3",$H142)),ISNUMBER(SEARCH("목1.3",$H142)),ISNUMBER(SEARCH("목2.3",$H142)),ISNUMBER(SEARCH("목1.2.3",$H142))),1,"")</f>
        <v/>
      </c>
      <c r="U142" s="319">
        <f>IF(ISNUMBER(SEARCH("금1",$H142)),1,"")</f>
        <v/>
      </c>
      <c r="V142" s="319">
        <f>IF(OR(ISNUMBER(SEARCH("금2",$H142)),ISNUMBER(SEARCH("금1.2",$H142))),1,"")</f>
        <v/>
      </c>
      <c r="W142" s="319">
        <f>IF(OR(ISNUMBER(SEARCH("금3",$H142)),ISNUMBER(SEARCH("금1.3",$H142)),ISNUMBER(SEARCH("금2.3",$H142)),ISNUMBER(SEARCH("금1.2.3",$H142))),1,"")</f>
        <v/>
      </c>
      <c r="X142" s="319">
        <f>IF(ISNUMBER(SEARCH("토1",$H142)),1,"")</f>
        <v/>
      </c>
      <c r="Y142" s="319">
        <f>IF(OR(ISNUMBER(SEARCH("토2",$H142)),ISNUMBER(SEARCH("토1.2",$H142))),1,"")</f>
        <v/>
      </c>
      <c r="Z142" s="319">
        <f>IF(OR(ISNUMBER(SEARCH("토3",$H142)),ISNUMBER(SEARCH("토1.3",$H142)),ISNUMBER(SEARCH("토2.3",$H142)),ISNUMBER(SEARCH("토1.2.3",$H142))),1,"")</f>
        <v/>
      </c>
      <c r="AA142" s="319">
        <f>IF(ISNUMBER(SEARCH("일1",$H142)),1,"")</f>
        <v/>
      </c>
      <c r="AB142" s="319">
        <f>IF(OR(ISNUMBER(SEARCH("일2",$H142)),ISNUMBER(SEARCH("일1.2",$H142))),1,"")</f>
        <v/>
      </c>
      <c r="AC142" s="319">
        <f>IF(OR(ISNUMBER(SEARCH("일3",$H142)),ISNUMBER(SEARCH("일1.3",$H142)),ISNUMBER(SEARCH("일2.3",$H142)),ISNUMBER(SEARCH("일1.2.3",$H142))),1,"")</f>
        <v/>
      </c>
      <c r="AD142" s="319">
        <f>SUM(I142:AC142)</f>
        <v/>
      </c>
      <c r="AE142" s="323" t="n"/>
    </row>
    <row r="143" ht="24" customHeight="1">
      <c r="A143" s="168" t="n"/>
      <c r="B143" s="319" t="n"/>
      <c r="C143" s="319" t="n"/>
      <c r="D143" s="319" t="n"/>
      <c r="E143" s="341" t="n"/>
      <c r="F143" s="341" t="n"/>
      <c r="G143" s="342" t="n"/>
      <c r="H143" s="322" t="n"/>
      <c r="I143" s="319">
        <f>IF(ISNUMBER(SEARCH("월1",$H143)),1,"")</f>
        <v/>
      </c>
      <c r="J143" s="319">
        <f>IF(OR(ISNUMBER(SEARCH("월2",$H143)),ISNUMBER(SEARCH("월1.2",$H143))),1,"")</f>
        <v/>
      </c>
      <c r="K143" s="319">
        <f>IF(OR(ISNUMBER(SEARCH("월3",$H143)),ISNUMBER(SEARCH("월1.3",$H143)),ISNUMBER(SEARCH("월2.3",$H143)),ISNUMBER(SEARCH("월1.2.3",$H143))),1,"")</f>
        <v/>
      </c>
      <c r="L143" s="319">
        <f>IF(ISNUMBER(SEARCH("화1",$H143)),1,"")</f>
        <v/>
      </c>
      <c r="M143" s="319">
        <f>IF(OR(ISNUMBER(SEARCH("화2",$H143)),ISNUMBER(SEARCH("화1.2",$H143))),1,"")</f>
        <v/>
      </c>
      <c r="N143" s="319">
        <f>IF(OR(ISNUMBER(SEARCH("화3",$H143)),ISNUMBER(SEARCH("화1.3",$H143)),ISNUMBER(SEARCH("화2.3",$H143)),ISNUMBER(SEARCH("화1.2.3",$H143))),1,"")</f>
        <v/>
      </c>
      <c r="O143" s="319">
        <f>IF(ISNUMBER(SEARCH("수1",$H143)),1,"")</f>
        <v/>
      </c>
      <c r="P143" s="319">
        <f>IF(OR(ISNUMBER(SEARCH("수2",$H143)),ISNUMBER(SEARCH("수1.2",$H143))),1,"")</f>
        <v/>
      </c>
      <c r="Q143" s="319">
        <f>IF(OR(ISNUMBER(SEARCH("수3",$H143)),ISNUMBER(SEARCH("수1.3",$H143)),ISNUMBER(SEARCH("수2.3",$H143)),ISNUMBER(SEARCH("수1.2.3",$H143))),1,"")</f>
        <v/>
      </c>
      <c r="R143" s="319">
        <f>IF(ISNUMBER(SEARCH("목1",$H143)),1,"")</f>
        <v/>
      </c>
      <c r="S143" s="319">
        <f>IF(OR(ISNUMBER(SEARCH("목2",$H143)),ISNUMBER(SEARCH("목1.2",$H143))),1,"")</f>
        <v/>
      </c>
      <c r="T143" s="319">
        <f>IF(OR(ISNUMBER(SEARCH("목3",$H143)),ISNUMBER(SEARCH("목1.3",$H143)),ISNUMBER(SEARCH("목2.3",$H143)),ISNUMBER(SEARCH("목1.2.3",$H143))),1,"")</f>
        <v/>
      </c>
      <c r="U143" s="319">
        <f>IF(ISNUMBER(SEARCH("금1",$H143)),1,"")</f>
        <v/>
      </c>
      <c r="V143" s="319">
        <f>IF(OR(ISNUMBER(SEARCH("금2",$H143)),ISNUMBER(SEARCH("금1.2",$H143))),1,"")</f>
        <v/>
      </c>
      <c r="W143" s="319">
        <f>IF(OR(ISNUMBER(SEARCH("금3",$H143)),ISNUMBER(SEARCH("금1.3",$H143)),ISNUMBER(SEARCH("금2.3",$H143)),ISNUMBER(SEARCH("금1.2.3",$H143))),1,"")</f>
        <v/>
      </c>
      <c r="X143" s="319">
        <f>IF(ISNUMBER(SEARCH("토1",$H143)),1,"")</f>
        <v/>
      </c>
      <c r="Y143" s="319">
        <f>IF(OR(ISNUMBER(SEARCH("토2",$H143)),ISNUMBER(SEARCH("토1.2",$H143))),1,"")</f>
        <v/>
      </c>
      <c r="Z143" s="319">
        <f>IF(OR(ISNUMBER(SEARCH("토3",$H143)),ISNUMBER(SEARCH("토1.3",$H143)),ISNUMBER(SEARCH("토2.3",$H143)),ISNUMBER(SEARCH("토1.2.3",$H143))),1,"")</f>
        <v/>
      </c>
      <c r="AA143" s="319">
        <f>IF(ISNUMBER(SEARCH("일1",$H143)),1,"")</f>
        <v/>
      </c>
      <c r="AB143" s="319">
        <f>IF(OR(ISNUMBER(SEARCH("일2",$H143)),ISNUMBER(SEARCH("일1.2",$H143))),1,"")</f>
        <v/>
      </c>
      <c r="AC143" s="319">
        <f>IF(OR(ISNUMBER(SEARCH("일3",$H143)),ISNUMBER(SEARCH("일1.3",$H143)),ISNUMBER(SEARCH("일2.3",$H143)),ISNUMBER(SEARCH("일1.2.3",$H143))),1,"")</f>
        <v/>
      </c>
      <c r="AD143" s="319">
        <f>SUM(I143:AC143)</f>
        <v/>
      </c>
      <c r="AE143" s="323" t="n"/>
    </row>
    <row r="144" ht="24" customHeight="1">
      <c r="A144" s="168" t="n"/>
      <c r="B144" s="319" t="n"/>
      <c r="C144" s="319" t="n"/>
      <c r="D144" s="319" t="n"/>
      <c r="E144" s="341" t="n"/>
      <c r="F144" s="341" t="n"/>
      <c r="G144" s="342" t="n"/>
      <c r="H144" s="322" t="n"/>
      <c r="I144" s="319">
        <f>IF(ISNUMBER(SEARCH("월1",$H144)),1,"")</f>
        <v/>
      </c>
      <c r="J144" s="319">
        <f>IF(OR(ISNUMBER(SEARCH("월2",$H144)),ISNUMBER(SEARCH("월1.2",$H144))),1,"")</f>
        <v/>
      </c>
      <c r="K144" s="319">
        <f>IF(OR(ISNUMBER(SEARCH("월3",$H144)),ISNUMBER(SEARCH("월1.3",$H144)),ISNUMBER(SEARCH("월2.3",$H144)),ISNUMBER(SEARCH("월1.2.3",$H144))),1,"")</f>
        <v/>
      </c>
      <c r="L144" s="319">
        <f>IF(ISNUMBER(SEARCH("화1",$H144)),1,"")</f>
        <v/>
      </c>
      <c r="M144" s="319">
        <f>IF(OR(ISNUMBER(SEARCH("화2",$H144)),ISNUMBER(SEARCH("화1.2",$H144))),1,"")</f>
        <v/>
      </c>
      <c r="N144" s="319">
        <f>IF(OR(ISNUMBER(SEARCH("화3",$H144)),ISNUMBER(SEARCH("화1.3",$H144)),ISNUMBER(SEARCH("화2.3",$H144)),ISNUMBER(SEARCH("화1.2.3",$H144))),1,"")</f>
        <v/>
      </c>
      <c r="O144" s="319">
        <f>IF(ISNUMBER(SEARCH("수1",$H144)),1,"")</f>
        <v/>
      </c>
      <c r="P144" s="319">
        <f>IF(OR(ISNUMBER(SEARCH("수2",$H144)),ISNUMBER(SEARCH("수1.2",$H144))),1,"")</f>
        <v/>
      </c>
      <c r="Q144" s="319">
        <f>IF(OR(ISNUMBER(SEARCH("수3",$H144)),ISNUMBER(SEARCH("수1.3",$H144)),ISNUMBER(SEARCH("수2.3",$H144)),ISNUMBER(SEARCH("수1.2.3",$H144))),1,"")</f>
        <v/>
      </c>
      <c r="R144" s="319">
        <f>IF(ISNUMBER(SEARCH("목1",$H144)),1,"")</f>
        <v/>
      </c>
      <c r="S144" s="319">
        <f>IF(OR(ISNUMBER(SEARCH("목2",$H144)),ISNUMBER(SEARCH("목1.2",$H144))),1,"")</f>
        <v/>
      </c>
      <c r="T144" s="319">
        <f>IF(OR(ISNUMBER(SEARCH("목3",$H144)),ISNUMBER(SEARCH("목1.3",$H144)),ISNUMBER(SEARCH("목2.3",$H144)),ISNUMBER(SEARCH("목1.2.3",$H144))),1,"")</f>
        <v/>
      </c>
      <c r="U144" s="319">
        <f>IF(ISNUMBER(SEARCH("금1",$H144)),1,"")</f>
        <v/>
      </c>
      <c r="V144" s="319">
        <f>IF(OR(ISNUMBER(SEARCH("금2",$H144)),ISNUMBER(SEARCH("금1.2",$H144))),1,"")</f>
        <v/>
      </c>
      <c r="W144" s="319">
        <f>IF(OR(ISNUMBER(SEARCH("금3",$H144)),ISNUMBER(SEARCH("금1.3",$H144)),ISNUMBER(SEARCH("금2.3",$H144)),ISNUMBER(SEARCH("금1.2.3",$H144))),1,"")</f>
        <v/>
      </c>
      <c r="X144" s="319">
        <f>IF(ISNUMBER(SEARCH("토1",$H144)),1,"")</f>
        <v/>
      </c>
      <c r="Y144" s="319">
        <f>IF(OR(ISNUMBER(SEARCH("토2",$H144)),ISNUMBER(SEARCH("토1.2",$H144))),1,"")</f>
        <v/>
      </c>
      <c r="Z144" s="319">
        <f>IF(OR(ISNUMBER(SEARCH("토3",$H144)),ISNUMBER(SEARCH("토1.3",$H144)),ISNUMBER(SEARCH("토2.3",$H144)),ISNUMBER(SEARCH("토1.2.3",$H144))),1,"")</f>
        <v/>
      </c>
      <c r="AA144" s="319">
        <f>IF(ISNUMBER(SEARCH("일1",$H144)),1,"")</f>
        <v/>
      </c>
      <c r="AB144" s="319">
        <f>IF(OR(ISNUMBER(SEARCH("일2",$H144)),ISNUMBER(SEARCH("일1.2",$H144))),1,"")</f>
        <v/>
      </c>
      <c r="AC144" s="319">
        <f>IF(OR(ISNUMBER(SEARCH("일3",$H144)),ISNUMBER(SEARCH("일1.3",$H144)),ISNUMBER(SEARCH("일2.3",$H144)),ISNUMBER(SEARCH("일1.2.3",$H144))),1,"")</f>
        <v/>
      </c>
      <c r="AD144" s="319">
        <f>SUM(I144:AC144)</f>
        <v/>
      </c>
      <c r="AE144" s="323" t="n"/>
    </row>
    <row r="145" ht="24" customHeight="1">
      <c r="A145" s="168" t="n"/>
      <c r="B145" s="319" t="n"/>
      <c r="C145" s="319" t="n"/>
      <c r="D145" s="319" t="n"/>
      <c r="E145" s="341" t="n"/>
      <c r="F145" s="341" t="n"/>
      <c r="G145" s="342" t="n"/>
      <c r="H145" s="322" t="n"/>
      <c r="I145" s="319">
        <f>IF(ISNUMBER(SEARCH("월1",$H145)),1,"")</f>
        <v/>
      </c>
      <c r="J145" s="319">
        <f>IF(OR(ISNUMBER(SEARCH("월2",$H145)),ISNUMBER(SEARCH("월1.2",$H145))),1,"")</f>
        <v/>
      </c>
      <c r="K145" s="319">
        <f>IF(OR(ISNUMBER(SEARCH("월3",$H145)),ISNUMBER(SEARCH("월1.3",$H145)),ISNUMBER(SEARCH("월2.3",$H145)),ISNUMBER(SEARCH("월1.2.3",$H145))),1,"")</f>
        <v/>
      </c>
      <c r="L145" s="319">
        <f>IF(ISNUMBER(SEARCH("화1",$H145)),1,"")</f>
        <v/>
      </c>
      <c r="M145" s="319">
        <f>IF(OR(ISNUMBER(SEARCH("화2",$H145)),ISNUMBER(SEARCH("화1.2",$H145))),1,"")</f>
        <v/>
      </c>
      <c r="N145" s="319">
        <f>IF(OR(ISNUMBER(SEARCH("화3",$H145)),ISNUMBER(SEARCH("화1.3",$H145)),ISNUMBER(SEARCH("화2.3",$H145)),ISNUMBER(SEARCH("화1.2.3",$H145))),1,"")</f>
        <v/>
      </c>
      <c r="O145" s="319">
        <f>IF(ISNUMBER(SEARCH("수1",$H145)),1,"")</f>
        <v/>
      </c>
      <c r="P145" s="319">
        <f>IF(OR(ISNUMBER(SEARCH("수2",$H145)),ISNUMBER(SEARCH("수1.2",$H145))),1,"")</f>
        <v/>
      </c>
      <c r="Q145" s="319">
        <f>IF(OR(ISNUMBER(SEARCH("수3",$H145)),ISNUMBER(SEARCH("수1.3",$H145)),ISNUMBER(SEARCH("수2.3",$H145)),ISNUMBER(SEARCH("수1.2.3",$H145))),1,"")</f>
        <v/>
      </c>
      <c r="R145" s="319">
        <f>IF(ISNUMBER(SEARCH("목1",$H145)),1,"")</f>
        <v/>
      </c>
      <c r="S145" s="319">
        <f>IF(OR(ISNUMBER(SEARCH("목2",$H145)),ISNUMBER(SEARCH("목1.2",$H145))),1,"")</f>
        <v/>
      </c>
      <c r="T145" s="319">
        <f>IF(OR(ISNUMBER(SEARCH("목3",$H145)),ISNUMBER(SEARCH("목1.3",$H145)),ISNUMBER(SEARCH("목2.3",$H145)),ISNUMBER(SEARCH("목1.2.3",$H145))),1,"")</f>
        <v/>
      </c>
      <c r="U145" s="319">
        <f>IF(ISNUMBER(SEARCH("금1",$H145)),1,"")</f>
        <v/>
      </c>
      <c r="V145" s="319">
        <f>IF(OR(ISNUMBER(SEARCH("금2",$H145)),ISNUMBER(SEARCH("금1.2",$H145))),1,"")</f>
        <v/>
      </c>
      <c r="W145" s="319">
        <f>IF(OR(ISNUMBER(SEARCH("금3",$H145)),ISNUMBER(SEARCH("금1.3",$H145)),ISNUMBER(SEARCH("금2.3",$H145)),ISNUMBER(SEARCH("금1.2.3",$H145))),1,"")</f>
        <v/>
      </c>
      <c r="X145" s="319">
        <f>IF(ISNUMBER(SEARCH("토1",$H145)),1,"")</f>
        <v/>
      </c>
      <c r="Y145" s="319">
        <f>IF(OR(ISNUMBER(SEARCH("토2",$H145)),ISNUMBER(SEARCH("토1.2",$H145))),1,"")</f>
        <v/>
      </c>
      <c r="Z145" s="319">
        <f>IF(OR(ISNUMBER(SEARCH("토3",$H145)),ISNUMBER(SEARCH("토1.3",$H145)),ISNUMBER(SEARCH("토2.3",$H145)),ISNUMBER(SEARCH("토1.2.3",$H145))),1,"")</f>
        <v/>
      </c>
      <c r="AA145" s="319">
        <f>IF(ISNUMBER(SEARCH("일1",$H145)),1,"")</f>
        <v/>
      </c>
      <c r="AB145" s="319">
        <f>IF(OR(ISNUMBER(SEARCH("일2",$H145)),ISNUMBER(SEARCH("일1.2",$H145))),1,"")</f>
        <v/>
      </c>
      <c r="AC145" s="319">
        <f>IF(OR(ISNUMBER(SEARCH("일3",$H145)),ISNUMBER(SEARCH("일1.3",$H145)),ISNUMBER(SEARCH("일2.3",$H145)),ISNUMBER(SEARCH("일1.2.3",$H145))),1,"")</f>
        <v/>
      </c>
      <c r="AD145" s="319">
        <f>SUM(I145:AC145)</f>
        <v/>
      </c>
      <c r="AE145" s="323" t="n"/>
    </row>
    <row r="146" ht="24" customHeight="1">
      <c r="A146" s="168" t="n"/>
      <c r="B146" s="319" t="n"/>
      <c r="C146" s="319" t="n"/>
      <c r="D146" s="319" t="n"/>
      <c r="E146" s="341" t="n"/>
      <c r="F146" s="341" t="n"/>
      <c r="G146" s="342" t="n"/>
      <c r="H146" s="322" t="n"/>
      <c r="I146" s="319">
        <f>IF(ISNUMBER(SEARCH("월1",$H146)),1,"")</f>
        <v/>
      </c>
      <c r="J146" s="319">
        <f>IF(OR(ISNUMBER(SEARCH("월2",$H146)),ISNUMBER(SEARCH("월1.2",$H146))),1,"")</f>
        <v/>
      </c>
      <c r="K146" s="319">
        <f>IF(OR(ISNUMBER(SEARCH("월3",$H146)),ISNUMBER(SEARCH("월1.3",$H146)),ISNUMBER(SEARCH("월2.3",$H146)),ISNUMBER(SEARCH("월1.2.3",$H146))),1,"")</f>
        <v/>
      </c>
      <c r="L146" s="319">
        <f>IF(ISNUMBER(SEARCH("화1",$H146)),1,"")</f>
        <v/>
      </c>
      <c r="M146" s="319">
        <f>IF(OR(ISNUMBER(SEARCH("화2",$H146)),ISNUMBER(SEARCH("화1.2",$H146))),1,"")</f>
        <v/>
      </c>
      <c r="N146" s="319">
        <f>IF(OR(ISNUMBER(SEARCH("화3",$H146)),ISNUMBER(SEARCH("화1.3",$H146)),ISNUMBER(SEARCH("화2.3",$H146)),ISNUMBER(SEARCH("화1.2.3",$H146))),1,"")</f>
        <v/>
      </c>
      <c r="O146" s="319">
        <f>IF(ISNUMBER(SEARCH("수1",$H146)),1,"")</f>
        <v/>
      </c>
      <c r="P146" s="319">
        <f>IF(OR(ISNUMBER(SEARCH("수2",$H146)),ISNUMBER(SEARCH("수1.2",$H146))),1,"")</f>
        <v/>
      </c>
      <c r="Q146" s="319">
        <f>IF(OR(ISNUMBER(SEARCH("수3",$H146)),ISNUMBER(SEARCH("수1.3",$H146)),ISNUMBER(SEARCH("수2.3",$H146)),ISNUMBER(SEARCH("수1.2.3",$H146))),1,"")</f>
        <v/>
      </c>
      <c r="R146" s="319">
        <f>IF(ISNUMBER(SEARCH("목1",$H146)),1,"")</f>
        <v/>
      </c>
      <c r="S146" s="319">
        <f>IF(OR(ISNUMBER(SEARCH("목2",$H146)),ISNUMBER(SEARCH("목1.2",$H146))),1,"")</f>
        <v/>
      </c>
      <c r="T146" s="319">
        <f>IF(OR(ISNUMBER(SEARCH("목3",$H146)),ISNUMBER(SEARCH("목1.3",$H146)),ISNUMBER(SEARCH("목2.3",$H146)),ISNUMBER(SEARCH("목1.2.3",$H146))),1,"")</f>
        <v/>
      </c>
      <c r="U146" s="319">
        <f>IF(ISNUMBER(SEARCH("금1",$H146)),1,"")</f>
        <v/>
      </c>
      <c r="V146" s="319">
        <f>IF(OR(ISNUMBER(SEARCH("금2",$H146)),ISNUMBER(SEARCH("금1.2",$H146))),1,"")</f>
        <v/>
      </c>
      <c r="W146" s="319">
        <f>IF(OR(ISNUMBER(SEARCH("금3",$H146)),ISNUMBER(SEARCH("금1.3",$H146)),ISNUMBER(SEARCH("금2.3",$H146)),ISNUMBER(SEARCH("금1.2.3",$H146))),1,"")</f>
        <v/>
      </c>
      <c r="X146" s="319">
        <f>IF(ISNUMBER(SEARCH("토1",$H146)),1,"")</f>
        <v/>
      </c>
      <c r="Y146" s="319">
        <f>IF(OR(ISNUMBER(SEARCH("토2",$H146)),ISNUMBER(SEARCH("토1.2",$H146))),1,"")</f>
        <v/>
      </c>
      <c r="Z146" s="319">
        <f>IF(OR(ISNUMBER(SEARCH("토3",$H146)),ISNUMBER(SEARCH("토1.3",$H146)),ISNUMBER(SEARCH("토2.3",$H146)),ISNUMBER(SEARCH("토1.2.3",$H146))),1,"")</f>
        <v/>
      </c>
      <c r="AA146" s="319">
        <f>IF(ISNUMBER(SEARCH("일1",$H146)),1,"")</f>
        <v/>
      </c>
      <c r="AB146" s="319">
        <f>IF(OR(ISNUMBER(SEARCH("일2",$H146)),ISNUMBER(SEARCH("일1.2",$H146))),1,"")</f>
        <v/>
      </c>
      <c r="AC146" s="319">
        <f>IF(OR(ISNUMBER(SEARCH("일3",$H146)),ISNUMBER(SEARCH("일1.3",$H146)),ISNUMBER(SEARCH("일2.3",$H146)),ISNUMBER(SEARCH("일1.2.3",$H146))),1,"")</f>
        <v/>
      </c>
      <c r="AD146" s="319">
        <f>SUM(I146:AC146)</f>
        <v/>
      </c>
      <c r="AE146" s="323" t="n"/>
    </row>
    <row r="147" ht="24" customHeight="1">
      <c r="A147" s="168" t="n"/>
      <c r="B147" s="319" t="n"/>
      <c r="C147" s="319" t="n"/>
      <c r="D147" s="319" t="n"/>
      <c r="E147" s="341" t="n"/>
      <c r="F147" s="341" t="n"/>
      <c r="G147" s="342" t="n"/>
      <c r="H147" s="322" t="n"/>
      <c r="I147" s="319">
        <f>IF(ISNUMBER(SEARCH("월1",$H147)),1,"")</f>
        <v/>
      </c>
      <c r="J147" s="319">
        <f>IF(OR(ISNUMBER(SEARCH("월2",$H147)),ISNUMBER(SEARCH("월1.2",$H147))),1,"")</f>
        <v/>
      </c>
      <c r="K147" s="319">
        <f>IF(OR(ISNUMBER(SEARCH("월3",$H147)),ISNUMBER(SEARCH("월1.3",$H147)),ISNUMBER(SEARCH("월2.3",$H147)),ISNUMBER(SEARCH("월1.2.3",$H147))),1,"")</f>
        <v/>
      </c>
      <c r="L147" s="319">
        <f>IF(ISNUMBER(SEARCH("화1",$H147)),1,"")</f>
        <v/>
      </c>
      <c r="M147" s="319">
        <f>IF(OR(ISNUMBER(SEARCH("화2",$H147)),ISNUMBER(SEARCH("화1.2",$H147))),1,"")</f>
        <v/>
      </c>
      <c r="N147" s="319">
        <f>IF(OR(ISNUMBER(SEARCH("화3",$H147)),ISNUMBER(SEARCH("화1.3",$H147)),ISNUMBER(SEARCH("화2.3",$H147)),ISNUMBER(SEARCH("화1.2.3",$H147))),1,"")</f>
        <v/>
      </c>
      <c r="O147" s="319">
        <f>IF(ISNUMBER(SEARCH("수1",$H147)),1,"")</f>
        <v/>
      </c>
      <c r="P147" s="319">
        <f>IF(OR(ISNUMBER(SEARCH("수2",$H147)),ISNUMBER(SEARCH("수1.2",$H147))),1,"")</f>
        <v/>
      </c>
      <c r="Q147" s="319">
        <f>IF(OR(ISNUMBER(SEARCH("수3",$H147)),ISNUMBER(SEARCH("수1.3",$H147)),ISNUMBER(SEARCH("수2.3",$H147)),ISNUMBER(SEARCH("수1.2.3",$H147))),1,"")</f>
        <v/>
      </c>
      <c r="R147" s="319">
        <f>IF(ISNUMBER(SEARCH("목1",$H147)),1,"")</f>
        <v/>
      </c>
      <c r="S147" s="319">
        <f>IF(OR(ISNUMBER(SEARCH("목2",$H147)),ISNUMBER(SEARCH("목1.2",$H147))),1,"")</f>
        <v/>
      </c>
      <c r="T147" s="319">
        <f>IF(OR(ISNUMBER(SEARCH("목3",$H147)),ISNUMBER(SEARCH("목1.3",$H147)),ISNUMBER(SEARCH("목2.3",$H147)),ISNUMBER(SEARCH("목1.2.3",$H147))),1,"")</f>
        <v/>
      </c>
      <c r="U147" s="319">
        <f>IF(ISNUMBER(SEARCH("금1",$H147)),1,"")</f>
        <v/>
      </c>
      <c r="V147" s="319">
        <f>IF(OR(ISNUMBER(SEARCH("금2",$H147)),ISNUMBER(SEARCH("금1.2",$H147))),1,"")</f>
        <v/>
      </c>
      <c r="W147" s="319">
        <f>IF(OR(ISNUMBER(SEARCH("금3",$H147)),ISNUMBER(SEARCH("금1.3",$H147)),ISNUMBER(SEARCH("금2.3",$H147)),ISNUMBER(SEARCH("금1.2.3",$H147))),1,"")</f>
        <v/>
      </c>
      <c r="X147" s="319">
        <f>IF(ISNUMBER(SEARCH("토1",$H147)),1,"")</f>
        <v/>
      </c>
      <c r="Y147" s="319">
        <f>IF(OR(ISNUMBER(SEARCH("토2",$H147)),ISNUMBER(SEARCH("토1.2",$H147))),1,"")</f>
        <v/>
      </c>
      <c r="Z147" s="319">
        <f>IF(OR(ISNUMBER(SEARCH("토3",$H147)),ISNUMBER(SEARCH("토1.3",$H147)),ISNUMBER(SEARCH("토2.3",$H147)),ISNUMBER(SEARCH("토1.2.3",$H147))),1,"")</f>
        <v/>
      </c>
      <c r="AA147" s="319">
        <f>IF(ISNUMBER(SEARCH("일1",$H147)),1,"")</f>
        <v/>
      </c>
      <c r="AB147" s="319">
        <f>IF(OR(ISNUMBER(SEARCH("일2",$H147)),ISNUMBER(SEARCH("일1.2",$H147))),1,"")</f>
        <v/>
      </c>
      <c r="AC147" s="319">
        <f>IF(OR(ISNUMBER(SEARCH("일3",$H147)),ISNUMBER(SEARCH("일1.3",$H147)),ISNUMBER(SEARCH("일2.3",$H147)),ISNUMBER(SEARCH("일1.2.3",$H147))),1,"")</f>
        <v/>
      </c>
      <c r="AD147" s="319">
        <f>SUM(I147:AC147)</f>
        <v/>
      </c>
      <c r="AE147" s="323" t="n"/>
    </row>
    <row r="148" ht="24" customHeight="1">
      <c r="A148" s="168" t="n"/>
      <c r="B148" s="319" t="n"/>
      <c r="C148" s="319" t="n"/>
      <c r="D148" s="319" t="n"/>
      <c r="E148" s="341" t="n"/>
      <c r="F148" s="341" t="n"/>
      <c r="G148" s="342" t="n"/>
      <c r="H148" s="322" t="n"/>
      <c r="I148" s="319">
        <f>IF(ISNUMBER(SEARCH("월1",$H148)),1,"")</f>
        <v/>
      </c>
      <c r="J148" s="319">
        <f>IF(OR(ISNUMBER(SEARCH("월2",$H148)),ISNUMBER(SEARCH("월1.2",$H148))),1,"")</f>
        <v/>
      </c>
      <c r="K148" s="319">
        <f>IF(OR(ISNUMBER(SEARCH("월3",$H148)),ISNUMBER(SEARCH("월1.3",$H148)),ISNUMBER(SEARCH("월2.3",$H148)),ISNUMBER(SEARCH("월1.2.3",$H148))),1,"")</f>
        <v/>
      </c>
      <c r="L148" s="319">
        <f>IF(ISNUMBER(SEARCH("화1",$H148)),1,"")</f>
        <v/>
      </c>
      <c r="M148" s="319">
        <f>IF(OR(ISNUMBER(SEARCH("화2",$H148)),ISNUMBER(SEARCH("화1.2",$H148))),1,"")</f>
        <v/>
      </c>
      <c r="N148" s="319">
        <f>IF(OR(ISNUMBER(SEARCH("화3",$H148)),ISNUMBER(SEARCH("화1.3",$H148)),ISNUMBER(SEARCH("화2.3",$H148)),ISNUMBER(SEARCH("화1.2.3",$H148))),1,"")</f>
        <v/>
      </c>
      <c r="O148" s="319">
        <f>IF(ISNUMBER(SEARCH("수1",$H148)),1,"")</f>
        <v/>
      </c>
      <c r="P148" s="319">
        <f>IF(OR(ISNUMBER(SEARCH("수2",$H148)),ISNUMBER(SEARCH("수1.2",$H148))),1,"")</f>
        <v/>
      </c>
      <c r="Q148" s="319">
        <f>IF(OR(ISNUMBER(SEARCH("수3",$H148)),ISNUMBER(SEARCH("수1.3",$H148)),ISNUMBER(SEARCH("수2.3",$H148)),ISNUMBER(SEARCH("수1.2.3",$H148))),1,"")</f>
        <v/>
      </c>
      <c r="R148" s="319">
        <f>IF(ISNUMBER(SEARCH("목1",$H148)),1,"")</f>
        <v/>
      </c>
      <c r="S148" s="319">
        <f>IF(OR(ISNUMBER(SEARCH("목2",$H148)),ISNUMBER(SEARCH("목1.2",$H148))),1,"")</f>
        <v/>
      </c>
      <c r="T148" s="319">
        <f>IF(OR(ISNUMBER(SEARCH("목3",$H148)),ISNUMBER(SEARCH("목1.3",$H148)),ISNUMBER(SEARCH("목2.3",$H148)),ISNUMBER(SEARCH("목1.2.3",$H148))),1,"")</f>
        <v/>
      </c>
      <c r="U148" s="319">
        <f>IF(ISNUMBER(SEARCH("금1",$H148)),1,"")</f>
        <v/>
      </c>
      <c r="V148" s="319">
        <f>IF(OR(ISNUMBER(SEARCH("금2",$H148)),ISNUMBER(SEARCH("금1.2",$H148))),1,"")</f>
        <v/>
      </c>
      <c r="W148" s="319">
        <f>IF(OR(ISNUMBER(SEARCH("금3",$H148)),ISNUMBER(SEARCH("금1.3",$H148)),ISNUMBER(SEARCH("금2.3",$H148)),ISNUMBER(SEARCH("금1.2.3",$H148))),1,"")</f>
        <v/>
      </c>
      <c r="X148" s="319">
        <f>IF(ISNUMBER(SEARCH("토1",$H148)),1,"")</f>
        <v/>
      </c>
      <c r="Y148" s="319">
        <f>IF(OR(ISNUMBER(SEARCH("토2",$H148)),ISNUMBER(SEARCH("토1.2",$H148))),1,"")</f>
        <v/>
      </c>
      <c r="Z148" s="319">
        <f>IF(OR(ISNUMBER(SEARCH("토3",$H148)),ISNUMBER(SEARCH("토1.3",$H148)),ISNUMBER(SEARCH("토2.3",$H148)),ISNUMBER(SEARCH("토1.2.3",$H148))),1,"")</f>
        <v/>
      </c>
      <c r="AA148" s="319">
        <f>IF(ISNUMBER(SEARCH("일1",$H148)),1,"")</f>
        <v/>
      </c>
      <c r="AB148" s="319">
        <f>IF(OR(ISNUMBER(SEARCH("일2",$H148)),ISNUMBER(SEARCH("일1.2",$H148))),1,"")</f>
        <v/>
      </c>
      <c r="AC148" s="319">
        <f>IF(OR(ISNUMBER(SEARCH("일3",$H148)),ISNUMBER(SEARCH("일1.3",$H148)),ISNUMBER(SEARCH("일2.3",$H148)),ISNUMBER(SEARCH("일1.2.3",$H148))),1,"")</f>
        <v/>
      </c>
      <c r="AD148" s="319">
        <f>SUM(I148:AC148)</f>
        <v/>
      </c>
      <c r="AE148" s="323" t="n"/>
    </row>
    <row r="149" ht="24" customHeight="1">
      <c r="A149" s="168" t="n"/>
      <c r="B149" s="319" t="n"/>
      <c r="C149" s="319" t="n"/>
      <c r="D149" s="319" t="n"/>
      <c r="E149" s="341" t="n"/>
      <c r="F149" s="341" t="n"/>
      <c r="G149" s="342" t="n"/>
      <c r="H149" s="322" t="n"/>
      <c r="I149" s="319">
        <f>IF(ISNUMBER(SEARCH("월1",$H149)),1,"")</f>
        <v/>
      </c>
      <c r="J149" s="319">
        <f>IF(OR(ISNUMBER(SEARCH("월2",$H149)),ISNUMBER(SEARCH("월1.2",$H149))),1,"")</f>
        <v/>
      </c>
      <c r="K149" s="319">
        <f>IF(OR(ISNUMBER(SEARCH("월3",$H149)),ISNUMBER(SEARCH("월1.3",$H149)),ISNUMBER(SEARCH("월2.3",$H149)),ISNUMBER(SEARCH("월1.2.3",$H149))),1,"")</f>
        <v/>
      </c>
      <c r="L149" s="319">
        <f>IF(ISNUMBER(SEARCH("화1",$H149)),1,"")</f>
        <v/>
      </c>
      <c r="M149" s="319">
        <f>IF(OR(ISNUMBER(SEARCH("화2",$H149)),ISNUMBER(SEARCH("화1.2",$H149))),1,"")</f>
        <v/>
      </c>
      <c r="N149" s="319">
        <f>IF(OR(ISNUMBER(SEARCH("화3",$H149)),ISNUMBER(SEARCH("화1.3",$H149)),ISNUMBER(SEARCH("화2.3",$H149)),ISNUMBER(SEARCH("화1.2.3",$H149))),1,"")</f>
        <v/>
      </c>
      <c r="O149" s="319">
        <f>IF(ISNUMBER(SEARCH("수1",$H149)),1,"")</f>
        <v/>
      </c>
      <c r="P149" s="319">
        <f>IF(OR(ISNUMBER(SEARCH("수2",$H149)),ISNUMBER(SEARCH("수1.2",$H149))),1,"")</f>
        <v/>
      </c>
      <c r="Q149" s="319">
        <f>IF(OR(ISNUMBER(SEARCH("수3",$H149)),ISNUMBER(SEARCH("수1.3",$H149)),ISNUMBER(SEARCH("수2.3",$H149)),ISNUMBER(SEARCH("수1.2.3",$H149))),1,"")</f>
        <v/>
      </c>
      <c r="R149" s="319">
        <f>IF(ISNUMBER(SEARCH("목1",$H149)),1,"")</f>
        <v/>
      </c>
      <c r="S149" s="319">
        <f>IF(OR(ISNUMBER(SEARCH("목2",$H149)),ISNUMBER(SEARCH("목1.2",$H149))),1,"")</f>
        <v/>
      </c>
      <c r="T149" s="319">
        <f>IF(OR(ISNUMBER(SEARCH("목3",$H149)),ISNUMBER(SEARCH("목1.3",$H149)),ISNUMBER(SEARCH("목2.3",$H149)),ISNUMBER(SEARCH("목1.2.3",$H149))),1,"")</f>
        <v/>
      </c>
      <c r="U149" s="319">
        <f>IF(ISNUMBER(SEARCH("금1",$H149)),1,"")</f>
        <v/>
      </c>
      <c r="V149" s="319">
        <f>IF(OR(ISNUMBER(SEARCH("금2",$H149)),ISNUMBER(SEARCH("금1.2",$H149))),1,"")</f>
        <v/>
      </c>
      <c r="W149" s="319">
        <f>IF(OR(ISNUMBER(SEARCH("금3",$H149)),ISNUMBER(SEARCH("금1.3",$H149)),ISNUMBER(SEARCH("금2.3",$H149)),ISNUMBER(SEARCH("금1.2.3",$H149))),1,"")</f>
        <v/>
      </c>
      <c r="X149" s="319">
        <f>IF(ISNUMBER(SEARCH("토1",$H149)),1,"")</f>
        <v/>
      </c>
      <c r="Y149" s="319">
        <f>IF(OR(ISNUMBER(SEARCH("토2",$H149)),ISNUMBER(SEARCH("토1.2",$H149))),1,"")</f>
        <v/>
      </c>
      <c r="Z149" s="319">
        <f>IF(OR(ISNUMBER(SEARCH("토3",$H149)),ISNUMBER(SEARCH("토1.3",$H149)),ISNUMBER(SEARCH("토2.3",$H149)),ISNUMBER(SEARCH("토1.2.3",$H149))),1,"")</f>
        <v/>
      </c>
      <c r="AA149" s="319">
        <f>IF(ISNUMBER(SEARCH("일1",$H149)),1,"")</f>
        <v/>
      </c>
      <c r="AB149" s="319">
        <f>IF(OR(ISNUMBER(SEARCH("일2",$H149)),ISNUMBER(SEARCH("일1.2",$H149))),1,"")</f>
        <v/>
      </c>
      <c r="AC149" s="319">
        <f>IF(OR(ISNUMBER(SEARCH("일3",$H149)),ISNUMBER(SEARCH("일1.3",$H149)),ISNUMBER(SEARCH("일2.3",$H149)),ISNUMBER(SEARCH("일1.2.3",$H149))),1,"")</f>
        <v/>
      </c>
      <c r="AD149" s="319">
        <f>SUM(I149:AC149)</f>
        <v/>
      </c>
      <c r="AE149" s="323" t="n"/>
    </row>
    <row r="150" ht="24" customHeight="1">
      <c r="A150" s="168" t="n"/>
      <c r="B150" s="319" t="n"/>
      <c r="C150" s="319" t="n"/>
      <c r="D150" s="319" t="n"/>
      <c r="E150" s="341" t="n"/>
      <c r="F150" s="341" t="n"/>
      <c r="G150" s="342" t="n"/>
      <c r="H150" s="322" t="n"/>
      <c r="I150" s="319">
        <f>IF(ISNUMBER(SEARCH("월1",$H150)),1,"")</f>
        <v/>
      </c>
      <c r="J150" s="319">
        <f>IF(OR(ISNUMBER(SEARCH("월2",$H150)),ISNUMBER(SEARCH("월1.2",$H150))),1,"")</f>
        <v/>
      </c>
      <c r="K150" s="319">
        <f>IF(OR(ISNUMBER(SEARCH("월3",$H150)),ISNUMBER(SEARCH("월1.3",$H150)),ISNUMBER(SEARCH("월2.3",$H150)),ISNUMBER(SEARCH("월1.2.3",$H150))),1,"")</f>
        <v/>
      </c>
      <c r="L150" s="319">
        <f>IF(ISNUMBER(SEARCH("화1",$H150)),1,"")</f>
        <v/>
      </c>
      <c r="M150" s="319">
        <f>IF(OR(ISNUMBER(SEARCH("화2",$H150)),ISNUMBER(SEARCH("화1.2",$H150))),1,"")</f>
        <v/>
      </c>
      <c r="N150" s="319">
        <f>IF(OR(ISNUMBER(SEARCH("화3",$H150)),ISNUMBER(SEARCH("화1.3",$H150)),ISNUMBER(SEARCH("화2.3",$H150)),ISNUMBER(SEARCH("화1.2.3",$H150))),1,"")</f>
        <v/>
      </c>
      <c r="O150" s="319">
        <f>IF(ISNUMBER(SEARCH("수1",$H150)),1,"")</f>
        <v/>
      </c>
      <c r="P150" s="319">
        <f>IF(OR(ISNUMBER(SEARCH("수2",$H150)),ISNUMBER(SEARCH("수1.2",$H150))),1,"")</f>
        <v/>
      </c>
      <c r="Q150" s="319">
        <f>IF(OR(ISNUMBER(SEARCH("수3",$H150)),ISNUMBER(SEARCH("수1.3",$H150)),ISNUMBER(SEARCH("수2.3",$H150)),ISNUMBER(SEARCH("수1.2.3",$H150))),1,"")</f>
        <v/>
      </c>
      <c r="R150" s="319">
        <f>IF(ISNUMBER(SEARCH("목1",$H150)),1,"")</f>
        <v/>
      </c>
      <c r="S150" s="319">
        <f>IF(OR(ISNUMBER(SEARCH("목2",$H150)),ISNUMBER(SEARCH("목1.2",$H150))),1,"")</f>
        <v/>
      </c>
      <c r="T150" s="319">
        <f>IF(OR(ISNUMBER(SEARCH("목3",$H150)),ISNUMBER(SEARCH("목1.3",$H150)),ISNUMBER(SEARCH("목2.3",$H150)),ISNUMBER(SEARCH("목1.2.3",$H150))),1,"")</f>
        <v/>
      </c>
      <c r="U150" s="319">
        <f>IF(ISNUMBER(SEARCH("금1",$H150)),1,"")</f>
        <v/>
      </c>
      <c r="V150" s="319">
        <f>IF(OR(ISNUMBER(SEARCH("금2",$H150)),ISNUMBER(SEARCH("금1.2",$H150))),1,"")</f>
        <v/>
      </c>
      <c r="W150" s="319">
        <f>IF(OR(ISNUMBER(SEARCH("금3",$H150)),ISNUMBER(SEARCH("금1.3",$H150)),ISNUMBER(SEARCH("금2.3",$H150)),ISNUMBER(SEARCH("금1.2.3",$H150))),1,"")</f>
        <v/>
      </c>
      <c r="X150" s="319">
        <f>IF(ISNUMBER(SEARCH("토1",$H150)),1,"")</f>
        <v/>
      </c>
      <c r="Y150" s="319">
        <f>IF(OR(ISNUMBER(SEARCH("토2",$H150)),ISNUMBER(SEARCH("토1.2",$H150))),1,"")</f>
        <v/>
      </c>
      <c r="Z150" s="319">
        <f>IF(OR(ISNUMBER(SEARCH("토3",$H150)),ISNUMBER(SEARCH("토1.3",$H150)),ISNUMBER(SEARCH("토2.3",$H150)),ISNUMBER(SEARCH("토1.2.3",$H150))),1,"")</f>
        <v/>
      </c>
      <c r="AA150" s="319">
        <f>IF(ISNUMBER(SEARCH("일1",$H150)),1,"")</f>
        <v/>
      </c>
      <c r="AB150" s="319">
        <f>IF(OR(ISNUMBER(SEARCH("일2",$H150)),ISNUMBER(SEARCH("일1.2",$H150))),1,"")</f>
        <v/>
      </c>
      <c r="AC150" s="319">
        <f>IF(OR(ISNUMBER(SEARCH("일3",$H150)),ISNUMBER(SEARCH("일1.3",$H150)),ISNUMBER(SEARCH("일2.3",$H150)),ISNUMBER(SEARCH("일1.2.3",$H150))),1,"")</f>
        <v/>
      </c>
      <c r="AD150" s="319">
        <f>SUM(I150:AC150)</f>
        <v/>
      </c>
      <c r="AE150" s="323" t="n"/>
    </row>
    <row r="151" ht="24" customHeight="1">
      <c r="A151" s="168" t="n"/>
      <c r="B151" s="319" t="n"/>
      <c r="C151" s="319" t="n"/>
      <c r="D151" s="319" t="n"/>
      <c r="E151" s="341" t="n"/>
      <c r="F151" s="341" t="n"/>
      <c r="G151" s="342" t="n"/>
      <c r="H151" s="322" t="n"/>
      <c r="I151" s="319">
        <f>IF(ISNUMBER(SEARCH("월1",$H151)),1,"")</f>
        <v/>
      </c>
      <c r="J151" s="319">
        <f>IF(OR(ISNUMBER(SEARCH("월2",$H151)),ISNUMBER(SEARCH("월1.2",$H151))),1,"")</f>
        <v/>
      </c>
      <c r="K151" s="319">
        <f>IF(OR(ISNUMBER(SEARCH("월3",$H151)),ISNUMBER(SEARCH("월1.3",$H151)),ISNUMBER(SEARCH("월2.3",$H151)),ISNUMBER(SEARCH("월1.2.3",$H151))),1,"")</f>
        <v/>
      </c>
      <c r="L151" s="319">
        <f>IF(ISNUMBER(SEARCH("화1",$H151)),1,"")</f>
        <v/>
      </c>
      <c r="M151" s="319">
        <f>IF(OR(ISNUMBER(SEARCH("화2",$H151)),ISNUMBER(SEARCH("화1.2",$H151))),1,"")</f>
        <v/>
      </c>
      <c r="N151" s="319">
        <f>IF(OR(ISNUMBER(SEARCH("화3",$H151)),ISNUMBER(SEARCH("화1.3",$H151)),ISNUMBER(SEARCH("화2.3",$H151)),ISNUMBER(SEARCH("화1.2.3",$H151))),1,"")</f>
        <v/>
      </c>
      <c r="O151" s="319">
        <f>IF(ISNUMBER(SEARCH("수1",$H151)),1,"")</f>
        <v/>
      </c>
      <c r="P151" s="319">
        <f>IF(OR(ISNUMBER(SEARCH("수2",$H151)),ISNUMBER(SEARCH("수1.2",$H151))),1,"")</f>
        <v/>
      </c>
      <c r="Q151" s="319">
        <f>IF(OR(ISNUMBER(SEARCH("수3",$H151)),ISNUMBER(SEARCH("수1.3",$H151)),ISNUMBER(SEARCH("수2.3",$H151)),ISNUMBER(SEARCH("수1.2.3",$H151))),1,"")</f>
        <v/>
      </c>
      <c r="R151" s="319">
        <f>IF(ISNUMBER(SEARCH("목1",$H151)),1,"")</f>
        <v/>
      </c>
      <c r="S151" s="319">
        <f>IF(OR(ISNUMBER(SEARCH("목2",$H151)),ISNUMBER(SEARCH("목1.2",$H151))),1,"")</f>
        <v/>
      </c>
      <c r="T151" s="319">
        <f>IF(OR(ISNUMBER(SEARCH("목3",$H151)),ISNUMBER(SEARCH("목1.3",$H151)),ISNUMBER(SEARCH("목2.3",$H151)),ISNUMBER(SEARCH("목1.2.3",$H151))),1,"")</f>
        <v/>
      </c>
      <c r="U151" s="319">
        <f>IF(ISNUMBER(SEARCH("금1",$H151)),1,"")</f>
        <v/>
      </c>
      <c r="V151" s="319">
        <f>IF(OR(ISNUMBER(SEARCH("금2",$H151)),ISNUMBER(SEARCH("금1.2",$H151))),1,"")</f>
        <v/>
      </c>
      <c r="W151" s="319">
        <f>IF(OR(ISNUMBER(SEARCH("금3",$H151)),ISNUMBER(SEARCH("금1.3",$H151)),ISNUMBER(SEARCH("금2.3",$H151)),ISNUMBER(SEARCH("금1.2.3",$H151))),1,"")</f>
        <v/>
      </c>
      <c r="X151" s="319">
        <f>IF(ISNUMBER(SEARCH("토1",$H151)),1,"")</f>
        <v/>
      </c>
      <c r="Y151" s="319">
        <f>IF(OR(ISNUMBER(SEARCH("토2",$H151)),ISNUMBER(SEARCH("토1.2",$H151))),1,"")</f>
        <v/>
      </c>
      <c r="Z151" s="319">
        <f>IF(OR(ISNUMBER(SEARCH("토3",$H151)),ISNUMBER(SEARCH("토1.3",$H151)),ISNUMBER(SEARCH("토2.3",$H151)),ISNUMBER(SEARCH("토1.2.3",$H151))),1,"")</f>
        <v/>
      </c>
      <c r="AA151" s="319">
        <f>IF(ISNUMBER(SEARCH("일1",$H151)),1,"")</f>
        <v/>
      </c>
      <c r="AB151" s="319">
        <f>IF(OR(ISNUMBER(SEARCH("일2",$H151)),ISNUMBER(SEARCH("일1.2",$H151))),1,"")</f>
        <v/>
      </c>
      <c r="AC151" s="319">
        <f>IF(OR(ISNUMBER(SEARCH("일3",$H151)),ISNUMBER(SEARCH("일1.3",$H151)),ISNUMBER(SEARCH("일2.3",$H151)),ISNUMBER(SEARCH("일1.2.3",$H151))),1,"")</f>
        <v/>
      </c>
      <c r="AD151" s="319">
        <f>SUM(I151:AC151)</f>
        <v/>
      </c>
      <c r="AE151" s="323" t="n"/>
    </row>
    <row r="152" ht="24" customHeight="1">
      <c r="A152" s="168" t="n"/>
      <c r="B152" s="319" t="n"/>
      <c r="C152" s="319" t="n"/>
      <c r="D152" s="319" t="n"/>
      <c r="E152" s="341" t="n"/>
      <c r="F152" s="341" t="n"/>
      <c r="G152" s="342" t="n"/>
      <c r="H152" s="322" t="n"/>
      <c r="I152" s="319">
        <f>IF(ISNUMBER(SEARCH("월1",$H152)),1,"")</f>
        <v/>
      </c>
      <c r="J152" s="319">
        <f>IF(OR(ISNUMBER(SEARCH("월2",$H152)),ISNUMBER(SEARCH("월1.2",$H152))),1,"")</f>
        <v/>
      </c>
      <c r="K152" s="319">
        <f>IF(OR(ISNUMBER(SEARCH("월3",$H152)),ISNUMBER(SEARCH("월1.3",$H152)),ISNUMBER(SEARCH("월2.3",$H152)),ISNUMBER(SEARCH("월1.2.3",$H152))),1,"")</f>
        <v/>
      </c>
      <c r="L152" s="319">
        <f>IF(ISNUMBER(SEARCH("화1",$H152)),1,"")</f>
        <v/>
      </c>
      <c r="M152" s="319">
        <f>IF(OR(ISNUMBER(SEARCH("화2",$H152)),ISNUMBER(SEARCH("화1.2",$H152))),1,"")</f>
        <v/>
      </c>
      <c r="N152" s="319">
        <f>IF(OR(ISNUMBER(SEARCH("화3",$H152)),ISNUMBER(SEARCH("화1.3",$H152)),ISNUMBER(SEARCH("화2.3",$H152)),ISNUMBER(SEARCH("화1.2.3",$H152))),1,"")</f>
        <v/>
      </c>
      <c r="O152" s="319">
        <f>IF(ISNUMBER(SEARCH("수1",$H152)),1,"")</f>
        <v/>
      </c>
      <c r="P152" s="319">
        <f>IF(OR(ISNUMBER(SEARCH("수2",$H152)),ISNUMBER(SEARCH("수1.2",$H152))),1,"")</f>
        <v/>
      </c>
      <c r="Q152" s="319">
        <f>IF(OR(ISNUMBER(SEARCH("수3",$H152)),ISNUMBER(SEARCH("수1.3",$H152)),ISNUMBER(SEARCH("수2.3",$H152)),ISNUMBER(SEARCH("수1.2.3",$H152))),1,"")</f>
        <v/>
      </c>
      <c r="R152" s="319">
        <f>IF(ISNUMBER(SEARCH("목1",$H152)),1,"")</f>
        <v/>
      </c>
      <c r="S152" s="319">
        <f>IF(OR(ISNUMBER(SEARCH("목2",$H152)),ISNUMBER(SEARCH("목1.2",$H152))),1,"")</f>
        <v/>
      </c>
      <c r="T152" s="319">
        <f>IF(OR(ISNUMBER(SEARCH("목3",$H152)),ISNUMBER(SEARCH("목1.3",$H152)),ISNUMBER(SEARCH("목2.3",$H152)),ISNUMBER(SEARCH("목1.2.3",$H152))),1,"")</f>
        <v/>
      </c>
      <c r="U152" s="319">
        <f>IF(ISNUMBER(SEARCH("금1",$H152)),1,"")</f>
        <v/>
      </c>
      <c r="V152" s="319">
        <f>IF(OR(ISNUMBER(SEARCH("금2",$H152)),ISNUMBER(SEARCH("금1.2",$H152))),1,"")</f>
        <v/>
      </c>
      <c r="W152" s="319">
        <f>IF(OR(ISNUMBER(SEARCH("금3",$H152)),ISNUMBER(SEARCH("금1.3",$H152)),ISNUMBER(SEARCH("금2.3",$H152)),ISNUMBER(SEARCH("금1.2.3",$H152))),1,"")</f>
        <v/>
      </c>
      <c r="X152" s="319">
        <f>IF(ISNUMBER(SEARCH("토1",$H152)),1,"")</f>
        <v/>
      </c>
      <c r="Y152" s="319">
        <f>IF(OR(ISNUMBER(SEARCH("토2",$H152)),ISNUMBER(SEARCH("토1.2",$H152))),1,"")</f>
        <v/>
      </c>
      <c r="Z152" s="319">
        <f>IF(OR(ISNUMBER(SEARCH("토3",$H152)),ISNUMBER(SEARCH("토1.3",$H152)),ISNUMBER(SEARCH("토2.3",$H152)),ISNUMBER(SEARCH("토1.2.3",$H152))),1,"")</f>
        <v/>
      </c>
      <c r="AA152" s="319">
        <f>IF(ISNUMBER(SEARCH("일1",$H152)),1,"")</f>
        <v/>
      </c>
      <c r="AB152" s="319">
        <f>IF(OR(ISNUMBER(SEARCH("일2",$H152)),ISNUMBER(SEARCH("일1.2",$H152))),1,"")</f>
        <v/>
      </c>
      <c r="AC152" s="319">
        <f>IF(OR(ISNUMBER(SEARCH("일3",$H152)),ISNUMBER(SEARCH("일1.3",$H152)),ISNUMBER(SEARCH("일2.3",$H152)),ISNUMBER(SEARCH("일1.2.3",$H152))),1,"")</f>
        <v/>
      </c>
      <c r="AD152" s="319">
        <f>SUM(I152:AC152)</f>
        <v/>
      </c>
      <c r="AE152" s="323" t="n"/>
    </row>
    <row r="153" ht="24" customHeight="1">
      <c r="A153" s="168" t="n"/>
      <c r="B153" s="319" t="n"/>
      <c r="C153" s="319" t="n"/>
      <c r="D153" s="319" t="n"/>
      <c r="E153" s="341" t="n"/>
      <c r="F153" s="341" t="n"/>
      <c r="G153" s="342" t="n"/>
      <c r="H153" s="322" t="n"/>
      <c r="I153" s="319">
        <f>IF(ISNUMBER(SEARCH("월1",$H153)),1,"")</f>
        <v/>
      </c>
      <c r="J153" s="319">
        <f>IF(OR(ISNUMBER(SEARCH("월2",$H153)),ISNUMBER(SEARCH("월1.2",$H153))),1,"")</f>
        <v/>
      </c>
      <c r="K153" s="319">
        <f>IF(OR(ISNUMBER(SEARCH("월3",$H153)),ISNUMBER(SEARCH("월1.3",$H153)),ISNUMBER(SEARCH("월2.3",$H153)),ISNUMBER(SEARCH("월1.2.3",$H153))),1,"")</f>
        <v/>
      </c>
      <c r="L153" s="319">
        <f>IF(ISNUMBER(SEARCH("화1",$H153)),1,"")</f>
        <v/>
      </c>
      <c r="M153" s="319">
        <f>IF(OR(ISNUMBER(SEARCH("화2",$H153)),ISNUMBER(SEARCH("화1.2",$H153))),1,"")</f>
        <v/>
      </c>
      <c r="N153" s="319">
        <f>IF(OR(ISNUMBER(SEARCH("화3",$H153)),ISNUMBER(SEARCH("화1.3",$H153)),ISNUMBER(SEARCH("화2.3",$H153)),ISNUMBER(SEARCH("화1.2.3",$H153))),1,"")</f>
        <v/>
      </c>
      <c r="O153" s="319">
        <f>IF(ISNUMBER(SEARCH("수1",$H153)),1,"")</f>
        <v/>
      </c>
      <c r="P153" s="319">
        <f>IF(OR(ISNUMBER(SEARCH("수2",$H153)),ISNUMBER(SEARCH("수1.2",$H153))),1,"")</f>
        <v/>
      </c>
      <c r="Q153" s="319">
        <f>IF(OR(ISNUMBER(SEARCH("수3",$H153)),ISNUMBER(SEARCH("수1.3",$H153)),ISNUMBER(SEARCH("수2.3",$H153)),ISNUMBER(SEARCH("수1.2.3",$H153))),1,"")</f>
        <v/>
      </c>
      <c r="R153" s="319">
        <f>IF(ISNUMBER(SEARCH("목1",$H153)),1,"")</f>
        <v/>
      </c>
      <c r="S153" s="319">
        <f>IF(OR(ISNUMBER(SEARCH("목2",$H153)),ISNUMBER(SEARCH("목1.2",$H153))),1,"")</f>
        <v/>
      </c>
      <c r="T153" s="319">
        <f>IF(OR(ISNUMBER(SEARCH("목3",$H153)),ISNUMBER(SEARCH("목1.3",$H153)),ISNUMBER(SEARCH("목2.3",$H153)),ISNUMBER(SEARCH("목1.2.3",$H153))),1,"")</f>
        <v/>
      </c>
      <c r="U153" s="319">
        <f>IF(ISNUMBER(SEARCH("금1",$H153)),1,"")</f>
        <v/>
      </c>
      <c r="V153" s="319">
        <f>IF(OR(ISNUMBER(SEARCH("금2",$H153)),ISNUMBER(SEARCH("금1.2",$H153))),1,"")</f>
        <v/>
      </c>
      <c r="W153" s="319">
        <f>IF(OR(ISNUMBER(SEARCH("금3",$H153)),ISNUMBER(SEARCH("금1.3",$H153)),ISNUMBER(SEARCH("금2.3",$H153)),ISNUMBER(SEARCH("금1.2.3",$H153))),1,"")</f>
        <v/>
      </c>
      <c r="X153" s="319">
        <f>IF(ISNUMBER(SEARCH("토1",$H153)),1,"")</f>
        <v/>
      </c>
      <c r="Y153" s="319">
        <f>IF(OR(ISNUMBER(SEARCH("토2",$H153)),ISNUMBER(SEARCH("토1.2",$H153))),1,"")</f>
        <v/>
      </c>
      <c r="Z153" s="319">
        <f>IF(OR(ISNUMBER(SEARCH("토3",$H153)),ISNUMBER(SEARCH("토1.3",$H153)),ISNUMBER(SEARCH("토2.3",$H153)),ISNUMBER(SEARCH("토1.2.3",$H153))),1,"")</f>
        <v/>
      </c>
      <c r="AA153" s="319">
        <f>IF(ISNUMBER(SEARCH("일1",$H153)),1,"")</f>
        <v/>
      </c>
      <c r="AB153" s="319">
        <f>IF(OR(ISNUMBER(SEARCH("일2",$H153)),ISNUMBER(SEARCH("일1.2",$H153))),1,"")</f>
        <v/>
      </c>
      <c r="AC153" s="319">
        <f>IF(OR(ISNUMBER(SEARCH("일3",$H153)),ISNUMBER(SEARCH("일1.3",$H153)),ISNUMBER(SEARCH("일2.3",$H153)),ISNUMBER(SEARCH("일1.2.3",$H153))),1,"")</f>
        <v/>
      </c>
      <c r="AD153" s="319">
        <f>SUM(I153:AC153)</f>
        <v/>
      </c>
      <c r="AE153" s="323" t="n"/>
    </row>
    <row r="154" ht="24" customHeight="1">
      <c r="A154" s="168" t="n"/>
      <c r="B154" s="319" t="n"/>
      <c r="C154" s="319" t="n"/>
      <c r="D154" s="319" t="n"/>
      <c r="E154" s="341" t="n"/>
      <c r="F154" s="341" t="n"/>
      <c r="G154" s="342" t="n"/>
      <c r="H154" s="322" t="n"/>
      <c r="I154" s="319">
        <f>IF(ISNUMBER(SEARCH("월1",$H154)),1,"")</f>
        <v/>
      </c>
      <c r="J154" s="319">
        <f>IF(OR(ISNUMBER(SEARCH("월2",$H154)),ISNUMBER(SEARCH("월1.2",$H154))),1,"")</f>
        <v/>
      </c>
      <c r="K154" s="319">
        <f>IF(OR(ISNUMBER(SEARCH("월3",$H154)),ISNUMBER(SEARCH("월1.3",$H154)),ISNUMBER(SEARCH("월2.3",$H154)),ISNUMBER(SEARCH("월1.2.3",$H154))),1,"")</f>
        <v/>
      </c>
      <c r="L154" s="319">
        <f>IF(ISNUMBER(SEARCH("화1",$H154)),1,"")</f>
        <v/>
      </c>
      <c r="M154" s="319">
        <f>IF(OR(ISNUMBER(SEARCH("화2",$H154)),ISNUMBER(SEARCH("화1.2",$H154))),1,"")</f>
        <v/>
      </c>
      <c r="N154" s="319">
        <f>IF(OR(ISNUMBER(SEARCH("화3",$H154)),ISNUMBER(SEARCH("화1.3",$H154)),ISNUMBER(SEARCH("화2.3",$H154)),ISNUMBER(SEARCH("화1.2.3",$H154))),1,"")</f>
        <v/>
      </c>
      <c r="O154" s="319">
        <f>IF(ISNUMBER(SEARCH("수1",$H154)),1,"")</f>
        <v/>
      </c>
      <c r="P154" s="319">
        <f>IF(OR(ISNUMBER(SEARCH("수2",$H154)),ISNUMBER(SEARCH("수1.2",$H154))),1,"")</f>
        <v/>
      </c>
      <c r="Q154" s="319">
        <f>IF(OR(ISNUMBER(SEARCH("수3",$H154)),ISNUMBER(SEARCH("수1.3",$H154)),ISNUMBER(SEARCH("수2.3",$H154)),ISNUMBER(SEARCH("수1.2.3",$H154))),1,"")</f>
        <v/>
      </c>
      <c r="R154" s="319">
        <f>IF(ISNUMBER(SEARCH("목1",$H154)),1,"")</f>
        <v/>
      </c>
      <c r="S154" s="319">
        <f>IF(OR(ISNUMBER(SEARCH("목2",$H154)),ISNUMBER(SEARCH("목1.2",$H154))),1,"")</f>
        <v/>
      </c>
      <c r="T154" s="319">
        <f>IF(OR(ISNUMBER(SEARCH("목3",$H154)),ISNUMBER(SEARCH("목1.3",$H154)),ISNUMBER(SEARCH("목2.3",$H154)),ISNUMBER(SEARCH("목1.2.3",$H154))),1,"")</f>
        <v/>
      </c>
      <c r="U154" s="319">
        <f>IF(ISNUMBER(SEARCH("금1",$H154)),1,"")</f>
        <v/>
      </c>
      <c r="V154" s="319">
        <f>IF(OR(ISNUMBER(SEARCH("금2",$H154)),ISNUMBER(SEARCH("금1.2",$H154))),1,"")</f>
        <v/>
      </c>
      <c r="W154" s="319">
        <f>IF(OR(ISNUMBER(SEARCH("금3",$H154)),ISNUMBER(SEARCH("금1.3",$H154)),ISNUMBER(SEARCH("금2.3",$H154)),ISNUMBER(SEARCH("금1.2.3",$H154))),1,"")</f>
        <v/>
      </c>
      <c r="X154" s="319">
        <f>IF(ISNUMBER(SEARCH("토1",$H154)),1,"")</f>
        <v/>
      </c>
      <c r="Y154" s="319">
        <f>IF(OR(ISNUMBER(SEARCH("토2",$H154)),ISNUMBER(SEARCH("토1.2",$H154))),1,"")</f>
        <v/>
      </c>
      <c r="Z154" s="319">
        <f>IF(OR(ISNUMBER(SEARCH("토3",$H154)),ISNUMBER(SEARCH("토1.3",$H154)),ISNUMBER(SEARCH("토2.3",$H154)),ISNUMBER(SEARCH("토1.2.3",$H154))),1,"")</f>
        <v/>
      </c>
      <c r="AA154" s="319">
        <f>IF(ISNUMBER(SEARCH("일1",$H154)),1,"")</f>
        <v/>
      </c>
      <c r="AB154" s="319">
        <f>IF(OR(ISNUMBER(SEARCH("일2",$H154)),ISNUMBER(SEARCH("일1.2",$H154))),1,"")</f>
        <v/>
      </c>
      <c r="AC154" s="319">
        <f>IF(OR(ISNUMBER(SEARCH("일3",$H154)),ISNUMBER(SEARCH("일1.3",$H154)),ISNUMBER(SEARCH("일2.3",$H154)),ISNUMBER(SEARCH("일1.2.3",$H154))),1,"")</f>
        <v/>
      </c>
      <c r="AD154" s="319">
        <f>SUM(I154:AC154)</f>
        <v/>
      </c>
      <c r="AE154" s="323" t="n"/>
    </row>
    <row r="155" ht="24" customHeight="1">
      <c r="A155" s="168" t="n"/>
      <c r="B155" s="319" t="n"/>
      <c r="C155" s="319" t="n"/>
      <c r="D155" s="319" t="n"/>
      <c r="E155" s="341" t="n"/>
      <c r="F155" s="341" t="n"/>
      <c r="G155" s="342" t="n"/>
      <c r="H155" s="322" t="n"/>
      <c r="I155" s="319">
        <f>IF(ISNUMBER(SEARCH("월1",$H155)),1,"")</f>
        <v/>
      </c>
      <c r="J155" s="319">
        <f>IF(OR(ISNUMBER(SEARCH("월2",$H155)),ISNUMBER(SEARCH("월1.2",$H155))),1,"")</f>
        <v/>
      </c>
      <c r="K155" s="319">
        <f>IF(OR(ISNUMBER(SEARCH("월3",$H155)),ISNUMBER(SEARCH("월1.3",$H155)),ISNUMBER(SEARCH("월2.3",$H155)),ISNUMBER(SEARCH("월1.2.3",$H155))),1,"")</f>
        <v/>
      </c>
      <c r="L155" s="319">
        <f>IF(ISNUMBER(SEARCH("화1",$H155)),1,"")</f>
        <v/>
      </c>
      <c r="M155" s="319">
        <f>IF(OR(ISNUMBER(SEARCH("화2",$H155)),ISNUMBER(SEARCH("화1.2",$H155))),1,"")</f>
        <v/>
      </c>
      <c r="N155" s="319">
        <f>IF(OR(ISNUMBER(SEARCH("화3",$H155)),ISNUMBER(SEARCH("화1.3",$H155)),ISNUMBER(SEARCH("화2.3",$H155)),ISNUMBER(SEARCH("화1.2.3",$H155))),1,"")</f>
        <v/>
      </c>
      <c r="O155" s="319">
        <f>IF(ISNUMBER(SEARCH("수1",$H155)),1,"")</f>
        <v/>
      </c>
      <c r="P155" s="319">
        <f>IF(OR(ISNUMBER(SEARCH("수2",$H155)),ISNUMBER(SEARCH("수1.2",$H155))),1,"")</f>
        <v/>
      </c>
      <c r="Q155" s="319">
        <f>IF(OR(ISNUMBER(SEARCH("수3",$H155)),ISNUMBER(SEARCH("수1.3",$H155)),ISNUMBER(SEARCH("수2.3",$H155)),ISNUMBER(SEARCH("수1.2.3",$H155))),1,"")</f>
        <v/>
      </c>
      <c r="R155" s="319">
        <f>IF(ISNUMBER(SEARCH("목1",$H155)),1,"")</f>
        <v/>
      </c>
      <c r="S155" s="319">
        <f>IF(OR(ISNUMBER(SEARCH("목2",$H155)),ISNUMBER(SEARCH("목1.2",$H155))),1,"")</f>
        <v/>
      </c>
      <c r="T155" s="319">
        <f>IF(OR(ISNUMBER(SEARCH("목3",$H155)),ISNUMBER(SEARCH("목1.3",$H155)),ISNUMBER(SEARCH("목2.3",$H155)),ISNUMBER(SEARCH("목1.2.3",$H155))),1,"")</f>
        <v/>
      </c>
      <c r="U155" s="319">
        <f>IF(ISNUMBER(SEARCH("금1",$H155)),1,"")</f>
        <v/>
      </c>
      <c r="V155" s="319">
        <f>IF(OR(ISNUMBER(SEARCH("금2",$H155)),ISNUMBER(SEARCH("금1.2",$H155))),1,"")</f>
        <v/>
      </c>
      <c r="W155" s="319">
        <f>IF(OR(ISNUMBER(SEARCH("금3",$H155)),ISNUMBER(SEARCH("금1.3",$H155)),ISNUMBER(SEARCH("금2.3",$H155)),ISNUMBER(SEARCH("금1.2.3",$H155))),1,"")</f>
        <v/>
      </c>
      <c r="X155" s="319">
        <f>IF(ISNUMBER(SEARCH("토1",$H155)),1,"")</f>
        <v/>
      </c>
      <c r="Y155" s="319">
        <f>IF(OR(ISNUMBER(SEARCH("토2",$H155)),ISNUMBER(SEARCH("토1.2",$H155))),1,"")</f>
        <v/>
      </c>
      <c r="Z155" s="319">
        <f>IF(OR(ISNUMBER(SEARCH("토3",$H155)),ISNUMBER(SEARCH("토1.3",$H155)),ISNUMBER(SEARCH("토2.3",$H155)),ISNUMBER(SEARCH("토1.2.3",$H155))),1,"")</f>
        <v/>
      </c>
      <c r="AA155" s="319">
        <f>IF(ISNUMBER(SEARCH("일1",$H155)),1,"")</f>
        <v/>
      </c>
      <c r="AB155" s="319">
        <f>IF(OR(ISNUMBER(SEARCH("일2",$H155)),ISNUMBER(SEARCH("일1.2",$H155))),1,"")</f>
        <v/>
      </c>
      <c r="AC155" s="319">
        <f>IF(OR(ISNUMBER(SEARCH("일3",$H155)),ISNUMBER(SEARCH("일1.3",$H155)),ISNUMBER(SEARCH("일2.3",$H155)),ISNUMBER(SEARCH("일1.2.3",$H155))),1,"")</f>
        <v/>
      </c>
      <c r="AD155" s="319">
        <f>SUM(I155:AC155)</f>
        <v/>
      </c>
      <c r="AE155" s="323" t="n"/>
    </row>
    <row r="156" ht="24" customHeight="1">
      <c r="A156" s="168" t="n"/>
      <c r="B156" s="319" t="n"/>
      <c r="C156" s="319" t="n"/>
      <c r="D156" s="319" t="n"/>
      <c r="E156" s="341" t="n"/>
      <c r="F156" s="341" t="n"/>
      <c r="G156" s="342" t="n"/>
      <c r="H156" s="322" t="n"/>
      <c r="I156" s="319">
        <f>IF(ISNUMBER(SEARCH("월1",$H156)),1,"")</f>
        <v/>
      </c>
      <c r="J156" s="319">
        <f>IF(OR(ISNUMBER(SEARCH("월2",$H156)),ISNUMBER(SEARCH("월1.2",$H156))),1,"")</f>
        <v/>
      </c>
      <c r="K156" s="319">
        <f>IF(OR(ISNUMBER(SEARCH("월3",$H156)),ISNUMBER(SEARCH("월1.3",$H156)),ISNUMBER(SEARCH("월2.3",$H156)),ISNUMBER(SEARCH("월1.2.3",$H156))),1,"")</f>
        <v/>
      </c>
      <c r="L156" s="319">
        <f>IF(ISNUMBER(SEARCH("화1",$H156)),1,"")</f>
        <v/>
      </c>
      <c r="M156" s="319">
        <f>IF(OR(ISNUMBER(SEARCH("화2",$H156)),ISNUMBER(SEARCH("화1.2",$H156))),1,"")</f>
        <v/>
      </c>
      <c r="N156" s="319">
        <f>IF(OR(ISNUMBER(SEARCH("화3",$H156)),ISNUMBER(SEARCH("화1.3",$H156)),ISNUMBER(SEARCH("화2.3",$H156)),ISNUMBER(SEARCH("화1.2.3",$H156))),1,"")</f>
        <v/>
      </c>
      <c r="O156" s="319">
        <f>IF(ISNUMBER(SEARCH("수1",$H156)),1,"")</f>
        <v/>
      </c>
      <c r="P156" s="319">
        <f>IF(OR(ISNUMBER(SEARCH("수2",$H156)),ISNUMBER(SEARCH("수1.2",$H156))),1,"")</f>
        <v/>
      </c>
      <c r="Q156" s="319">
        <f>IF(OR(ISNUMBER(SEARCH("수3",$H156)),ISNUMBER(SEARCH("수1.3",$H156)),ISNUMBER(SEARCH("수2.3",$H156)),ISNUMBER(SEARCH("수1.2.3",$H156))),1,"")</f>
        <v/>
      </c>
      <c r="R156" s="319">
        <f>IF(ISNUMBER(SEARCH("목1",$H156)),1,"")</f>
        <v/>
      </c>
      <c r="S156" s="319">
        <f>IF(OR(ISNUMBER(SEARCH("목2",$H156)),ISNUMBER(SEARCH("목1.2",$H156))),1,"")</f>
        <v/>
      </c>
      <c r="T156" s="319">
        <f>IF(OR(ISNUMBER(SEARCH("목3",$H156)),ISNUMBER(SEARCH("목1.3",$H156)),ISNUMBER(SEARCH("목2.3",$H156)),ISNUMBER(SEARCH("목1.2.3",$H156))),1,"")</f>
        <v/>
      </c>
      <c r="U156" s="319">
        <f>IF(ISNUMBER(SEARCH("금1",$H156)),1,"")</f>
        <v/>
      </c>
      <c r="V156" s="319">
        <f>IF(OR(ISNUMBER(SEARCH("금2",$H156)),ISNUMBER(SEARCH("금1.2",$H156))),1,"")</f>
        <v/>
      </c>
      <c r="W156" s="319">
        <f>IF(OR(ISNUMBER(SEARCH("금3",$H156)),ISNUMBER(SEARCH("금1.3",$H156)),ISNUMBER(SEARCH("금2.3",$H156)),ISNUMBER(SEARCH("금1.2.3",$H156))),1,"")</f>
        <v/>
      </c>
      <c r="X156" s="319">
        <f>IF(ISNUMBER(SEARCH("토1",$H156)),1,"")</f>
        <v/>
      </c>
      <c r="Y156" s="319">
        <f>IF(OR(ISNUMBER(SEARCH("토2",$H156)),ISNUMBER(SEARCH("토1.2",$H156))),1,"")</f>
        <v/>
      </c>
      <c r="Z156" s="319">
        <f>IF(OR(ISNUMBER(SEARCH("토3",$H156)),ISNUMBER(SEARCH("토1.3",$H156)),ISNUMBER(SEARCH("토2.3",$H156)),ISNUMBER(SEARCH("토1.2.3",$H156))),1,"")</f>
        <v/>
      </c>
      <c r="AA156" s="319">
        <f>IF(ISNUMBER(SEARCH("일1",$H156)),1,"")</f>
        <v/>
      </c>
      <c r="AB156" s="319">
        <f>IF(OR(ISNUMBER(SEARCH("일2",$H156)),ISNUMBER(SEARCH("일1.2",$H156))),1,"")</f>
        <v/>
      </c>
      <c r="AC156" s="319">
        <f>IF(OR(ISNUMBER(SEARCH("일3",$H156)),ISNUMBER(SEARCH("일1.3",$H156)),ISNUMBER(SEARCH("일2.3",$H156)),ISNUMBER(SEARCH("일1.2.3",$H156))),1,"")</f>
        <v/>
      </c>
      <c r="AD156" s="319">
        <f>SUM(I156:AC156)</f>
        <v/>
      </c>
      <c r="AE156" s="323" t="n"/>
    </row>
    <row r="157" ht="24" customHeight="1">
      <c r="A157" s="168" t="n"/>
      <c r="B157" s="319" t="n"/>
      <c r="C157" s="319" t="n"/>
      <c r="D157" s="319" t="n"/>
      <c r="E157" s="341" t="n"/>
      <c r="F157" s="341" t="n"/>
      <c r="G157" s="342" t="n"/>
      <c r="H157" s="322" t="n"/>
      <c r="I157" s="319">
        <f>IF(ISNUMBER(SEARCH("월1",$H157)),1,"")</f>
        <v/>
      </c>
      <c r="J157" s="319">
        <f>IF(OR(ISNUMBER(SEARCH("월2",$H157)),ISNUMBER(SEARCH("월1.2",$H157))),1,"")</f>
        <v/>
      </c>
      <c r="K157" s="319">
        <f>IF(OR(ISNUMBER(SEARCH("월3",$H157)),ISNUMBER(SEARCH("월1.3",$H157)),ISNUMBER(SEARCH("월2.3",$H157)),ISNUMBER(SEARCH("월1.2.3",$H157))),1,"")</f>
        <v/>
      </c>
      <c r="L157" s="319">
        <f>IF(ISNUMBER(SEARCH("화1",$H157)),1,"")</f>
        <v/>
      </c>
      <c r="M157" s="319">
        <f>IF(OR(ISNUMBER(SEARCH("화2",$H157)),ISNUMBER(SEARCH("화1.2",$H157))),1,"")</f>
        <v/>
      </c>
      <c r="N157" s="319">
        <f>IF(OR(ISNUMBER(SEARCH("화3",$H157)),ISNUMBER(SEARCH("화1.3",$H157)),ISNUMBER(SEARCH("화2.3",$H157)),ISNUMBER(SEARCH("화1.2.3",$H157))),1,"")</f>
        <v/>
      </c>
      <c r="O157" s="319">
        <f>IF(ISNUMBER(SEARCH("수1",$H157)),1,"")</f>
        <v/>
      </c>
      <c r="P157" s="319">
        <f>IF(OR(ISNUMBER(SEARCH("수2",$H157)),ISNUMBER(SEARCH("수1.2",$H157))),1,"")</f>
        <v/>
      </c>
      <c r="Q157" s="319">
        <f>IF(OR(ISNUMBER(SEARCH("수3",$H157)),ISNUMBER(SEARCH("수1.3",$H157)),ISNUMBER(SEARCH("수2.3",$H157)),ISNUMBER(SEARCH("수1.2.3",$H157))),1,"")</f>
        <v/>
      </c>
      <c r="R157" s="319">
        <f>IF(ISNUMBER(SEARCH("목1",$H157)),1,"")</f>
        <v/>
      </c>
      <c r="S157" s="319">
        <f>IF(OR(ISNUMBER(SEARCH("목2",$H157)),ISNUMBER(SEARCH("목1.2",$H157))),1,"")</f>
        <v/>
      </c>
      <c r="T157" s="319">
        <f>IF(OR(ISNUMBER(SEARCH("목3",$H157)),ISNUMBER(SEARCH("목1.3",$H157)),ISNUMBER(SEARCH("목2.3",$H157)),ISNUMBER(SEARCH("목1.2.3",$H157))),1,"")</f>
        <v/>
      </c>
      <c r="U157" s="319">
        <f>IF(ISNUMBER(SEARCH("금1",$H157)),1,"")</f>
        <v/>
      </c>
      <c r="V157" s="319">
        <f>IF(OR(ISNUMBER(SEARCH("금2",$H157)),ISNUMBER(SEARCH("금1.2",$H157))),1,"")</f>
        <v/>
      </c>
      <c r="W157" s="319">
        <f>IF(OR(ISNUMBER(SEARCH("금3",$H157)),ISNUMBER(SEARCH("금1.3",$H157)),ISNUMBER(SEARCH("금2.3",$H157)),ISNUMBER(SEARCH("금1.2.3",$H157))),1,"")</f>
        <v/>
      </c>
      <c r="X157" s="319">
        <f>IF(ISNUMBER(SEARCH("토1",$H157)),1,"")</f>
        <v/>
      </c>
      <c r="Y157" s="319">
        <f>IF(OR(ISNUMBER(SEARCH("토2",$H157)),ISNUMBER(SEARCH("토1.2",$H157))),1,"")</f>
        <v/>
      </c>
      <c r="Z157" s="319">
        <f>IF(OR(ISNUMBER(SEARCH("토3",$H157)),ISNUMBER(SEARCH("토1.3",$H157)),ISNUMBER(SEARCH("토2.3",$H157)),ISNUMBER(SEARCH("토1.2.3",$H157))),1,"")</f>
        <v/>
      </c>
      <c r="AA157" s="319">
        <f>IF(ISNUMBER(SEARCH("일1",$H157)),1,"")</f>
        <v/>
      </c>
      <c r="AB157" s="319">
        <f>IF(OR(ISNUMBER(SEARCH("일2",$H157)),ISNUMBER(SEARCH("일1.2",$H157))),1,"")</f>
        <v/>
      </c>
      <c r="AC157" s="319">
        <f>IF(OR(ISNUMBER(SEARCH("일3",$H157)),ISNUMBER(SEARCH("일1.3",$H157)),ISNUMBER(SEARCH("일2.3",$H157)),ISNUMBER(SEARCH("일1.2.3",$H157))),1,"")</f>
        <v/>
      </c>
      <c r="AD157" s="319">
        <f>SUM(I157:AC157)</f>
        <v/>
      </c>
      <c r="AE157" s="323" t="n"/>
    </row>
    <row r="158" ht="24" customHeight="1">
      <c r="A158" s="170" t="n"/>
      <c r="B158" s="324" t="n"/>
      <c r="C158" s="324" t="n"/>
      <c r="D158" s="324" t="n"/>
      <c r="E158" s="343" t="n"/>
      <c r="F158" s="343" t="n"/>
      <c r="G158" s="344" t="n"/>
      <c r="H158" s="327" t="n"/>
      <c r="I158" s="324">
        <f>IF(ISNUMBER(SEARCH("월1",$H158)),1,"")</f>
        <v/>
      </c>
      <c r="J158" s="324">
        <f>IF(OR(ISNUMBER(SEARCH("월2",$H158)),ISNUMBER(SEARCH("월1.2",$H158))),1,"")</f>
        <v/>
      </c>
      <c r="K158" s="324">
        <f>IF(OR(ISNUMBER(SEARCH("월3",$H158)),ISNUMBER(SEARCH("월1.3",$H158)),ISNUMBER(SEARCH("월2.3",$H158)),ISNUMBER(SEARCH("월1.2.3",$H158))),1,"")</f>
        <v/>
      </c>
      <c r="L158" s="324">
        <f>IF(ISNUMBER(SEARCH("화1",$H158)),1,"")</f>
        <v/>
      </c>
      <c r="M158" s="324">
        <f>IF(OR(ISNUMBER(SEARCH("화2",$H158)),ISNUMBER(SEARCH("화1.2",$H158))),1,"")</f>
        <v/>
      </c>
      <c r="N158" s="324">
        <f>IF(OR(ISNUMBER(SEARCH("화3",$H158)),ISNUMBER(SEARCH("화1.3",$H158)),ISNUMBER(SEARCH("화2.3",$H158)),ISNUMBER(SEARCH("화1.2.3",$H158))),1,"")</f>
        <v/>
      </c>
      <c r="O158" s="324">
        <f>IF(ISNUMBER(SEARCH("수1",$H158)),1,"")</f>
        <v/>
      </c>
      <c r="P158" s="324">
        <f>IF(OR(ISNUMBER(SEARCH("수2",$H158)),ISNUMBER(SEARCH("수1.2",$H158))),1,"")</f>
        <v/>
      </c>
      <c r="Q158" s="324">
        <f>IF(OR(ISNUMBER(SEARCH("수3",$H158)),ISNUMBER(SEARCH("수1.3",$H158)),ISNUMBER(SEARCH("수2.3",$H158)),ISNUMBER(SEARCH("수1.2.3",$H158))),1,"")</f>
        <v/>
      </c>
      <c r="R158" s="324">
        <f>IF(ISNUMBER(SEARCH("목1",$H158)),1,"")</f>
        <v/>
      </c>
      <c r="S158" s="324">
        <f>IF(OR(ISNUMBER(SEARCH("목2",$H158)),ISNUMBER(SEARCH("목1.2",$H158))),1,"")</f>
        <v/>
      </c>
      <c r="T158" s="324">
        <f>IF(OR(ISNUMBER(SEARCH("목3",$H158)),ISNUMBER(SEARCH("목1.3",$H158)),ISNUMBER(SEARCH("목2.3",$H158)),ISNUMBER(SEARCH("목1.2.3",$H158))),1,"")</f>
        <v/>
      </c>
      <c r="U158" s="324">
        <f>IF(ISNUMBER(SEARCH("금1",$H158)),1,"")</f>
        <v/>
      </c>
      <c r="V158" s="324">
        <f>IF(OR(ISNUMBER(SEARCH("금2",$H158)),ISNUMBER(SEARCH("금1.2",$H158))),1,"")</f>
        <v/>
      </c>
      <c r="W158" s="324">
        <f>IF(OR(ISNUMBER(SEARCH("금3",$H158)),ISNUMBER(SEARCH("금1.3",$H158)),ISNUMBER(SEARCH("금2.3",$H158)),ISNUMBER(SEARCH("금1.2.3",$H158))),1,"")</f>
        <v/>
      </c>
      <c r="X158" s="324">
        <f>IF(ISNUMBER(SEARCH("토1",$H158)),1,"")</f>
        <v/>
      </c>
      <c r="Y158" s="324">
        <f>IF(OR(ISNUMBER(SEARCH("토2",$H158)),ISNUMBER(SEARCH("토1.2",$H158))),1,"")</f>
        <v/>
      </c>
      <c r="Z158" s="324">
        <f>IF(OR(ISNUMBER(SEARCH("토3",$H158)),ISNUMBER(SEARCH("토1.3",$H158)),ISNUMBER(SEARCH("토2.3",$H158)),ISNUMBER(SEARCH("토1.2.3",$H158))),1,"")</f>
        <v/>
      </c>
      <c r="AA158" s="324">
        <f>IF(ISNUMBER(SEARCH("일1",$H158)),1,"")</f>
        <v/>
      </c>
      <c r="AB158" s="324">
        <f>IF(OR(ISNUMBER(SEARCH("일2",$H158)),ISNUMBER(SEARCH("일1.2",$H158))),1,"")</f>
        <v/>
      </c>
      <c r="AC158" s="324">
        <f>IF(OR(ISNUMBER(SEARCH("일3",$H158)),ISNUMBER(SEARCH("일1.3",$H158)),ISNUMBER(SEARCH("일2.3",$H158)),ISNUMBER(SEARCH("일1.2.3",$H158))),1,"")</f>
        <v/>
      </c>
      <c r="AD158" s="324">
        <f>SUM(I158:AC158)</f>
        <v/>
      </c>
      <c r="AE158" s="328" t="n"/>
    </row>
    <row r="159" ht="27" customHeight="1">
      <c r="A159" s="336" t="n"/>
      <c r="B159" s="337" t="n"/>
      <c r="C159" s="337" t="n"/>
      <c r="D159" s="337" t="n"/>
      <c r="E159" s="337" t="n"/>
      <c r="F159" s="337" t="n"/>
      <c r="G159" s="337" t="n"/>
      <c r="H159" s="337" t="n"/>
      <c r="I159" s="337" t="n"/>
      <c r="J159" s="337" t="n"/>
      <c r="K159" s="337" t="n"/>
      <c r="L159" s="337" t="n"/>
      <c r="M159" s="337" t="n"/>
      <c r="N159" s="337" t="n"/>
      <c r="O159" s="337" t="n"/>
      <c r="P159" s="337" t="n"/>
      <c r="Q159" s="337" t="n"/>
      <c r="R159" s="337" t="n"/>
      <c r="S159" s="337" t="n"/>
      <c r="T159" s="337" t="n"/>
      <c r="U159" s="337" t="n"/>
      <c r="V159" s="337" t="n"/>
      <c r="W159" s="337" t="n"/>
      <c r="X159" s="337" t="n"/>
      <c r="Y159" s="337" t="n"/>
      <c r="Z159" s="337" t="n"/>
      <c r="AA159" s="337" t="n"/>
      <c r="AB159" s="337" t="n"/>
      <c r="AC159" s="337" t="n"/>
      <c r="AD159" s="337" t="n"/>
      <c r="AE159" s="338" t="n"/>
    </row>
    <row r="160" ht="24" customHeight="1">
      <c r="A160" s="166" t="n"/>
      <c r="B160" s="314" t="n"/>
      <c r="C160" s="314" t="n"/>
      <c r="D160" s="314" t="n"/>
      <c r="E160" s="339" t="n"/>
      <c r="F160" s="339" t="n"/>
      <c r="G160" s="340" t="n"/>
      <c r="H160" s="317" t="n"/>
      <c r="I160" s="314">
        <f>IF(ISNUMBER(SEARCH("월1",$H160)),1,"")</f>
        <v/>
      </c>
      <c r="J160" s="314">
        <f>IF(OR(ISNUMBER(SEARCH("월2",$H160)),ISNUMBER(SEARCH("월1.2",$H160))),1,"")</f>
        <v/>
      </c>
      <c r="K160" s="314">
        <f>IF(OR(ISNUMBER(SEARCH("월3",$H160)),ISNUMBER(SEARCH("월1.3",$H160)),ISNUMBER(SEARCH("월2.3",$H160)),ISNUMBER(SEARCH("월1.2.3",$H160))),1,"")</f>
        <v/>
      </c>
      <c r="L160" s="314">
        <f>IF(ISNUMBER(SEARCH("화1",$H160)),1,"")</f>
        <v/>
      </c>
      <c r="M160" s="314">
        <f>IF(OR(ISNUMBER(SEARCH("화2",$H160)),ISNUMBER(SEARCH("화1.2",$H160))),1,"")</f>
        <v/>
      </c>
      <c r="N160" s="314">
        <f>IF(OR(ISNUMBER(SEARCH("화3",$H160)),ISNUMBER(SEARCH("화1.3",$H160)),ISNUMBER(SEARCH("화2.3",$H160)),ISNUMBER(SEARCH("화1.2.3",$H160))),1,"")</f>
        <v/>
      </c>
      <c r="O160" s="314">
        <f>IF(ISNUMBER(SEARCH("수1",$H160)),1,"")</f>
        <v/>
      </c>
      <c r="P160" s="314">
        <f>IF(OR(ISNUMBER(SEARCH("수2",$H160)),ISNUMBER(SEARCH("수1.2",$H160))),1,"")</f>
        <v/>
      </c>
      <c r="Q160" s="314">
        <f>IF(OR(ISNUMBER(SEARCH("수3",$H160)),ISNUMBER(SEARCH("수1.3",$H160)),ISNUMBER(SEARCH("수2.3",$H160)),ISNUMBER(SEARCH("수1.2.3",$H160))),1,"")</f>
        <v/>
      </c>
      <c r="R160" s="314">
        <f>IF(ISNUMBER(SEARCH("목1",$H160)),1,"")</f>
        <v/>
      </c>
      <c r="S160" s="314">
        <f>IF(OR(ISNUMBER(SEARCH("목2",$H160)),ISNUMBER(SEARCH("목1.2",$H160))),1,"")</f>
        <v/>
      </c>
      <c r="T160" s="314">
        <f>IF(OR(ISNUMBER(SEARCH("목3",$H160)),ISNUMBER(SEARCH("목1.3",$H160)),ISNUMBER(SEARCH("목2.3",$H160)),ISNUMBER(SEARCH("목1.2.3",$H160))),1,"")</f>
        <v/>
      </c>
      <c r="U160" s="314">
        <f>IF(ISNUMBER(SEARCH("금1",$H160)),1,"")</f>
        <v/>
      </c>
      <c r="V160" s="314">
        <f>IF(OR(ISNUMBER(SEARCH("금2",$H160)),ISNUMBER(SEARCH("금1.2",$H160))),1,"")</f>
        <v/>
      </c>
      <c r="W160" s="314">
        <f>IF(OR(ISNUMBER(SEARCH("금3",$H160)),ISNUMBER(SEARCH("금1.3",$H160)),ISNUMBER(SEARCH("금2.3",$H160)),ISNUMBER(SEARCH("금1.2.3",$H160))),1,"")</f>
        <v/>
      </c>
      <c r="X160" s="314">
        <f>IF(ISNUMBER(SEARCH("토1",$H160)),1,"")</f>
        <v/>
      </c>
      <c r="Y160" s="314">
        <f>IF(OR(ISNUMBER(SEARCH("토2",$H160)),ISNUMBER(SEARCH("토1.2",$H160))),1,"")</f>
        <v/>
      </c>
      <c r="Z160" s="314">
        <f>IF(OR(ISNUMBER(SEARCH("토3",$H160)),ISNUMBER(SEARCH("토1.3",$H160)),ISNUMBER(SEARCH("토2.3",$H160)),ISNUMBER(SEARCH("토1.2.3",$H160))),1,"")</f>
        <v/>
      </c>
      <c r="AA160" s="314">
        <f>IF(ISNUMBER(SEARCH("일1",$H160)),1,"")</f>
        <v/>
      </c>
      <c r="AB160" s="314">
        <f>IF(OR(ISNUMBER(SEARCH("일2",$H160)),ISNUMBER(SEARCH("일1.2",$H160))),1,"")</f>
        <v/>
      </c>
      <c r="AC160" s="314">
        <f>IF(OR(ISNUMBER(SEARCH("일3",$H160)),ISNUMBER(SEARCH("일1.3",$H160)),ISNUMBER(SEARCH("일2.3",$H160)),ISNUMBER(SEARCH("일1.2.3",$H160))),1,"")</f>
        <v/>
      </c>
      <c r="AD160" s="314">
        <f>SUM(I160:AC160)</f>
        <v/>
      </c>
      <c r="AE160" s="318" t="n"/>
    </row>
    <row r="161" ht="24" customHeight="1">
      <c r="A161" s="168" t="n"/>
      <c r="B161" s="319" t="n"/>
      <c r="C161" s="319" t="n"/>
      <c r="D161" s="319" t="n"/>
      <c r="E161" s="341" t="n"/>
      <c r="F161" s="341" t="n"/>
      <c r="G161" s="342" t="n"/>
      <c r="H161" s="322" t="n"/>
      <c r="I161" s="319">
        <f>IF(ISNUMBER(SEARCH("월1",$H161)),1,"")</f>
        <v/>
      </c>
      <c r="J161" s="319">
        <f>IF(OR(ISNUMBER(SEARCH("월2",$H161)),ISNUMBER(SEARCH("월1.2",$H161))),1,"")</f>
        <v/>
      </c>
      <c r="K161" s="319">
        <f>IF(OR(ISNUMBER(SEARCH("월3",$H161)),ISNUMBER(SEARCH("월1.3",$H161)),ISNUMBER(SEARCH("월2.3",$H161)),ISNUMBER(SEARCH("월1.2.3",$H161))),1,"")</f>
        <v/>
      </c>
      <c r="L161" s="319">
        <f>IF(ISNUMBER(SEARCH("화1",$H161)),1,"")</f>
        <v/>
      </c>
      <c r="M161" s="319">
        <f>IF(OR(ISNUMBER(SEARCH("화2",$H161)),ISNUMBER(SEARCH("화1.2",$H161))),1,"")</f>
        <v/>
      </c>
      <c r="N161" s="319">
        <f>IF(OR(ISNUMBER(SEARCH("화3",$H161)),ISNUMBER(SEARCH("화1.3",$H161)),ISNUMBER(SEARCH("화2.3",$H161)),ISNUMBER(SEARCH("화1.2.3",$H161))),1,"")</f>
        <v/>
      </c>
      <c r="O161" s="319">
        <f>IF(ISNUMBER(SEARCH("수1",$H161)),1,"")</f>
        <v/>
      </c>
      <c r="P161" s="319">
        <f>IF(OR(ISNUMBER(SEARCH("수2",$H161)),ISNUMBER(SEARCH("수1.2",$H161))),1,"")</f>
        <v/>
      </c>
      <c r="Q161" s="319">
        <f>IF(OR(ISNUMBER(SEARCH("수3",$H161)),ISNUMBER(SEARCH("수1.3",$H161)),ISNUMBER(SEARCH("수2.3",$H161)),ISNUMBER(SEARCH("수1.2.3",$H161))),1,"")</f>
        <v/>
      </c>
      <c r="R161" s="319">
        <f>IF(ISNUMBER(SEARCH("목1",$H161)),1,"")</f>
        <v/>
      </c>
      <c r="S161" s="319">
        <f>IF(OR(ISNUMBER(SEARCH("목2",$H161)),ISNUMBER(SEARCH("목1.2",$H161))),1,"")</f>
        <v/>
      </c>
      <c r="T161" s="319">
        <f>IF(OR(ISNUMBER(SEARCH("목3",$H161)),ISNUMBER(SEARCH("목1.3",$H161)),ISNUMBER(SEARCH("목2.3",$H161)),ISNUMBER(SEARCH("목1.2.3",$H161))),1,"")</f>
        <v/>
      </c>
      <c r="U161" s="319">
        <f>IF(ISNUMBER(SEARCH("금1",$H161)),1,"")</f>
        <v/>
      </c>
      <c r="V161" s="319">
        <f>IF(OR(ISNUMBER(SEARCH("금2",$H161)),ISNUMBER(SEARCH("금1.2",$H161))),1,"")</f>
        <v/>
      </c>
      <c r="W161" s="319">
        <f>IF(OR(ISNUMBER(SEARCH("금3",$H161)),ISNUMBER(SEARCH("금1.3",$H161)),ISNUMBER(SEARCH("금2.3",$H161)),ISNUMBER(SEARCH("금1.2.3",$H161))),1,"")</f>
        <v/>
      </c>
      <c r="X161" s="319">
        <f>IF(ISNUMBER(SEARCH("토1",$H161)),1,"")</f>
        <v/>
      </c>
      <c r="Y161" s="319">
        <f>IF(OR(ISNUMBER(SEARCH("토2",$H161)),ISNUMBER(SEARCH("토1.2",$H161))),1,"")</f>
        <v/>
      </c>
      <c r="Z161" s="319">
        <f>IF(OR(ISNUMBER(SEARCH("토3",$H161)),ISNUMBER(SEARCH("토1.3",$H161)),ISNUMBER(SEARCH("토2.3",$H161)),ISNUMBER(SEARCH("토1.2.3",$H161))),1,"")</f>
        <v/>
      </c>
      <c r="AA161" s="319">
        <f>IF(ISNUMBER(SEARCH("일1",$H161)),1,"")</f>
        <v/>
      </c>
      <c r="AB161" s="319">
        <f>IF(OR(ISNUMBER(SEARCH("일2",$H161)),ISNUMBER(SEARCH("일1.2",$H161))),1,"")</f>
        <v/>
      </c>
      <c r="AC161" s="319">
        <f>IF(OR(ISNUMBER(SEARCH("일3",$H161)),ISNUMBER(SEARCH("일1.3",$H161)),ISNUMBER(SEARCH("일2.3",$H161)),ISNUMBER(SEARCH("일1.2.3",$H161))),1,"")</f>
        <v/>
      </c>
      <c r="AD161" s="319">
        <f>SUM(I161:AC161)</f>
        <v/>
      </c>
      <c r="AE161" s="323" t="n"/>
    </row>
    <row r="162" ht="24" customHeight="1">
      <c r="A162" s="168" t="n"/>
      <c r="B162" s="319" t="n"/>
      <c r="C162" s="319" t="n"/>
      <c r="D162" s="319" t="n"/>
      <c r="E162" s="341" t="n"/>
      <c r="F162" s="341" t="n"/>
      <c r="G162" s="342" t="n"/>
      <c r="H162" s="322" t="n"/>
      <c r="I162" s="319">
        <f>IF(ISNUMBER(SEARCH("월1",$H162)),1,"")</f>
        <v/>
      </c>
      <c r="J162" s="319">
        <f>IF(OR(ISNUMBER(SEARCH("월2",$H162)),ISNUMBER(SEARCH("월1.2",$H162))),1,"")</f>
        <v/>
      </c>
      <c r="K162" s="319">
        <f>IF(OR(ISNUMBER(SEARCH("월3",$H162)),ISNUMBER(SEARCH("월1.3",$H162)),ISNUMBER(SEARCH("월2.3",$H162)),ISNUMBER(SEARCH("월1.2.3",$H162))),1,"")</f>
        <v/>
      </c>
      <c r="L162" s="319">
        <f>IF(ISNUMBER(SEARCH("화1",$H162)),1,"")</f>
        <v/>
      </c>
      <c r="M162" s="319">
        <f>IF(OR(ISNUMBER(SEARCH("화2",$H162)),ISNUMBER(SEARCH("화1.2",$H162))),1,"")</f>
        <v/>
      </c>
      <c r="N162" s="319">
        <f>IF(OR(ISNUMBER(SEARCH("화3",$H162)),ISNUMBER(SEARCH("화1.3",$H162)),ISNUMBER(SEARCH("화2.3",$H162)),ISNUMBER(SEARCH("화1.2.3",$H162))),1,"")</f>
        <v/>
      </c>
      <c r="O162" s="319">
        <f>IF(ISNUMBER(SEARCH("수1",$H162)),1,"")</f>
        <v/>
      </c>
      <c r="P162" s="319">
        <f>IF(OR(ISNUMBER(SEARCH("수2",$H162)),ISNUMBER(SEARCH("수1.2",$H162))),1,"")</f>
        <v/>
      </c>
      <c r="Q162" s="319">
        <f>IF(OR(ISNUMBER(SEARCH("수3",$H162)),ISNUMBER(SEARCH("수1.3",$H162)),ISNUMBER(SEARCH("수2.3",$H162)),ISNUMBER(SEARCH("수1.2.3",$H162))),1,"")</f>
        <v/>
      </c>
      <c r="R162" s="319">
        <f>IF(ISNUMBER(SEARCH("목1",$H162)),1,"")</f>
        <v/>
      </c>
      <c r="S162" s="319">
        <f>IF(OR(ISNUMBER(SEARCH("목2",$H162)),ISNUMBER(SEARCH("목1.2",$H162))),1,"")</f>
        <v/>
      </c>
      <c r="T162" s="319">
        <f>IF(OR(ISNUMBER(SEARCH("목3",$H162)),ISNUMBER(SEARCH("목1.3",$H162)),ISNUMBER(SEARCH("목2.3",$H162)),ISNUMBER(SEARCH("목1.2.3",$H162))),1,"")</f>
        <v/>
      </c>
      <c r="U162" s="319">
        <f>IF(ISNUMBER(SEARCH("금1",$H162)),1,"")</f>
        <v/>
      </c>
      <c r="V162" s="319">
        <f>IF(OR(ISNUMBER(SEARCH("금2",$H162)),ISNUMBER(SEARCH("금1.2",$H162))),1,"")</f>
        <v/>
      </c>
      <c r="W162" s="319">
        <f>IF(OR(ISNUMBER(SEARCH("금3",$H162)),ISNUMBER(SEARCH("금1.3",$H162)),ISNUMBER(SEARCH("금2.3",$H162)),ISNUMBER(SEARCH("금1.2.3",$H162))),1,"")</f>
        <v/>
      </c>
      <c r="X162" s="319">
        <f>IF(ISNUMBER(SEARCH("토1",$H162)),1,"")</f>
        <v/>
      </c>
      <c r="Y162" s="319">
        <f>IF(OR(ISNUMBER(SEARCH("토2",$H162)),ISNUMBER(SEARCH("토1.2",$H162))),1,"")</f>
        <v/>
      </c>
      <c r="Z162" s="319">
        <f>IF(OR(ISNUMBER(SEARCH("토3",$H162)),ISNUMBER(SEARCH("토1.3",$H162)),ISNUMBER(SEARCH("토2.3",$H162)),ISNUMBER(SEARCH("토1.2.3",$H162))),1,"")</f>
        <v/>
      </c>
      <c r="AA162" s="319">
        <f>IF(ISNUMBER(SEARCH("일1",$H162)),1,"")</f>
        <v/>
      </c>
      <c r="AB162" s="319">
        <f>IF(OR(ISNUMBER(SEARCH("일2",$H162)),ISNUMBER(SEARCH("일1.2",$H162))),1,"")</f>
        <v/>
      </c>
      <c r="AC162" s="319">
        <f>IF(OR(ISNUMBER(SEARCH("일3",$H162)),ISNUMBER(SEARCH("일1.3",$H162)),ISNUMBER(SEARCH("일2.3",$H162)),ISNUMBER(SEARCH("일1.2.3",$H162))),1,"")</f>
        <v/>
      </c>
      <c r="AD162" s="319">
        <f>SUM(I162:AC162)</f>
        <v/>
      </c>
      <c r="AE162" s="323" t="n"/>
    </row>
    <row r="163" ht="24" customHeight="1">
      <c r="A163" s="168" t="n"/>
      <c r="B163" s="319" t="n"/>
      <c r="C163" s="319" t="n"/>
      <c r="D163" s="319" t="n"/>
      <c r="E163" s="341" t="n"/>
      <c r="F163" s="341" t="n"/>
      <c r="G163" s="342" t="n"/>
      <c r="H163" s="322" t="n"/>
      <c r="I163" s="319">
        <f>IF(ISNUMBER(SEARCH("월1",$H163)),1,"")</f>
        <v/>
      </c>
      <c r="J163" s="319">
        <f>IF(OR(ISNUMBER(SEARCH("월2",$H163)),ISNUMBER(SEARCH("월1.2",$H163))),1,"")</f>
        <v/>
      </c>
      <c r="K163" s="319">
        <f>IF(OR(ISNUMBER(SEARCH("월3",$H163)),ISNUMBER(SEARCH("월1.3",$H163)),ISNUMBER(SEARCH("월2.3",$H163)),ISNUMBER(SEARCH("월1.2.3",$H163))),1,"")</f>
        <v/>
      </c>
      <c r="L163" s="319">
        <f>IF(ISNUMBER(SEARCH("화1",$H163)),1,"")</f>
        <v/>
      </c>
      <c r="M163" s="319">
        <f>IF(OR(ISNUMBER(SEARCH("화2",$H163)),ISNUMBER(SEARCH("화1.2",$H163))),1,"")</f>
        <v/>
      </c>
      <c r="N163" s="319">
        <f>IF(OR(ISNUMBER(SEARCH("화3",$H163)),ISNUMBER(SEARCH("화1.3",$H163)),ISNUMBER(SEARCH("화2.3",$H163)),ISNUMBER(SEARCH("화1.2.3",$H163))),1,"")</f>
        <v/>
      </c>
      <c r="O163" s="319">
        <f>IF(ISNUMBER(SEARCH("수1",$H163)),1,"")</f>
        <v/>
      </c>
      <c r="P163" s="319">
        <f>IF(OR(ISNUMBER(SEARCH("수2",$H163)),ISNUMBER(SEARCH("수1.2",$H163))),1,"")</f>
        <v/>
      </c>
      <c r="Q163" s="319">
        <f>IF(OR(ISNUMBER(SEARCH("수3",$H163)),ISNUMBER(SEARCH("수1.3",$H163)),ISNUMBER(SEARCH("수2.3",$H163)),ISNUMBER(SEARCH("수1.2.3",$H163))),1,"")</f>
        <v/>
      </c>
      <c r="R163" s="319">
        <f>IF(ISNUMBER(SEARCH("목1",$H163)),1,"")</f>
        <v/>
      </c>
      <c r="S163" s="319">
        <f>IF(OR(ISNUMBER(SEARCH("목2",$H163)),ISNUMBER(SEARCH("목1.2",$H163))),1,"")</f>
        <v/>
      </c>
      <c r="T163" s="319">
        <f>IF(OR(ISNUMBER(SEARCH("목3",$H163)),ISNUMBER(SEARCH("목1.3",$H163)),ISNUMBER(SEARCH("목2.3",$H163)),ISNUMBER(SEARCH("목1.2.3",$H163))),1,"")</f>
        <v/>
      </c>
      <c r="U163" s="319">
        <f>IF(ISNUMBER(SEARCH("금1",$H163)),1,"")</f>
        <v/>
      </c>
      <c r="V163" s="319">
        <f>IF(OR(ISNUMBER(SEARCH("금2",$H163)),ISNUMBER(SEARCH("금1.2",$H163))),1,"")</f>
        <v/>
      </c>
      <c r="W163" s="319">
        <f>IF(OR(ISNUMBER(SEARCH("금3",$H163)),ISNUMBER(SEARCH("금1.3",$H163)),ISNUMBER(SEARCH("금2.3",$H163)),ISNUMBER(SEARCH("금1.2.3",$H163))),1,"")</f>
        <v/>
      </c>
      <c r="X163" s="319">
        <f>IF(ISNUMBER(SEARCH("토1",$H163)),1,"")</f>
        <v/>
      </c>
      <c r="Y163" s="319">
        <f>IF(OR(ISNUMBER(SEARCH("토2",$H163)),ISNUMBER(SEARCH("토1.2",$H163))),1,"")</f>
        <v/>
      </c>
      <c r="Z163" s="319">
        <f>IF(OR(ISNUMBER(SEARCH("토3",$H163)),ISNUMBER(SEARCH("토1.3",$H163)),ISNUMBER(SEARCH("토2.3",$H163)),ISNUMBER(SEARCH("토1.2.3",$H163))),1,"")</f>
        <v/>
      </c>
      <c r="AA163" s="319">
        <f>IF(ISNUMBER(SEARCH("일1",$H163)),1,"")</f>
        <v/>
      </c>
      <c r="AB163" s="319">
        <f>IF(OR(ISNUMBER(SEARCH("일2",$H163)),ISNUMBER(SEARCH("일1.2",$H163))),1,"")</f>
        <v/>
      </c>
      <c r="AC163" s="319">
        <f>IF(OR(ISNUMBER(SEARCH("일3",$H163)),ISNUMBER(SEARCH("일1.3",$H163)),ISNUMBER(SEARCH("일2.3",$H163)),ISNUMBER(SEARCH("일1.2.3",$H163))),1,"")</f>
        <v/>
      </c>
      <c r="AD163" s="319">
        <f>SUM(I163:AC163)</f>
        <v/>
      </c>
      <c r="AE163" s="323" t="n"/>
    </row>
    <row r="164" ht="24" customHeight="1">
      <c r="A164" s="168" t="n"/>
      <c r="B164" s="319" t="n"/>
      <c r="C164" s="319" t="n"/>
      <c r="D164" s="319" t="n"/>
      <c r="E164" s="341" t="n"/>
      <c r="F164" s="341" t="n"/>
      <c r="G164" s="342" t="n"/>
      <c r="H164" s="322" t="n"/>
      <c r="I164" s="319">
        <f>IF(ISNUMBER(SEARCH("월1",$H164)),1,"")</f>
        <v/>
      </c>
      <c r="J164" s="319">
        <f>IF(OR(ISNUMBER(SEARCH("월2",$H164)),ISNUMBER(SEARCH("월1.2",$H164))),1,"")</f>
        <v/>
      </c>
      <c r="K164" s="319">
        <f>IF(OR(ISNUMBER(SEARCH("월3",$H164)),ISNUMBER(SEARCH("월1.3",$H164)),ISNUMBER(SEARCH("월2.3",$H164)),ISNUMBER(SEARCH("월1.2.3",$H164))),1,"")</f>
        <v/>
      </c>
      <c r="L164" s="319">
        <f>IF(ISNUMBER(SEARCH("화1",$H164)),1,"")</f>
        <v/>
      </c>
      <c r="M164" s="319">
        <f>IF(OR(ISNUMBER(SEARCH("화2",$H164)),ISNUMBER(SEARCH("화1.2",$H164))),1,"")</f>
        <v/>
      </c>
      <c r="N164" s="319">
        <f>IF(OR(ISNUMBER(SEARCH("화3",$H164)),ISNUMBER(SEARCH("화1.3",$H164)),ISNUMBER(SEARCH("화2.3",$H164)),ISNUMBER(SEARCH("화1.2.3",$H164))),1,"")</f>
        <v/>
      </c>
      <c r="O164" s="319">
        <f>IF(ISNUMBER(SEARCH("수1",$H164)),1,"")</f>
        <v/>
      </c>
      <c r="P164" s="319">
        <f>IF(OR(ISNUMBER(SEARCH("수2",$H164)),ISNUMBER(SEARCH("수1.2",$H164))),1,"")</f>
        <v/>
      </c>
      <c r="Q164" s="319">
        <f>IF(OR(ISNUMBER(SEARCH("수3",$H164)),ISNUMBER(SEARCH("수1.3",$H164)),ISNUMBER(SEARCH("수2.3",$H164)),ISNUMBER(SEARCH("수1.2.3",$H164))),1,"")</f>
        <v/>
      </c>
      <c r="R164" s="319">
        <f>IF(ISNUMBER(SEARCH("목1",$H164)),1,"")</f>
        <v/>
      </c>
      <c r="S164" s="319">
        <f>IF(OR(ISNUMBER(SEARCH("목2",$H164)),ISNUMBER(SEARCH("목1.2",$H164))),1,"")</f>
        <v/>
      </c>
      <c r="T164" s="319">
        <f>IF(OR(ISNUMBER(SEARCH("목3",$H164)),ISNUMBER(SEARCH("목1.3",$H164)),ISNUMBER(SEARCH("목2.3",$H164)),ISNUMBER(SEARCH("목1.2.3",$H164))),1,"")</f>
        <v/>
      </c>
      <c r="U164" s="319">
        <f>IF(ISNUMBER(SEARCH("금1",$H164)),1,"")</f>
        <v/>
      </c>
      <c r="V164" s="319">
        <f>IF(OR(ISNUMBER(SEARCH("금2",$H164)),ISNUMBER(SEARCH("금1.2",$H164))),1,"")</f>
        <v/>
      </c>
      <c r="W164" s="319">
        <f>IF(OR(ISNUMBER(SEARCH("금3",$H164)),ISNUMBER(SEARCH("금1.3",$H164)),ISNUMBER(SEARCH("금2.3",$H164)),ISNUMBER(SEARCH("금1.2.3",$H164))),1,"")</f>
        <v/>
      </c>
      <c r="X164" s="319">
        <f>IF(ISNUMBER(SEARCH("토1",$H164)),1,"")</f>
        <v/>
      </c>
      <c r="Y164" s="319">
        <f>IF(OR(ISNUMBER(SEARCH("토2",$H164)),ISNUMBER(SEARCH("토1.2",$H164))),1,"")</f>
        <v/>
      </c>
      <c r="Z164" s="319">
        <f>IF(OR(ISNUMBER(SEARCH("토3",$H164)),ISNUMBER(SEARCH("토1.3",$H164)),ISNUMBER(SEARCH("토2.3",$H164)),ISNUMBER(SEARCH("토1.2.3",$H164))),1,"")</f>
        <v/>
      </c>
      <c r="AA164" s="319">
        <f>IF(ISNUMBER(SEARCH("일1",$H164)),1,"")</f>
        <v/>
      </c>
      <c r="AB164" s="319">
        <f>IF(OR(ISNUMBER(SEARCH("일2",$H164)),ISNUMBER(SEARCH("일1.2",$H164))),1,"")</f>
        <v/>
      </c>
      <c r="AC164" s="319">
        <f>IF(OR(ISNUMBER(SEARCH("일3",$H164)),ISNUMBER(SEARCH("일1.3",$H164)),ISNUMBER(SEARCH("일2.3",$H164)),ISNUMBER(SEARCH("일1.2.3",$H164))),1,"")</f>
        <v/>
      </c>
      <c r="AD164" s="319">
        <f>SUM(I164:AC164)</f>
        <v/>
      </c>
      <c r="AE164" s="323" t="n"/>
    </row>
    <row r="165" ht="24" customHeight="1">
      <c r="A165" s="168" t="n"/>
      <c r="B165" s="319" t="n"/>
      <c r="C165" s="319" t="n"/>
      <c r="D165" s="319" t="n"/>
      <c r="E165" s="341" t="n"/>
      <c r="F165" s="341" t="n"/>
      <c r="G165" s="342" t="n"/>
      <c r="H165" s="322" t="n"/>
      <c r="I165" s="319">
        <f>IF(ISNUMBER(SEARCH("월1",$H165)),1,"")</f>
        <v/>
      </c>
      <c r="J165" s="319">
        <f>IF(OR(ISNUMBER(SEARCH("월2",$H165)),ISNUMBER(SEARCH("월1.2",$H165))),1,"")</f>
        <v/>
      </c>
      <c r="K165" s="319">
        <f>IF(OR(ISNUMBER(SEARCH("월3",$H165)),ISNUMBER(SEARCH("월1.3",$H165)),ISNUMBER(SEARCH("월2.3",$H165)),ISNUMBER(SEARCH("월1.2.3",$H165))),1,"")</f>
        <v/>
      </c>
      <c r="L165" s="319">
        <f>IF(ISNUMBER(SEARCH("화1",$H165)),1,"")</f>
        <v/>
      </c>
      <c r="M165" s="319">
        <f>IF(OR(ISNUMBER(SEARCH("화2",$H165)),ISNUMBER(SEARCH("화1.2",$H165))),1,"")</f>
        <v/>
      </c>
      <c r="N165" s="319">
        <f>IF(OR(ISNUMBER(SEARCH("화3",$H165)),ISNUMBER(SEARCH("화1.3",$H165)),ISNUMBER(SEARCH("화2.3",$H165)),ISNUMBER(SEARCH("화1.2.3",$H165))),1,"")</f>
        <v/>
      </c>
      <c r="O165" s="319">
        <f>IF(ISNUMBER(SEARCH("수1",$H165)),1,"")</f>
        <v/>
      </c>
      <c r="P165" s="319">
        <f>IF(OR(ISNUMBER(SEARCH("수2",$H165)),ISNUMBER(SEARCH("수1.2",$H165))),1,"")</f>
        <v/>
      </c>
      <c r="Q165" s="319">
        <f>IF(OR(ISNUMBER(SEARCH("수3",$H165)),ISNUMBER(SEARCH("수1.3",$H165)),ISNUMBER(SEARCH("수2.3",$H165)),ISNUMBER(SEARCH("수1.2.3",$H165))),1,"")</f>
        <v/>
      </c>
      <c r="R165" s="319">
        <f>IF(ISNUMBER(SEARCH("목1",$H165)),1,"")</f>
        <v/>
      </c>
      <c r="S165" s="319">
        <f>IF(OR(ISNUMBER(SEARCH("목2",$H165)),ISNUMBER(SEARCH("목1.2",$H165))),1,"")</f>
        <v/>
      </c>
      <c r="T165" s="319">
        <f>IF(OR(ISNUMBER(SEARCH("목3",$H165)),ISNUMBER(SEARCH("목1.3",$H165)),ISNUMBER(SEARCH("목2.3",$H165)),ISNUMBER(SEARCH("목1.2.3",$H165))),1,"")</f>
        <v/>
      </c>
      <c r="U165" s="319">
        <f>IF(ISNUMBER(SEARCH("금1",$H165)),1,"")</f>
        <v/>
      </c>
      <c r="V165" s="319">
        <f>IF(OR(ISNUMBER(SEARCH("금2",$H165)),ISNUMBER(SEARCH("금1.2",$H165))),1,"")</f>
        <v/>
      </c>
      <c r="W165" s="319">
        <f>IF(OR(ISNUMBER(SEARCH("금3",$H165)),ISNUMBER(SEARCH("금1.3",$H165)),ISNUMBER(SEARCH("금2.3",$H165)),ISNUMBER(SEARCH("금1.2.3",$H165))),1,"")</f>
        <v/>
      </c>
      <c r="X165" s="319">
        <f>IF(ISNUMBER(SEARCH("토1",$H165)),1,"")</f>
        <v/>
      </c>
      <c r="Y165" s="319">
        <f>IF(OR(ISNUMBER(SEARCH("토2",$H165)),ISNUMBER(SEARCH("토1.2",$H165))),1,"")</f>
        <v/>
      </c>
      <c r="Z165" s="319">
        <f>IF(OR(ISNUMBER(SEARCH("토3",$H165)),ISNUMBER(SEARCH("토1.3",$H165)),ISNUMBER(SEARCH("토2.3",$H165)),ISNUMBER(SEARCH("토1.2.3",$H165))),1,"")</f>
        <v/>
      </c>
      <c r="AA165" s="319">
        <f>IF(ISNUMBER(SEARCH("일1",$H165)),1,"")</f>
        <v/>
      </c>
      <c r="AB165" s="319">
        <f>IF(OR(ISNUMBER(SEARCH("일2",$H165)),ISNUMBER(SEARCH("일1.2",$H165))),1,"")</f>
        <v/>
      </c>
      <c r="AC165" s="319">
        <f>IF(OR(ISNUMBER(SEARCH("일3",$H165)),ISNUMBER(SEARCH("일1.3",$H165)),ISNUMBER(SEARCH("일2.3",$H165)),ISNUMBER(SEARCH("일1.2.3",$H165))),1,"")</f>
        <v/>
      </c>
      <c r="AD165" s="319">
        <f>SUM(I165:AC165)</f>
        <v/>
      </c>
      <c r="AE165" s="323" t="n"/>
    </row>
    <row r="166" ht="24" customHeight="1">
      <c r="A166" s="168" t="n"/>
      <c r="B166" s="319" t="n"/>
      <c r="C166" s="319" t="n"/>
      <c r="D166" s="319" t="n"/>
      <c r="E166" s="341" t="n"/>
      <c r="F166" s="341" t="n"/>
      <c r="G166" s="342" t="n"/>
      <c r="H166" s="322" t="n"/>
      <c r="I166" s="319">
        <f>IF(ISNUMBER(SEARCH("월1",$H166)),1,"")</f>
        <v/>
      </c>
      <c r="J166" s="319">
        <f>IF(OR(ISNUMBER(SEARCH("월2",$H166)),ISNUMBER(SEARCH("월1.2",$H166))),1,"")</f>
        <v/>
      </c>
      <c r="K166" s="319">
        <f>IF(OR(ISNUMBER(SEARCH("월3",$H166)),ISNUMBER(SEARCH("월1.3",$H166)),ISNUMBER(SEARCH("월2.3",$H166)),ISNUMBER(SEARCH("월1.2.3",$H166))),1,"")</f>
        <v/>
      </c>
      <c r="L166" s="319">
        <f>IF(ISNUMBER(SEARCH("화1",$H166)),1,"")</f>
        <v/>
      </c>
      <c r="M166" s="319">
        <f>IF(OR(ISNUMBER(SEARCH("화2",$H166)),ISNUMBER(SEARCH("화1.2",$H166))),1,"")</f>
        <v/>
      </c>
      <c r="N166" s="319">
        <f>IF(OR(ISNUMBER(SEARCH("화3",$H166)),ISNUMBER(SEARCH("화1.3",$H166)),ISNUMBER(SEARCH("화2.3",$H166)),ISNUMBER(SEARCH("화1.2.3",$H166))),1,"")</f>
        <v/>
      </c>
      <c r="O166" s="319">
        <f>IF(ISNUMBER(SEARCH("수1",$H166)),1,"")</f>
        <v/>
      </c>
      <c r="P166" s="319">
        <f>IF(OR(ISNUMBER(SEARCH("수2",$H166)),ISNUMBER(SEARCH("수1.2",$H166))),1,"")</f>
        <v/>
      </c>
      <c r="Q166" s="319">
        <f>IF(OR(ISNUMBER(SEARCH("수3",$H166)),ISNUMBER(SEARCH("수1.3",$H166)),ISNUMBER(SEARCH("수2.3",$H166)),ISNUMBER(SEARCH("수1.2.3",$H166))),1,"")</f>
        <v/>
      </c>
      <c r="R166" s="319">
        <f>IF(ISNUMBER(SEARCH("목1",$H166)),1,"")</f>
        <v/>
      </c>
      <c r="S166" s="319">
        <f>IF(OR(ISNUMBER(SEARCH("목2",$H166)),ISNUMBER(SEARCH("목1.2",$H166))),1,"")</f>
        <v/>
      </c>
      <c r="T166" s="319">
        <f>IF(OR(ISNUMBER(SEARCH("목3",$H166)),ISNUMBER(SEARCH("목1.3",$H166)),ISNUMBER(SEARCH("목2.3",$H166)),ISNUMBER(SEARCH("목1.2.3",$H166))),1,"")</f>
        <v/>
      </c>
      <c r="U166" s="319">
        <f>IF(ISNUMBER(SEARCH("금1",$H166)),1,"")</f>
        <v/>
      </c>
      <c r="V166" s="319">
        <f>IF(OR(ISNUMBER(SEARCH("금2",$H166)),ISNUMBER(SEARCH("금1.2",$H166))),1,"")</f>
        <v/>
      </c>
      <c r="W166" s="319">
        <f>IF(OR(ISNUMBER(SEARCH("금3",$H166)),ISNUMBER(SEARCH("금1.3",$H166)),ISNUMBER(SEARCH("금2.3",$H166)),ISNUMBER(SEARCH("금1.2.3",$H166))),1,"")</f>
        <v/>
      </c>
      <c r="X166" s="319">
        <f>IF(ISNUMBER(SEARCH("토1",$H166)),1,"")</f>
        <v/>
      </c>
      <c r="Y166" s="319">
        <f>IF(OR(ISNUMBER(SEARCH("토2",$H166)),ISNUMBER(SEARCH("토1.2",$H166))),1,"")</f>
        <v/>
      </c>
      <c r="Z166" s="319">
        <f>IF(OR(ISNUMBER(SEARCH("토3",$H166)),ISNUMBER(SEARCH("토1.3",$H166)),ISNUMBER(SEARCH("토2.3",$H166)),ISNUMBER(SEARCH("토1.2.3",$H166))),1,"")</f>
        <v/>
      </c>
      <c r="AA166" s="319">
        <f>IF(ISNUMBER(SEARCH("일1",$H166)),1,"")</f>
        <v/>
      </c>
      <c r="AB166" s="319">
        <f>IF(OR(ISNUMBER(SEARCH("일2",$H166)),ISNUMBER(SEARCH("일1.2",$H166))),1,"")</f>
        <v/>
      </c>
      <c r="AC166" s="319">
        <f>IF(OR(ISNUMBER(SEARCH("일3",$H166)),ISNUMBER(SEARCH("일1.3",$H166)),ISNUMBER(SEARCH("일2.3",$H166)),ISNUMBER(SEARCH("일1.2.3",$H166))),1,"")</f>
        <v/>
      </c>
      <c r="AD166" s="319">
        <f>SUM(I166:AC166)</f>
        <v/>
      </c>
      <c r="AE166" s="323" t="n"/>
    </row>
    <row r="167" ht="24" customHeight="1">
      <c r="A167" s="168" t="n"/>
      <c r="B167" s="319" t="n"/>
      <c r="C167" s="319" t="n"/>
      <c r="D167" s="319" t="n"/>
      <c r="E167" s="341" t="n"/>
      <c r="F167" s="341" t="n"/>
      <c r="G167" s="342" t="n"/>
      <c r="H167" s="322" t="n"/>
      <c r="I167" s="319">
        <f>IF(ISNUMBER(SEARCH("월1",$H167)),1,"")</f>
        <v/>
      </c>
      <c r="J167" s="319">
        <f>IF(OR(ISNUMBER(SEARCH("월2",$H167)),ISNUMBER(SEARCH("월1.2",$H167))),1,"")</f>
        <v/>
      </c>
      <c r="K167" s="319">
        <f>IF(OR(ISNUMBER(SEARCH("월3",$H167)),ISNUMBER(SEARCH("월1.3",$H167)),ISNUMBER(SEARCH("월2.3",$H167)),ISNUMBER(SEARCH("월1.2.3",$H167))),1,"")</f>
        <v/>
      </c>
      <c r="L167" s="319">
        <f>IF(ISNUMBER(SEARCH("화1",$H167)),1,"")</f>
        <v/>
      </c>
      <c r="M167" s="319">
        <f>IF(OR(ISNUMBER(SEARCH("화2",$H167)),ISNUMBER(SEARCH("화1.2",$H167))),1,"")</f>
        <v/>
      </c>
      <c r="N167" s="319">
        <f>IF(OR(ISNUMBER(SEARCH("화3",$H167)),ISNUMBER(SEARCH("화1.3",$H167)),ISNUMBER(SEARCH("화2.3",$H167)),ISNUMBER(SEARCH("화1.2.3",$H167))),1,"")</f>
        <v/>
      </c>
      <c r="O167" s="319">
        <f>IF(ISNUMBER(SEARCH("수1",$H167)),1,"")</f>
        <v/>
      </c>
      <c r="P167" s="319">
        <f>IF(OR(ISNUMBER(SEARCH("수2",$H167)),ISNUMBER(SEARCH("수1.2",$H167))),1,"")</f>
        <v/>
      </c>
      <c r="Q167" s="319">
        <f>IF(OR(ISNUMBER(SEARCH("수3",$H167)),ISNUMBER(SEARCH("수1.3",$H167)),ISNUMBER(SEARCH("수2.3",$H167)),ISNUMBER(SEARCH("수1.2.3",$H167))),1,"")</f>
        <v/>
      </c>
      <c r="R167" s="319">
        <f>IF(ISNUMBER(SEARCH("목1",$H167)),1,"")</f>
        <v/>
      </c>
      <c r="S167" s="319">
        <f>IF(OR(ISNUMBER(SEARCH("목2",$H167)),ISNUMBER(SEARCH("목1.2",$H167))),1,"")</f>
        <v/>
      </c>
      <c r="T167" s="319">
        <f>IF(OR(ISNUMBER(SEARCH("목3",$H167)),ISNUMBER(SEARCH("목1.3",$H167)),ISNUMBER(SEARCH("목2.3",$H167)),ISNUMBER(SEARCH("목1.2.3",$H167))),1,"")</f>
        <v/>
      </c>
      <c r="U167" s="319">
        <f>IF(ISNUMBER(SEARCH("금1",$H167)),1,"")</f>
        <v/>
      </c>
      <c r="V167" s="319">
        <f>IF(OR(ISNUMBER(SEARCH("금2",$H167)),ISNUMBER(SEARCH("금1.2",$H167))),1,"")</f>
        <v/>
      </c>
      <c r="W167" s="319">
        <f>IF(OR(ISNUMBER(SEARCH("금3",$H167)),ISNUMBER(SEARCH("금1.3",$H167)),ISNUMBER(SEARCH("금2.3",$H167)),ISNUMBER(SEARCH("금1.2.3",$H167))),1,"")</f>
        <v/>
      </c>
      <c r="X167" s="319">
        <f>IF(ISNUMBER(SEARCH("토1",$H167)),1,"")</f>
        <v/>
      </c>
      <c r="Y167" s="319">
        <f>IF(OR(ISNUMBER(SEARCH("토2",$H167)),ISNUMBER(SEARCH("토1.2",$H167))),1,"")</f>
        <v/>
      </c>
      <c r="Z167" s="319">
        <f>IF(OR(ISNUMBER(SEARCH("토3",$H167)),ISNUMBER(SEARCH("토1.3",$H167)),ISNUMBER(SEARCH("토2.3",$H167)),ISNUMBER(SEARCH("토1.2.3",$H167))),1,"")</f>
        <v/>
      </c>
      <c r="AA167" s="319">
        <f>IF(ISNUMBER(SEARCH("일1",$H167)),1,"")</f>
        <v/>
      </c>
      <c r="AB167" s="319">
        <f>IF(OR(ISNUMBER(SEARCH("일2",$H167)),ISNUMBER(SEARCH("일1.2",$H167))),1,"")</f>
        <v/>
      </c>
      <c r="AC167" s="319">
        <f>IF(OR(ISNUMBER(SEARCH("일3",$H167)),ISNUMBER(SEARCH("일1.3",$H167)),ISNUMBER(SEARCH("일2.3",$H167)),ISNUMBER(SEARCH("일1.2.3",$H167))),1,"")</f>
        <v/>
      </c>
      <c r="AD167" s="319">
        <f>SUM(I167:AC167)</f>
        <v/>
      </c>
      <c r="AE167" s="323" t="n"/>
    </row>
    <row r="168" ht="24" customHeight="1">
      <c r="A168" s="168" t="n"/>
      <c r="B168" s="319" t="n"/>
      <c r="C168" s="319" t="n"/>
      <c r="D168" s="319" t="n"/>
      <c r="E168" s="341" t="n"/>
      <c r="F168" s="341" t="n"/>
      <c r="G168" s="342" t="n"/>
      <c r="H168" s="322" t="n"/>
      <c r="I168" s="319">
        <f>IF(ISNUMBER(SEARCH("월1",$H168)),1,"")</f>
        <v/>
      </c>
      <c r="J168" s="319">
        <f>IF(OR(ISNUMBER(SEARCH("월2",$H168)),ISNUMBER(SEARCH("월1.2",$H168))),1,"")</f>
        <v/>
      </c>
      <c r="K168" s="319">
        <f>IF(OR(ISNUMBER(SEARCH("월3",$H168)),ISNUMBER(SEARCH("월1.3",$H168)),ISNUMBER(SEARCH("월2.3",$H168)),ISNUMBER(SEARCH("월1.2.3",$H168))),1,"")</f>
        <v/>
      </c>
      <c r="L168" s="319">
        <f>IF(ISNUMBER(SEARCH("화1",$H168)),1,"")</f>
        <v/>
      </c>
      <c r="M168" s="319">
        <f>IF(OR(ISNUMBER(SEARCH("화2",$H168)),ISNUMBER(SEARCH("화1.2",$H168))),1,"")</f>
        <v/>
      </c>
      <c r="N168" s="319">
        <f>IF(OR(ISNUMBER(SEARCH("화3",$H168)),ISNUMBER(SEARCH("화1.3",$H168)),ISNUMBER(SEARCH("화2.3",$H168)),ISNUMBER(SEARCH("화1.2.3",$H168))),1,"")</f>
        <v/>
      </c>
      <c r="O168" s="319">
        <f>IF(ISNUMBER(SEARCH("수1",$H168)),1,"")</f>
        <v/>
      </c>
      <c r="P168" s="319">
        <f>IF(OR(ISNUMBER(SEARCH("수2",$H168)),ISNUMBER(SEARCH("수1.2",$H168))),1,"")</f>
        <v/>
      </c>
      <c r="Q168" s="319">
        <f>IF(OR(ISNUMBER(SEARCH("수3",$H168)),ISNUMBER(SEARCH("수1.3",$H168)),ISNUMBER(SEARCH("수2.3",$H168)),ISNUMBER(SEARCH("수1.2.3",$H168))),1,"")</f>
        <v/>
      </c>
      <c r="R168" s="319">
        <f>IF(ISNUMBER(SEARCH("목1",$H168)),1,"")</f>
        <v/>
      </c>
      <c r="S168" s="319">
        <f>IF(OR(ISNUMBER(SEARCH("목2",$H168)),ISNUMBER(SEARCH("목1.2",$H168))),1,"")</f>
        <v/>
      </c>
      <c r="T168" s="319">
        <f>IF(OR(ISNUMBER(SEARCH("목3",$H168)),ISNUMBER(SEARCH("목1.3",$H168)),ISNUMBER(SEARCH("목2.3",$H168)),ISNUMBER(SEARCH("목1.2.3",$H168))),1,"")</f>
        <v/>
      </c>
      <c r="U168" s="319">
        <f>IF(ISNUMBER(SEARCH("금1",$H168)),1,"")</f>
        <v/>
      </c>
      <c r="V168" s="319">
        <f>IF(OR(ISNUMBER(SEARCH("금2",$H168)),ISNUMBER(SEARCH("금1.2",$H168))),1,"")</f>
        <v/>
      </c>
      <c r="W168" s="319">
        <f>IF(OR(ISNUMBER(SEARCH("금3",$H168)),ISNUMBER(SEARCH("금1.3",$H168)),ISNUMBER(SEARCH("금2.3",$H168)),ISNUMBER(SEARCH("금1.2.3",$H168))),1,"")</f>
        <v/>
      </c>
      <c r="X168" s="319">
        <f>IF(ISNUMBER(SEARCH("토1",$H168)),1,"")</f>
        <v/>
      </c>
      <c r="Y168" s="319">
        <f>IF(OR(ISNUMBER(SEARCH("토2",$H168)),ISNUMBER(SEARCH("토1.2",$H168))),1,"")</f>
        <v/>
      </c>
      <c r="Z168" s="319">
        <f>IF(OR(ISNUMBER(SEARCH("토3",$H168)),ISNUMBER(SEARCH("토1.3",$H168)),ISNUMBER(SEARCH("토2.3",$H168)),ISNUMBER(SEARCH("토1.2.3",$H168))),1,"")</f>
        <v/>
      </c>
      <c r="AA168" s="319">
        <f>IF(ISNUMBER(SEARCH("일1",$H168)),1,"")</f>
        <v/>
      </c>
      <c r="AB168" s="319">
        <f>IF(OR(ISNUMBER(SEARCH("일2",$H168)),ISNUMBER(SEARCH("일1.2",$H168))),1,"")</f>
        <v/>
      </c>
      <c r="AC168" s="319">
        <f>IF(OR(ISNUMBER(SEARCH("일3",$H168)),ISNUMBER(SEARCH("일1.3",$H168)),ISNUMBER(SEARCH("일2.3",$H168)),ISNUMBER(SEARCH("일1.2.3",$H168))),1,"")</f>
        <v/>
      </c>
      <c r="AD168" s="319">
        <f>SUM(I168:AC168)</f>
        <v/>
      </c>
      <c r="AE168" s="323" t="n"/>
    </row>
    <row r="169" ht="24" customHeight="1">
      <c r="A169" s="168" t="n"/>
      <c r="B169" s="319" t="n"/>
      <c r="C169" s="319" t="n"/>
      <c r="D169" s="319" t="n"/>
      <c r="E169" s="341" t="n"/>
      <c r="F169" s="341" t="n"/>
      <c r="G169" s="342" t="n"/>
      <c r="H169" s="322" t="n"/>
      <c r="I169" s="319">
        <f>IF(ISNUMBER(SEARCH("월1",$H169)),1,"")</f>
        <v/>
      </c>
      <c r="J169" s="319">
        <f>IF(OR(ISNUMBER(SEARCH("월2",$H169)),ISNUMBER(SEARCH("월1.2",$H169))),1,"")</f>
        <v/>
      </c>
      <c r="K169" s="319">
        <f>IF(OR(ISNUMBER(SEARCH("월3",$H169)),ISNUMBER(SEARCH("월1.3",$H169)),ISNUMBER(SEARCH("월2.3",$H169)),ISNUMBER(SEARCH("월1.2.3",$H169))),1,"")</f>
        <v/>
      </c>
      <c r="L169" s="319">
        <f>IF(ISNUMBER(SEARCH("화1",$H169)),1,"")</f>
        <v/>
      </c>
      <c r="M169" s="319">
        <f>IF(OR(ISNUMBER(SEARCH("화2",$H169)),ISNUMBER(SEARCH("화1.2",$H169))),1,"")</f>
        <v/>
      </c>
      <c r="N169" s="319">
        <f>IF(OR(ISNUMBER(SEARCH("화3",$H169)),ISNUMBER(SEARCH("화1.3",$H169)),ISNUMBER(SEARCH("화2.3",$H169)),ISNUMBER(SEARCH("화1.2.3",$H169))),1,"")</f>
        <v/>
      </c>
      <c r="O169" s="319">
        <f>IF(ISNUMBER(SEARCH("수1",$H169)),1,"")</f>
        <v/>
      </c>
      <c r="P169" s="319">
        <f>IF(OR(ISNUMBER(SEARCH("수2",$H169)),ISNUMBER(SEARCH("수1.2",$H169))),1,"")</f>
        <v/>
      </c>
      <c r="Q169" s="319">
        <f>IF(OR(ISNUMBER(SEARCH("수3",$H169)),ISNUMBER(SEARCH("수1.3",$H169)),ISNUMBER(SEARCH("수2.3",$H169)),ISNUMBER(SEARCH("수1.2.3",$H169))),1,"")</f>
        <v/>
      </c>
      <c r="R169" s="319">
        <f>IF(ISNUMBER(SEARCH("목1",$H169)),1,"")</f>
        <v/>
      </c>
      <c r="S169" s="319">
        <f>IF(OR(ISNUMBER(SEARCH("목2",$H169)),ISNUMBER(SEARCH("목1.2",$H169))),1,"")</f>
        <v/>
      </c>
      <c r="T169" s="319">
        <f>IF(OR(ISNUMBER(SEARCH("목3",$H169)),ISNUMBER(SEARCH("목1.3",$H169)),ISNUMBER(SEARCH("목2.3",$H169)),ISNUMBER(SEARCH("목1.2.3",$H169))),1,"")</f>
        <v/>
      </c>
      <c r="U169" s="319">
        <f>IF(ISNUMBER(SEARCH("금1",$H169)),1,"")</f>
        <v/>
      </c>
      <c r="V169" s="319">
        <f>IF(OR(ISNUMBER(SEARCH("금2",$H169)),ISNUMBER(SEARCH("금1.2",$H169))),1,"")</f>
        <v/>
      </c>
      <c r="W169" s="319">
        <f>IF(OR(ISNUMBER(SEARCH("금3",$H169)),ISNUMBER(SEARCH("금1.3",$H169)),ISNUMBER(SEARCH("금2.3",$H169)),ISNUMBER(SEARCH("금1.2.3",$H169))),1,"")</f>
        <v/>
      </c>
      <c r="X169" s="319">
        <f>IF(ISNUMBER(SEARCH("토1",$H169)),1,"")</f>
        <v/>
      </c>
      <c r="Y169" s="319">
        <f>IF(OR(ISNUMBER(SEARCH("토2",$H169)),ISNUMBER(SEARCH("토1.2",$H169))),1,"")</f>
        <v/>
      </c>
      <c r="Z169" s="319">
        <f>IF(OR(ISNUMBER(SEARCH("토3",$H169)),ISNUMBER(SEARCH("토1.3",$H169)),ISNUMBER(SEARCH("토2.3",$H169)),ISNUMBER(SEARCH("토1.2.3",$H169))),1,"")</f>
        <v/>
      </c>
      <c r="AA169" s="319">
        <f>IF(ISNUMBER(SEARCH("일1",$H169)),1,"")</f>
        <v/>
      </c>
      <c r="AB169" s="319">
        <f>IF(OR(ISNUMBER(SEARCH("일2",$H169)),ISNUMBER(SEARCH("일1.2",$H169))),1,"")</f>
        <v/>
      </c>
      <c r="AC169" s="319">
        <f>IF(OR(ISNUMBER(SEARCH("일3",$H169)),ISNUMBER(SEARCH("일1.3",$H169)),ISNUMBER(SEARCH("일2.3",$H169)),ISNUMBER(SEARCH("일1.2.3",$H169))),1,"")</f>
        <v/>
      </c>
      <c r="AD169" s="319">
        <f>SUM(I169:AC169)</f>
        <v/>
      </c>
      <c r="AE169" s="323" t="n"/>
    </row>
    <row r="170" ht="24" customHeight="1">
      <c r="A170" s="168" t="n"/>
      <c r="B170" s="319" t="n"/>
      <c r="C170" s="319" t="n"/>
      <c r="D170" s="319" t="n"/>
      <c r="E170" s="341" t="n"/>
      <c r="F170" s="341" t="n"/>
      <c r="G170" s="342" t="n"/>
      <c r="H170" s="322" t="n"/>
      <c r="I170" s="319">
        <f>IF(ISNUMBER(SEARCH("월1",$H170)),1,"")</f>
        <v/>
      </c>
      <c r="J170" s="319">
        <f>IF(OR(ISNUMBER(SEARCH("월2",$H170)),ISNUMBER(SEARCH("월1.2",$H170))),1,"")</f>
        <v/>
      </c>
      <c r="K170" s="319">
        <f>IF(OR(ISNUMBER(SEARCH("월3",$H170)),ISNUMBER(SEARCH("월1.3",$H170)),ISNUMBER(SEARCH("월2.3",$H170)),ISNUMBER(SEARCH("월1.2.3",$H170))),1,"")</f>
        <v/>
      </c>
      <c r="L170" s="319">
        <f>IF(ISNUMBER(SEARCH("화1",$H170)),1,"")</f>
        <v/>
      </c>
      <c r="M170" s="319">
        <f>IF(OR(ISNUMBER(SEARCH("화2",$H170)),ISNUMBER(SEARCH("화1.2",$H170))),1,"")</f>
        <v/>
      </c>
      <c r="N170" s="319">
        <f>IF(OR(ISNUMBER(SEARCH("화3",$H170)),ISNUMBER(SEARCH("화1.3",$H170)),ISNUMBER(SEARCH("화2.3",$H170)),ISNUMBER(SEARCH("화1.2.3",$H170))),1,"")</f>
        <v/>
      </c>
      <c r="O170" s="319">
        <f>IF(ISNUMBER(SEARCH("수1",$H170)),1,"")</f>
        <v/>
      </c>
      <c r="P170" s="319">
        <f>IF(OR(ISNUMBER(SEARCH("수2",$H170)),ISNUMBER(SEARCH("수1.2",$H170))),1,"")</f>
        <v/>
      </c>
      <c r="Q170" s="319">
        <f>IF(OR(ISNUMBER(SEARCH("수3",$H170)),ISNUMBER(SEARCH("수1.3",$H170)),ISNUMBER(SEARCH("수2.3",$H170)),ISNUMBER(SEARCH("수1.2.3",$H170))),1,"")</f>
        <v/>
      </c>
      <c r="R170" s="319">
        <f>IF(ISNUMBER(SEARCH("목1",$H170)),1,"")</f>
        <v/>
      </c>
      <c r="S170" s="319">
        <f>IF(OR(ISNUMBER(SEARCH("목2",$H170)),ISNUMBER(SEARCH("목1.2",$H170))),1,"")</f>
        <v/>
      </c>
      <c r="T170" s="319">
        <f>IF(OR(ISNUMBER(SEARCH("목3",$H170)),ISNUMBER(SEARCH("목1.3",$H170)),ISNUMBER(SEARCH("목2.3",$H170)),ISNUMBER(SEARCH("목1.2.3",$H170))),1,"")</f>
        <v/>
      </c>
      <c r="U170" s="319">
        <f>IF(ISNUMBER(SEARCH("금1",$H170)),1,"")</f>
        <v/>
      </c>
      <c r="V170" s="319">
        <f>IF(OR(ISNUMBER(SEARCH("금2",$H170)),ISNUMBER(SEARCH("금1.2",$H170))),1,"")</f>
        <v/>
      </c>
      <c r="W170" s="319">
        <f>IF(OR(ISNUMBER(SEARCH("금3",$H170)),ISNUMBER(SEARCH("금1.3",$H170)),ISNUMBER(SEARCH("금2.3",$H170)),ISNUMBER(SEARCH("금1.2.3",$H170))),1,"")</f>
        <v/>
      </c>
      <c r="X170" s="319">
        <f>IF(ISNUMBER(SEARCH("토1",$H170)),1,"")</f>
        <v/>
      </c>
      <c r="Y170" s="319">
        <f>IF(OR(ISNUMBER(SEARCH("토2",$H170)),ISNUMBER(SEARCH("토1.2",$H170))),1,"")</f>
        <v/>
      </c>
      <c r="Z170" s="319">
        <f>IF(OR(ISNUMBER(SEARCH("토3",$H170)),ISNUMBER(SEARCH("토1.3",$H170)),ISNUMBER(SEARCH("토2.3",$H170)),ISNUMBER(SEARCH("토1.2.3",$H170))),1,"")</f>
        <v/>
      </c>
      <c r="AA170" s="319">
        <f>IF(ISNUMBER(SEARCH("일1",$H170)),1,"")</f>
        <v/>
      </c>
      <c r="AB170" s="319">
        <f>IF(OR(ISNUMBER(SEARCH("일2",$H170)),ISNUMBER(SEARCH("일1.2",$H170))),1,"")</f>
        <v/>
      </c>
      <c r="AC170" s="319">
        <f>IF(OR(ISNUMBER(SEARCH("일3",$H170)),ISNUMBER(SEARCH("일1.3",$H170)),ISNUMBER(SEARCH("일2.3",$H170)),ISNUMBER(SEARCH("일1.2.3",$H170))),1,"")</f>
        <v/>
      </c>
      <c r="AD170" s="319">
        <f>SUM(I170:AC170)</f>
        <v/>
      </c>
      <c r="AE170" s="323" t="n"/>
    </row>
    <row r="171" ht="24" customHeight="1">
      <c r="A171" s="168" t="n"/>
      <c r="B171" s="319" t="n"/>
      <c r="C171" s="319" t="n"/>
      <c r="D171" s="319" t="n"/>
      <c r="E171" s="341" t="n"/>
      <c r="F171" s="341" t="n"/>
      <c r="G171" s="342" t="n"/>
      <c r="H171" s="322" t="n"/>
      <c r="I171" s="319">
        <f>IF(ISNUMBER(SEARCH("월1",$H171)),1,"")</f>
        <v/>
      </c>
      <c r="J171" s="319">
        <f>IF(OR(ISNUMBER(SEARCH("월2",$H171)),ISNUMBER(SEARCH("월1.2",$H171))),1,"")</f>
        <v/>
      </c>
      <c r="K171" s="319">
        <f>IF(OR(ISNUMBER(SEARCH("월3",$H171)),ISNUMBER(SEARCH("월1.3",$H171)),ISNUMBER(SEARCH("월2.3",$H171)),ISNUMBER(SEARCH("월1.2.3",$H171))),1,"")</f>
        <v/>
      </c>
      <c r="L171" s="319">
        <f>IF(ISNUMBER(SEARCH("화1",$H171)),1,"")</f>
        <v/>
      </c>
      <c r="M171" s="319">
        <f>IF(OR(ISNUMBER(SEARCH("화2",$H171)),ISNUMBER(SEARCH("화1.2",$H171))),1,"")</f>
        <v/>
      </c>
      <c r="N171" s="319">
        <f>IF(OR(ISNUMBER(SEARCH("화3",$H171)),ISNUMBER(SEARCH("화1.3",$H171)),ISNUMBER(SEARCH("화2.3",$H171)),ISNUMBER(SEARCH("화1.2.3",$H171))),1,"")</f>
        <v/>
      </c>
      <c r="O171" s="319">
        <f>IF(ISNUMBER(SEARCH("수1",$H171)),1,"")</f>
        <v/>
      </c>
      <c r="P171" s="319">
        <f>IF(OR(ISNUMBER(SEARCH("수2",$H171)),ISNUMBER(SEARCH("수1.2",$H171))),1,"")</f>
        <v/>
      </c>
      <c r="Q171" s="319">
        <f>IF(OR(ISNUMBER(SEARCH("수3",$H171)),ISNUMBER(SEARCH("수1.3",$H171)),ISNUMBER(SEARCH("수2.3",$H171)),ISNUMBER(SEARCH("수1.2.3",$H171))),1,"")</f>
        <v/>
      </c>
      <c r="R171" s="319">
        <f>IF(ISNUMBER(SEARCH("목1",$H171)),1,"")</f>
        <v/>
      </c>
      <c r="S171" s="319">
        <f>IF(OR(ISNUMBER(SEARCH("목2",$H171)),ISNUMBER(SEARCH("목1.2",$H171))),1,"")</f>
        <v/>
      </c>
      <c r="T171" s="319">
        <f>IF(OR(ISNUMBER(SEARCH("목3",$H171)),ISNUMBER(SEARCH("목1.3",$H171)),ISNUMBER(SEARCH("목2.3",$H171)),ISNUMBER(SEARCH("목1.2.3",$H171))),1,"")</f>
        <v/>
      </c>
      <c r="U171" s="319">
        <f>IF(ISNUMBER(SEARCH("금1",$H171)),1,"")</f>
        <v/>
      </c>
      <c r="V171" s="319">
        <f>IF(OR(ISNUMBER(SEARCH("금2",$H171)),ISNUMBER(SEARCH("금1.2",$H171))),1,"")</f>
        <v/>
      </c>
      <c r="W171" s="319">
        <f>IF(OR(ISNUMBER(SEARCH("금3",$H171)),ISNUMBER(SEARCH("금1.3",$H171)),ISNUMBER(SEARCH("금2.3",$H171)),ISNUMBER(SEARCH("금1.2.3",$H171))),1,"")</f>
        <v/>
      </c>
      <c r="X171" s="319">
        <f>IF(ISNUMBER(SEARCH("토1",$H171)),1,"")</f>
        <v/>
      </c>
      <c r="Y171" s="319">
        <f>IF(OR(ISNUMBER(SEARCH("토2",$H171)),ISNUMBER(SEARCH("토1.2",$H171))),1,"")</f>
        <v/>
      </c>
      <c r="Z171" s="319">
        <f>IF(OR(ISNUMBER(SEARCH("토3",$H171)),ISNUMBER(SEARCH("토1.3",$H171)),ISNUMBER(SEARCH("토2.3",$H171)),ISNUMBER(SEARCH("토1.2.3",$H171))),1,"")</f>
        <v/>
      </c>
      <c r="AA171" s="319">
        <f>IF(ISNUMBER(SEARCH("일1",$H171)),1,"")</f>
        <v/>
      </c>
      <c r="AB171" s="319">
        <f>IF(OR(ISNUMBER(SEARCH("일2",$H171)),ISNUMBER(SEARCH("일1.2",$H171))),1,"")</f>
        <v/>
      </c>
      <c r="AC171" s="319">
        <f>IF(OR(ISNUMBER(SEARCH("일3",$H171)),ISNUMBER(SEARCH("일1.3",$H171)),ISNUMBER(SEARCH("일2.3",$H171)),ISNUMBER(SEARCH("일1.2.3",$H171))),1,"")</f>
        <v/>
      </c>
      <c r="AD171" s="319">
        <f>SUM(I171:AC171)</f>
        <v/>
      </c>
      <c r="AE171" s="323" t="n"/>
    </row>
    <row r="172" ht="24" customHeight="1">
      <c r="A172" s="168" t="n"/>
      <c r="B172" s="319" t="n"/>
      <c r="C172" s="319" t="n"/>
      <c r="D172" s="319" t="n"/>
      <c r="E172" s="341" t="n"/>
      <c r="F172" s="341" t="n"/>
      <c r="G172" s="342" t="n"/>
      <c r="H172" s="322" t="n"/>
      <c r="I172" s="319">
        <f>IF(ISNUMBER(SEARCH("월1",$H172)),1,"")</f>
        <v/>
      </c>
      <c r="J172" s="319">
        <f>IF(OR(ISNUMBER(SEARCH("월2",$H172)),ISNUMBER(SEARCH("월1.2",$H172))),1,"")</f>
        <v/>
      </c>
      <c r="K172" s="319">
        <f>IF(OR(ISNUMBER(SEARCH("월3",$H172)),ISNUMBER(SEARCH("월1.3",$H172)),ISNUMBER(SEARCH("월2.3",$H172)),ISNUMBER(SEARCH("월1.2.3",$H172))),1,"")</f>
        <v/>
      </c>
      <c r="L172" s="319">
        <f>IF(ISNUMBER(SEARCH("화1",$H172)),1,"")</f>
        <v/>
      </c>
      <c r="M172" s="319">
        <f>IF(OR(ISNUMBER(SEARCH("화2",$H172)),ISNUMBER(SEARCH("화1.2",$H172))),1,"")</f>
        <v/>
      </c>
      <c r="N172" s="319">
        <f>IF(OR(ISNUMBER(SEARCH("화3",$H172)),ISNUMBER(SEARCH("화1.3",$H172)),ISNUMBER(SEARCH("화2.3",$H172)),ISNUMBER(SEARCH("화1.2.3",$H172))),1,"")</f>
        <v/>
      </c>
      <c r="O172" s="319">
        <f>IF(ISNUMBER(SEARCH("수1",$H172)),1,"")</f>
        <v/>
      </c>
      <c r="P172" s="319">
        <f>IF(OR(ISNUMBER(SEARCH("수2",$H172)),ISNUMBER(SEARCH("수1.2",$H172))),1,"")</f>
        <v/>
      </c>
      <c r="Q172" s="319">
        <f>IF(OR(ISNUMBER(SEARCH("수3",$H172)),ISNUMBER(SEARCH("수1.3",$H172)),ISNUMBER(SEARCH("수2.3",$H172)),ISNUMBER(SEARCH("수1.2.3",$H172))),1,"")</f>
        <v/>
      </c>
      <c r="R172" s="319">
        <f>IF(ISNUMBER(SEARCH("목1",$H172)),1,"")</f>
        <v/>
      </c>
      <c r="S172" s="319">
        <f>IF(OR(ISNUMBER(SEARCH("목2",$H172)),ISNUMBER(SEARCH("목1.2",$H172))),1,"")</f>
        <v/>
      </c>
      <c r="T172" s="319">
        <f>IF(OR(ISNUMBER(SEARCH("목3",$H172)),ISNUMBER(SEARCH("목1.3",$H172)),ISNUMBER(SEARCH("목2.3",$H172)),ISNUMBER(SEARCH("목1.2.3",$H172))),1,"")</f>
        <v/>
      </c>
      <c r="U172" s="319">
        <f>IF(ISNUMBER(SEARCH("금1",$H172)),1,"")</f>
        <v/>
      </c>
      <c r="V172" s="319">
        <f>IF(OR(ISNUMBER(SEARCH("금2",$H172)),ISNUMBER(SEARCH("금1.2",$H172))),1,"")</f>
        <v/>
      </c>
      <c r="W172" s="319">
        <f>IF(OR(ISNUMBER(SEARCH("금3",$H172)),ISNUMBER(SEARCH("금1.3",$H172)),ISNUMBER(SEARCH("금2.3",$H172)),ISNUMBER(SEARCH("금1.2.3",$H172))),1,"")</f>
        <v/>
      </c>
      <c r="X172" s="319">
        <f>IF(ISNUMBER(SEARCH("토1",$H172)),1,"")</f>
        <v/>
      </c>
      <c r="Y172" s="319">
        <f>IF(OR(ISNUMBER(SEARCH("토2",$H172)),ISNUMBER(SEARCH("토1.2",$H172))),1,"")</f>
        <v/>
      </c>
      <c r="Z172" s="319">
        <f>IF(OR(ISNUMBER(SEARCH("토3",$H172)),ISNUMBER(SEARCH("토1.3",$H172)),ISNUMBER(SEARCH("토2.3",$H172)),ISNUMBER(SEARCH("토1.2.3",$H172))),1,"")</f>
        <v/>
      </c>
      <c r="AA172" s="319">
        <f>IF(ISNUMBER(SEARCH("일1",$H172)),1,"")</f>
        <v/>
      </c>
      <c r="AB172" s="319">
        <f>IF(OR(ISNUMBER(SEARCH("일2",$H172)),ISNUMBER(SEARCH("일1.2",$H172))),1,"")</f>
        <v/>
      </c>
      <c r="AC172" s="319">
        <f>IF(OR(ISNUMBER(SEARCH("일3",$H172)),ISNUMBER(SEARCH("일1.3",$H172)),ISNUMBER(SEARCH("일2.3",$H172)),ISNUMBER(SEARCH("일1.2.3",$H172))),1,"")</f>
        <v/>
      </c>
      <c r="AD172" s="319">
        <f>SUM(I172:AC172)</f>
        <v/>
      </c>
      <c r="AE172" s="323" t="n"/>
    </row>
    <row r="173" ht="24" customHeight="1">
      <c r="A173" s="168" t="n"/>
      <c r="B173" s="319" t="n"/>
      <c r="C173" s="319" t="n"/>
      <c r="D173" s="319" t="n"/>
      <c r="E173" s="341" t="n"/>
      <c r="F173" s="341" t="n"/>
      <c r="G173" s="342" t="n"/>
      <c r="H173" s="322" t="n"/>
      <c r="I173" s="319">
        <f>IF(ISNUMBER(SEARCH("월1",$H173)),1,"")</f>
        <v/>
      </c>
      <c r="J173" s="319">
        <f>IF(OR(ISNUMBER(SEARCH("월2",$H173)),ISNUMBER(SEARCH("월1.2",$H173))),1,"")</f>
        <v/>
      </c>
      <c r="K173" s="319">
        <f>IF(OR(ISNUMBER(SEARCH("월3",$H173)),ISNUMBER(SEARCH("월1.3",$H173)),ISNUMBER(SEARCH("월2.3",$H173)),ISNUMBER(SEARCH("월1.2.3",$H173))),1,"")</f>
        <v/>
      </c>
      <c r="L173" s="319">
        <f>IF(ISNUMBER(SEARCH("화1",$H173)),1,"")</f>
        <v/>
      </c>
      <c r="M173" s="319">
        <f>IF(OR(ISNUMBER(SEARCH("화2",$H173)),ISNUMBER(SEARCH("화1.2",$H173))),1,"")</f>
        <v/>
      </c>
      <c r="N173" s="319">
        <f>IF(OR(ISNUMBER(SEARCH("화3",$H173)),ISNUMBER(SEARCH("화1.3",$H173)),ISNUMBER(SEARCH("화2.3",$H173)),ISNUMBER(SEARCH("화1.2.3",$H173))),1,"")</f>
        <v/>
      </c>
      <c r="O173" s="319">
        <f>IF(ISNUMBER(SEARCH("수1",$H173)),1,"")</f>
        <v/>
      </c>
      <c r="P173" s="319">
        <f>IF(OR(ISNUMBER(SEARCH("수2",$H173)),ISNUMBER(SEARCH("수1.2",$H173))),1,"")</f>
        <v/>
      </c>
      <c r="Q173" s="319">
        <f>IF(OR(ISNUMBER(SEARCH("수3",$H173)),ISNUMBER(SEARCH("수1.3",$H173)),ISNUMBER(SEARCH("수2.3",$H173)),ISNUMBER(SEARCH("수1.2.3",$H173))),1,"")</f>
        <v/>
      </c>
      <c r="R173" s="319">
        <f>IF(ISNUMBER(SEARCH("목1",$H173)),1,"")</f>
        <v/>
      </c>
      <c r="S173" s="319">
        <f>IF(OR(ISNUMBER(SEARCH("목2",$H173)),ISNUMBER(SEARCH("목1.2",$H173))),1,"")</f>
        <v/>
      </c>
      <c r="T173" s="319">
        <f>IF(OR(ISNUMBER(SEARCH("목3",$H173)),ISNUMBER(SEARCH("목1.3",$H173)),ISNUMBER(SEARCH("목2.3",$H173)),ISNUMBER(SEARCH("목1.2.3",$H173))),1,"")</f>
        <v/>
      </c>
      <c r="U173" s="319">
        <f>IF(ISNUMBER(SEARCH("금1",$H173)),1,"")</f>
        <v/>
      </c>
      <c r="V173" s="319">
        <f>IF(OR(ISNUMBER(SEARCH("금2",$H173)),ISNUMBER(SEARCH("금1.2",$H173))),1,"")</f>
        <v/>
      </c>
      <c r="W173" s="319">
        <f>IF(OR(ISNUMBER(SEARCH("금3",$H173)),ISNUMBER(SEARCH("금1.3",$H173)),ISNUMBER(SEARCH("금2.3",$H173)),ISNUMBER(SEARCH("금1.2.3",$H173))),1,"")</f>
        <v/>
      </c>
      <c r="X173" s="319">
        <f>IF(ISNUMBER(SEARCH("토1",$H173)),1,"")</f>
        <v/>
      </c>
      <c r="Y173" s="319">
        <f>IF(OR(ISNUMBER(SEARCH("토2",$H173)),ISNUMBER(SEARCH("토1.2",$H173))),1,"")</f>
        <v/>
      </c>
      <c r="Z173" s="319">
        <f>IF(OR(ISNUMBER(SEARCH("토3",$H173)),ISNUMBER(SEARCH("토1.3",$H173)),ISNUMBER(SEARCH("토2.3",$H173)),ISNUMBER(SEARCH("토1.2.3",$H173))),1,"")</f>
        <v/>
      </c>
      <c r="AA173" s="319">
        <f>IF(ISNUMBER(SEARCH("일1",$H173)),1,"")</f>
        <v/>
      </c>
      <c r="AB173" s="319">
        <f>IF(OR(ISNUMBER(SEARCH("일2",$H173)),ISNUMBER(SEARCH("일1.2",$H173))),1,"")</f>
        <v/>
      </c>
      <c r="AC173" s="319">
        <f>IF(OR(ISNUMBER(SEARCH("일3",$H173)),ISNUMBER(SEARCH("일1.3",$H173)),ISNUMBER(SEARCH("일2.3",$H173)),ISNUMBER(SEARCH("일1.2.3",$H173))),1,"")</f>
        <v/>
      </c>
      <c r="AD173" s="319">
        <f>SUM(I173:AC173)</f>
        <v/>
      </c>
      <c r="AE173" s="323" t="n"/>
    </row>
    <row r="174" ht="24" customHeight="1">
      <c r="A174" s="168" t="n"/>
      <c r="B174" s="319" t="n"/>
      <c r="C174" s="319" t="n"/>
      <c r="D174" s="319" t="n"/>
      <c r="E174" s="341" t="n"/>
      <c r="F174" s="341" t="n"/>
      <c r="G174" s="342" t="n"/>
      <c r="H174" s="322" t="n"/>
      <c r="I174" s="319">
        <f>IF(ISNUMBER(SEARCH("월1",$H174)),1,"")</f>
        <v/>
      </c>
      <c r="J174" s="319">
        <f>IF(OR(ISNUMBER(SEARCH("월2",$H174)),ISNUMBER(SEARCH("월1.2",$H174))),1,"")</f>
        <v/>
      </c>
      <c r="K174" s="319">
        <f>IF(OR(ISNUMBER(SEARCH("월3",$H174)),ISNUMBER(SEARCH("월1.3",$H174)),ISNUMBER(SEARCH("월2.3",$H174)),ISNUMBER(SEARCH("월1.2.3",$H174))),1,"")</f>
        <v/>
      </c>
      <c r="L174" s="319">
        <f>IF(ISNUMBER(SEARCH("화1",$H174)),1,"")</f>
        <v/>
      </c>
      <c r="M174" s="319">
        <f>IF(OR(ISNUMBER(SEARCH("화2",$H174)),ISNUMBER(SEARCH("화1.2",$H174))),1,"")</f>
        <v/>
      </c>
      <c r="N174" s="319">
        <f>IF(OR(ISNUMBER(SEARCH("화3",$H174)),ISNUMBER(SEARCH("화1.3",$H174)),ISNUMBER(SEARCH("화2.3",$H174)),ISNUMBER(SEARCH("화1.2.3",$H174))),1,"")</f>
        <v/>
      </c>
      <c r="O174" s="319">
        <f>IF(ISNUMBER(SEARCH("수1",$H174)),1,"")</f>
        <v/>
      </c>
      <c r="P174" s="319">
        <f>IF(OR(ISNUMBER(SEARCH("수2",$H174)),ISNUMBER(SEARCH("수1.2",$H174))),1,"")</f>
        <v/>
      </c>
      <c r="Q174" s="319">
        <f>IF(OR(ISNUMBER(SEARCH("수3",$H174)),ISNUMBER(SEARCH("수1.3",$H174)),ISNUMBER(SEARCH("수2.3",$H174)),ISNUMBER(SEARCH("수1.2.3",$H174))),1,"")</f>
        <v/>
      </c>
      <c r="R174" s="319">
        <f>IF(ISNUMBER(SEARCH("목1",$H174)),1,"")</f>
        <v/>
      </c>
      <c r="S174" s="319">
        <f>IF(OR(ISNUMBER(SEARCH("목2",$H174)),ISNUMBER(SEARCH("목1.2",$H174))),1,"")</f>
        <v/>
      </c>
      <c r="T174" s="319">
        <f>IF(OR(ISNUMBER(SEARCH("목3",$H174)),ISNUMBER(SEARCH("목1.3",$H174)),ISNUMBER(SEARCH("목2.3",$H174)),ISNUMBER(SEARCH("목1.2.3",$H174))),1,"")</f>
        <v/>
      </c>
      <c r="U174" s="319">
        <f>IF(ISNUMBER(SEARCH("금1",$H174)),1,"")</f>
        <v/>
      </c>
      <c r="V174" s="319">
        <f>IF(OR(ISNUMBER(SEARCH("금2",$H174)),ISNUMBER(SEARCH("금1.2",$H174))),1,"")</f>
        <v/>
      </c>
      <c r="W174" s="319">
        <f>IF(OR(ISNUMBER(SEARCH("금3",$H174)),ISNUMBER(SEARCH("금1.3",$H174)),ISNUMBER(SEARCH("금2.3",$H174)),ISNUMBER(SEARCH("금1.2.3",$H174))),1,"")</f>
        <v/>
      </c>
      <c r="X174" s="319">
        <f>IF(ISNUMBER(SEARCH("토1",$H174)),1,"")</f>
        <v/>
      </c>
      <c r="Y174" s="319">
        <f>IF(OR(ISNUMBER(SEARCH("토2",$H174)),ISNUMBER(SEARCH("토1.2",$H174))),1,"")</f>
        <v/>
      </c>
      <c r="Z174" s="319">
        <f>IF(OR(ISNUMBER(SEARCH("토3",$H174)),ISNUMBER(SEARCH("토1.3",$H174)),ISNUMBER(SEARCH("토2.3",$H174)),ISNUMBER(SEARCH("토1.2.3",$H174))),1,"")</f>
        <v/>
      </c>
      <c r="AA174" s="319">
        <f>IF(ISNUMBER(SEARCH("일1",$H174)),1,"")</f>
        <v/>
      </c>
      <c r="AB174" s="319">
        <f>IF(OR(ISNUMBER(SEARCH("일2",$H174)),ISNUMBER(SEARCH("일1.2",$H174))),1,"")</f>
        <v/>
      </c>
      <c r="AC174" s="319">
        <f>IF(OR(ISNUMBER(SEARCH("일3",$H174)),ISNUMBER(SEARCH("일1.3",$H174)),ISNUMBER(SEARCH("일2.3",$H174)),ISNUMBER(SEARCH("일1.2.3",$H174))),1,"")</f>
        <v/>
      </c>
      <c r="AD174" s="319">
        <f>SUM(I174:AC174)</f>
        <v/>
      </c>
      <c r="AE174" s="323" t="n"/>
    </row>
    <row r="175" ht="24" customHeight="1">
      <c r="A175" s="168" t="n"/>
      <c r="B175" s="319" t="n"/>
      <c r="C175" s="319" t="n"/>
      <c r="D175" s="319" t="n"/>
      <c r="E175" s="341" t="n"/>
      <c r="F175" s="341" t="n"/>
      <c r="G175" s="342" t="n"/>
      <c r="H175" s="322" t="n"/>
      <c r="I175" s="319">
        <f>IF(ISNUMBER(SEARCH("월1",$H175)),1,"")</f>
        <v/>
      </c>
      <c r="J175" s="319">
        <f>IF(OR(ISNUMBER(SEARCH("월2",$H175)),ISNUMBER(SEARCH("월1.2",$H175))),1,"")</f>
        <v/>
      </c>
      <c r="K175" s="319">
        <f>IF(OR(ISNUMBER(SEARCH("월3",$H175)),ISNUMBER(SEARCH("월1.3",$H175)),ISNUMBER(SEARCH("월2.3",$H175)),ISNUMBER(SEARCH("월1.2.3",$H175))),1,"")</f>
        <v/>
      </c>
      <c r="L175" s="319">
        <f>IF(ISNUMBER(SEARCH("화1",$H175)),1,"")</f>
        <v/>
      </c>
      <c r="M175" s="319">
        <f>IF(OR(ISNUMBER(SEARCH("화2",$H175)),ISNUMBER(SEARCH("화1.2",$H175))),1,"")</f>
        <v/>
      </c>
      <c r="N175" s="319">
        <f>IF(OR(ISNUMBER(SEARCH("화3",$H175)),ISNUMBER(SEARCH("화1.3",$H175)),ISNUMBER(SEARCH("화2.3",$H175)),ISNUMBER(SEARCH("화1.2.3",$H175))),1,"")</f>
        <v/>
      </c>
      <c r="O175" s="319">
        <f>IF(ISNUMBER(SEARCH("수1",$H175)),1,"")</f>
        <v/>
      </c>
      <c r="P175" s="319">
        <f>IF(OR(ISNUMBER(SEARCH("수2",$H175)),ISNUMBER(SEARCH("수1.2",$H175))),1,"")</f>
        <v/>
      </c>
      <c r="Q175" s="319">
        <f>IF(OR(ISNUMBER(SEARCH("수3",$H175)),ISNUMBER(SEARCH("수1.3",$H175)),ISNUMBER(SEARCH("수2.3",$H175)),ISNUMBER(SEARCH("수1.2.3",$H175))),1,"")</f>
        <v/>
      </c>
      <c r="R175" s="319">
        <f>IF(ISNUMBER(SEARCH("목1",$H175)),1,"")</f>
        <v/>
      </c>
      <c r="S175" s="319">
        <f>IF(OR(ISNUMBER(SEARCH("목2",$H175)),ISNUMBER(SEARCH("목1.2",$H175))),1,"")</f>
        <v/>
      </c>
      <c r="T175" s="319">
        <f>IF(OR(ISNUMBER(SEARCH("목3",$H175)),ISNUMBER(SEARCH("목1.3",$H175)),ISNUMBER(SEARCH("목2.3",$H175)),ISNUMBER(SEARCH("목1.2.3",$H175))),1,"")</f>
        <v/>
      </c>
      <c r="U175" s="319">
        <f>IF(ISNUMBER(SEARCH("금1",$H175)),1,"")</f>
        <v/>
      </c>
      <c r="V175" s="319">
        <f>IF(OR(ISNUMBER(SEARCH("금2",$H175)),ISNUMBER(SEARCH("금1.2",$H175))),1,"")</f>
        <v/>
      </c>
      <c r="W175" s="319">
        <f>IF(OR(ISNUMBER(SEARCH("금3",$H175)),ISNUMBER(SEARCH("금1.3",$H175)),ISNUMBER(SEARCH("금2.3",$H175)),ISNUMBER(SEARCH("금1.2.3",$H175))),1,"")</f>
        <v/>
      </c>
      <c r="X175" s="319">
        <f>IF(ISNUMBER(SEARCH("토1",$H175)),1,"")</f>
        <v/>
      </c>
      <c r="Y175" s="319">
        <f>IF(OR(ISNUMBER(SEARCH("토2",$H175)),ISNUMBER(SEARCH("토1.2",$H175))),1,"")</f>
        <v/>
      </c>
      <c r="Z175" s="319">
        <f>IF(OR(ISNUMBER(SEARCH("토3",$H175)),ISNUMBER(SEARCH("토1.3",$H175)),ISNUMBER(SEARCH("토2.3",$H175)),ISNUMBER(SEARCH("토1.2.3",$H175))),1,"")</f>
        <v/>
      </c>
      <c r="AA175" s="319">
        <f>IF(ISNUMBER(SEARCH("일1",$H175)),1,"")</f>
        <v/>
      </c>
      <c r="AB175" s="319">
        <f>IF(OR(ISNUMBER(SEARCH("일2",$H175)),ISNUMBER(SEARCH("일1.2",$H175))),1,"")</f>
        <v/>
      </c>
      <c r="AC175" s="319">
        <f>IF(OR(ISNUMBER(SEARCH("일3",$H175)),ISNUMBER(SEARCH("일1.3",$H175)),ISNUMBER(SEARCH("일2.3",$H175)),ISNUMBER(SEARCH("일1.2.3",$H175))),1,"")</f>
        <v/>
      </c>
      <c r="AD175" s="319">
        <f>SUM(I175:AC175)</f>
        <v/>
      </c>
      <c r="AE175" s="323" t="n"/>
    </row>
    <row r="176" ht="24" customHeight="1">
      <c r="A176" s="168" t="n"/>
      <c r="B176" s="319" t="n"/>
      <c r="C176" s="319" t="n"/>
      <c r="D176" s="319" t="n"/>
      <c r="E176" s="341" t="n"/>
      <c r="F176" s="341" t="n"/>
      <c r="G176" s="342" t="n"/>
      <c r="H176" s="322" t="n"/>
      <c r="I176" s="319">
        <f>IF(ISNUMBER(SEARCH("월1",$H176)),1,"")</f>
        <v/>
      </c>
      <c r="J176" s="319">
        <f>IF(OR(ISNUMBER(SEARCH("월2",$H176)),ISNUMBER(SEARCH("월1.2",$H176))),1,"")</f>
        <v/>
      </c>
      <c r="K176" s="319">
        <f>IF(OR(ISNUMBER(SEARCH("월3",$H176)),ISNUMBER(SEARCH("월1.3",$H176)),ISNUMBER(SEARCH("월2.3",$H176)),ISNUMBER(SEARCH("월1.2.3",$H176))),1,"")</f>
        <v/>
      </c>
      <c r="L176" s="319">
        <f>IF(ISNUMBER(SEARCH("화1",$H176)),1,"")</f>
        <v/>
      </c>
      <c r="M176" s="319">
        <f>IF(OR(ISNUMBER(SEARCH("화2",$H176)),ISNUMBER(SEARCH("화1.2",$H176))),1,"")</f>
        <v/>
      </c>
      <c r="N176" s="319">
        <f>IF(OR(ISNUMBER(SEARCH("화3",$H176)),ISNUMBER(SEARCH("화1.3",$H176)),ISNUMBER(SEARCH("화2.3",$H176)),ISNUMBER(SEARCH("화1.2.3",$H176))),1,"")</f>
        <v/>
      </c>
      <c r="O176" s="319">
        <f>IF(ISNUMBER(SEARCH("수1",$H176)),1,"")</f>
        <v/>
      </c>
      <c r="P176" s="319">
        <f>IF(OR(ISNUMBER(SEARCH("수2",$H176)),ISNUMBER(SEARCH("수1.2",$H176))),1,"")</f>
        <v/>
      </c>
      <c r="Q176" s="319">
        <f>IF(OR(ISNUMBER(SEARCH("수3",$H176)),ISNUMBER(SEARCH("수1.3",$H176)),ISNUMBER(SEARCH("수2.3",$H176)),ISNUMBER(SEARCH("수1.2.3",$H176))),1,"")</f>
        <v/>
      </c>
      <c r="R176" s="319">
        <f>IF(ISNUMBER(SEARCH("목1",$H176)),1,"")</f>
        <v/>
      </c>
      <c r="S176" s="319">
        <f>IF(OR(ISNUMBER(SEARCH("목2",$H176)),ISNUMBER(SEARCH("목1.2",$H176))),1,"")</f>
        <v/>
      </c>
      <c r="T176" s="319">
        <f>IF(OR(ISNUMBER(SEARCH("목3",$H176)),ISNUMBER(SEARCH("목1.3",$H176)),ISNUMBER(SEARCH("목2.3",$H176)),ISNUMBER(SEARCH("목1.2.3",$H176))),1,"")</f>
        <v/>
      </c>
      <c r="U176" s="319">
        <f>IF(ISNUMBER(SEARCH("금1",$H176)),1,"")</f>
        <v/>
      </c>
      <c r="V176" s="319">
        <f>IF(OR(ISNUMBER(SEARCH("금2",$H176)),ISNUMBER(SEARCH("금1.2",$H176))),1,"")</f>
        <v/>
      </c>
      <c r="W176" s="319">
        <f>IF(OR(ISNUMBER(SEARCH("금3",$H176)),ISNUMBER(SEARCH("금1.3",$H176)),ISNUMBER(SEARCH("금2.3",$H176)),ISNUMBER(SEARCH("금1.2.3",$H176))),1,"")</f>
        <v/>
      </c>
      <c r="X176" s="319">
        <f>IF(ISNUMBER(SEARCH("토1",$H176)),1,"")</f>
        <v/>
      </c>
      <c r="Y176" s="319">
        <f>IF(OR(ISNUMBER(SEARCH("토2",$H176)),ISNUMBER(SEARCH("토1.2",$H176))),1,"")</f>
        <v/>
      </c>
      <c r="Z176" s="319">
        <f>IF(OR(ISNUMBER(SEARCH("토3",$H176)),ISNUMBER(SEARCH("토1.3",$H176)),ISNUMBER(SEARCH("토2.3",$H176)),ISNUMBER(SEARCH("토1.2.3",$H176))),1,"")</f>
        <v/>
      </c>
      <c r="AA176" s="319">
        <f>IF(ISNUMBER(SEARCH("일1",$H176)),1,"")</f>
        <v/>
      </c>
      <c r="AB176" s="319">
        <f>IF(OR(ISNUMBER(SEARCH("일2",$H176)),ISNUMBER(SEARCH("일1.2",$H176))),1,"")</f>
        <v/>
      </c>
      <c r="AC176" s="319">
        <f>IF(OR(ISNUMBER(SEARCH("일3",$H176)),ISNUMBER(SEARCH("일1.3",$H176)),ISNUMBER(SEARCH("일2.3",$H176)),ISNUMBER(SEARCH("일1.2.3",$H176))),1,"")</f>
        <v/>
      </c>
      <c r="AD176" s="319">
        <f>SUM(I176:AC176)</f>
        <v/>
      </c>
      <c r="AE176" s="323" t="n"/>
    </row>
    <row r="177" ht="24" customHeight="1">
      <c r="A177" s="168" t="n"/>
      <c r="B177" s="319" t="n"/>
      <c r="C177" s="319" t="n"/>
      <c r="D177" s="319" t="n"/>
      <c r="E177" s="341" t="n"/>
      <c r="F177" s="341" t="n"/>
      <c r="G177" s="342" t="n"/>
      <c r="H177" s="322" t="n"/>
      <c r="I177" s="319">
        <f>IF(ISNUMBER(SEARCH("월1",$H177)),1,"")</f>
        <v/>
      </c>
      <c r="J177" s="319">
        <f>IF(OR(ISNUMBER(SEARCH("월2",$H177)),ISNUMBER(SEARCH("월1.2",$H177))),1,"")</f>
        <v/>
      </c>
      <c r="K177" s="319">
        <f>IF(OR(ISNUMBER(SEARCH("월3",$H177)),ISNUMBER(SEARCH("월1.3",$H177)),ISNUMBER(SEARCH("월2.3",$H177)),ISNUMBER(SEARCH("월1.2.3",$H177))),1,"")</f>
        <v/>
      </c>
      <c r="L177" s="319">
        <f>IF(ISNUMBER(SEARCH("화1",$H177)),1,"")</f>
        <v/>
      </c>
      <c r="M177" s="319">
        <f>IF(OR(ISNUMBER(SEARCH("화2",$H177)),ISNUMBER(SEARCH("화1.2",$H177))),1,"")</f>
        <v/>
      </c>
      <c r="N177" s="319">
        <f>IF(OR(ISNUMBER(SEARCH("화3",$H177)),ISNUMBER(SEARCH("화1.3",$H177)),ISNUMBER(SEARCH("화2.3",$H177)),ISNUMBER(SEARCH("화1.2.3",$H177))),1,"")</f>
        <v/>
      </c>
      <c r="O177" s="319">
        <f>IF(ISNUMBER(SEARCH("수1",$H177)),1,"")</f>
        <v/>
      </c>
      <c r="P177" s="319">
        <f>IF(OR(ISNUMBER(SEARCH("수2",$H177)),ISNUMBER(SEARCH("수1.2",$H177))),1,"")</f>
        <v/>
      </c>
      <c r="Q177" s="319">
        <f>IF(OR(ISNUMBER(SEARCH("수3",$H177)),ISNUMBER(SEARCH("수1.3",$H177)),ISNUMBER(SEARCH("수2.3",$H177)),ISNUMBER(SEARCH("수1.2.3",$H177))),1,"")</f>
        <v/>
      </c>
      <c r="R177" s="319">
        <f>IF(ISNUMBER(SEARCH("목1",$H177)),1,"")</f>
        <v/>
      </c>
      <c r="S177" s="319">
        <f>IF(OR(ISNUMBER(SEARCH("목2",$H177)),ISNUMBER(SEARCH("목1.2",$H177))),1,"")</f>
        <v/>
      </c>
      <c r="T177" s="319">
        <f>IF(OR(ISNUMBER(SEARCH("목3",$H177)),ISNUMBER(SEARCH("목1.3",$H177)),ISNUMBER(SEARCH("목2.3",$H177)),ISNUMBER(SEARCH("목1.2.3",$H177))),1,"")</f>
        <v/>
      </c>
      <c r="U177" s="319">
        <f>IF(ISNUMBER(SEARCH("금1",$H177)),1,"")</f>
        <v/>
      </c>
      <c r="V177" s="319">
        <f>IF(OR(ISNUMBER(SEARCH("금2",$H177)),ISNUMBER(SEARCH("금1.2",$H177))),1,"")</f>
        <v/>
      </c>
      <c r="W177" s="319">
        <f>IF(OR(ISNUMBER(SEARCH("금3",$H177)),ISNUMBER(SEARCH("금1.3",$H177)),ISNUMBER(SEARCH("금2.3",$H177)),ISNUMBER(SEARCH("금1.2.3",$H177))),1,"")</f>
        <v/>
      </c>
      <c r="X177" s="319">
        <f>IF(ISNUMBER(SEARCH("토1",$H177)),1,"")</f>
        <v/>
      </c>
      <c r="Y177" s="319">
        <f>IF(OR(ISNUMBER(SEARCH("토2",$H177)),ISNUMBER(SEARCH("토1.2",$H177))),1,"")</f>
        <v/>
      </c>
      <c r="Z177" s="319">
        <f>IF(OR(ISNUMBER(SEARCH("토3",$H177)),ISNUMBER(SEARCH("토1.3",$H177)),ISNUMBER(SEARCH("토2.3",$H177)),ISNUMBER(SEARCH("토1.2.3",$H177))),1,"")</f>
        <v/>
      </c>
      <c r="AA177" s="319">
        <f>IF(ISNUMBER(SEARCH("일1",$H177)),1,"")</f>
        <v/>
      </c>
      <c r="AB177" s="319">
        <f>IF(OR(ISNUMBER(SEARCH("일2",$H177)),ISNUMBER(SEARCH("일1.2",$H177))),1,"")</f>
        <v/>
      </c>
      <c r="AC177" s="319">
        <f>IF(OR(ISNUMBER(SEARCH("일3",$H177)),ISNUMBER(SEARCH("일1.3",$H177)),ISNUMBER(SEARCH("일2.3",$H177)),ISNUMBER(SEARCH("일1.2.3",$H177))),1,"")</f>
        <v/>
      </c>
      <c r="AD177" s="319">
        <f>SUM(I177:AC177)</f>
        <v/>
      </c>
      <c r="AE177" s="323" t="n"/>
    </row>
    <row r="178" ht="24" customHeight="1">
      <c r="A178" s="168" t="n"/>
      <c r="B178" s="319" t="n"/>
      <c r="C178" s="319" t="n"/>
      <c r="D178" s="319" t="n"/>
      <c r="E178" s="341" t="n"/>
      <c r="F178" s="341" t="n"/>
      <c r="G178" s="342" t="n"/>
      <c r="H178" s="322" t="n"/>
      <c r="I178" s="319">
        <f>IF(ISNUMBER(SEARCH("월1",$H178)),1,"")</f>
        <v/>
      </c>
      <c r="J178" s="319">
        <f>IF(OR(ISNUMBER(SEARCH("월2",$H178)),ISNUMBER(SEARCH("월1.2",$H178))),1,"")</f>
        <v/>
      </c>
      <c r="K178" s="319">
        <f>IF(OR(ISNUMBER(SEARCH("월3",$H178)),ISNUMBER(SEARCH("월1.3",$H178)),ISNUMBER(SEARCH("월2.3",$H178)),ISNUMBER(SEARCH("월1.2.3",$H178))),1,"")</f>
        <v/>
      </c>
      <c r="L178" s="319">
        <f>IF(ISNUMBER(SEARCH("화1",$H178)),1,"")</f>
        <v/>
      </c>
      <c r="M178" s="319">
        <f>IF(OR(ISNUMBER(SEARCH("화2",$H178)),ISNUMBER(SEARCH("화1.2",$H178))),1,"")</f>
        <v/>
      </c>
      <c r="N178" s="319">
        <f>IF(OR(ISNUMBER(SEARCH("화3",$H178)),ISNUMBER(SEARCH("화1.3",$H178)),ISNUMBER(SEARCH("화2.3",$H178)),ISNUMBER(SEARCH("화1.2.3",$H178))),1,"")</f>
        <v/>
      </c>
      <c r="O178" s="319">
        <f>IF(ISNUMBER(SEARCH("수1",$H178)),1,"")</f>
        <v/>
      </c>
      <c r="P178" s="319">
        <f>IF(OR(ISNUMBER(SEARCH("수2",$H178)),ISNUMBER(SEARCH("수1.2",$H178))),1,"")</f>
        <v/>
      </c>
      <c r="Q178" s="319">
        <f>IF(OR(ISNUMBER(SEARCH("수3",$H178)),ISNUMBER(SEARCH("수1.3",$H178)),ISNUMBER(SEARCH("수2.3",$H178)),ISNUMBER(SEARCH("수1.2.3",$H178))),1,"")</f>
        <v/>
      </c>
      <c r="R178" s="319">
        <f>IF(ISNUMBER(SEARCH("목1",$H178)),1,"")</f>
        <v/>
      </c>
      <c r="S178" s="319">
        <f>IF(OR(ISNUMBER(SEARCH("목2",$H178)),ISNUMBER(SEARCH("목1.2",$H178))),1,"")</f>
        <v/>
      </c>
      <c r="T178" s="319">
        <f>IF(OR(ISNUMBER(SEARCH("목3",$H178)),ISNUMBER(SEARCH("목1.3",$H178)),ISNUMBER(SEARCH("목2.3",$H178)),ISNUMBER(SEARCH("목1.2.3",$H178))),1,"")</f>
        <v/>
      </c>
      <c r="U178" s="319">
        <f>IF(ISNUMBER(SEARCH("금1",$H178)),1,"")</f>
        <v/>
      </c>
      <c r="V178" s="319">
        <f>IF(OR(ISNUMBER(SEARCH("금2",$H178)),ISNUMBER(SEARCH("금1.2",$H178))),1,"")</f>
        <v/>
      </c>
      <c r="W178" s="319">
        <f>IF(OR(ISNUMBER(SEARCH("금3",$H178)),ISNUMBER(SEARCH("금1.3",$H178)),ISNUMBER(SEARCH("금2.3",$H178)),ISNUMBER(SEARCH("금1.2.3",$H178))),1,"")</f>
        <v/>
      </c>
      <c r="X178" s="319">
        <f>IF(ISNUMBER(SEARCH("토1",$H178)),1,"")</f>
        <v/>
      </c>
      <c r="Y178" s="319">
        <f>IF(OR(ISNUMBER(SEARCH("토2",$H178)),ISNUMBER(SEARCH("토1.2",$H178))),1,"")</f>
        <v/>
      </c>
      <c r="Z178" s="319">
        <f>IF(OR(ISNUMBER(SEARCH("토3",$H178)),ISNUMBER(SEARCH("토1.3",$H178)),ISNUMBER(SEARCH("토2.3",$H178)),ISNUMBER(SEARCH("토1.2.3",$H178))),1,"")</f>
        <v/>
      </c>
      <c r="AA178" s="319">
        <f>IF(ISNUMBER(SEARCH("일1",$H178)),1,"")</f>
        <v/>
      </c>
      <c r="AB178" s="319">
        <f>IF(OR(ISNUMBER(SEARCH("일2",$H178)),ISNUMBER(SEARCH("일1.2",$H178))),1,"")</f>
        <v/>
      </c>
      <c r="AC178" s="319">
        <f>IF(OR(ISNUMBER(SEARCH("일3",$H178)),ISNUMBER(SEARCH("일1.3",$H178)),ISNUMBER(SEARCH("일2.3",$H178)),ISNUMBER(SEARCH("일1.2.3",$H178))),1,"")</f>
        <v/>
      </c>
      <c r="AD178" s="319">
        <f>SUM(I178:AC178)</f>
        <v/>
      </c>
      <c r="AE178" s="323" t="n"/>
    </row>
    <row r="179" ht="24" customHeight="1">
      <c r="A179" s="168" t="n"/>
      <c r="B179" s="319" t="n"/>
      <c r="C179" s="319" t="n"/>
      <c r="D179" s="319" t="n"/>
      <c r="E179" s="341" t="n"/>
      <c r="F179" s="341" t="n"/>
      <c r="G179" s="342" t="n"/>
      <c r="H179" s="322" t="n"/>
      <c r="I179" s="319">
        <f>IF(ISNUMBER(SEARCH("월1",$H179)),1,"")</f>
        <v/>
      </c>
      <c r="J179" s="319">
        <f>IF(OR(ISNUMBER(SEARCH("월2",$H179)),ISNUMBER(SEARCH("월1.2",$H179))),1,"")</f>
        <v/>
      </c>
      <c r="K179" s="319">
        <f>IF(OR(ISNUMBER(SEARCH("월3",$H179)),ISNUMBER(SEARCH("월1.3",$H179)),ISNUMBER(SEARCH("월2.3",$H179)),ISNUMBER(SEARCH("월1.2.3",$H179))),1,"")</f>
        <v/>
      </c>
      <c r="L179" s="319">
        <f>IF(ISNUMBER(SEARCH("화1",$H179)),1,"")</f>
        <v/>
      </c>
      <c r="M179" s="319">
        <f>IF(OR(ISNUMBER(SEARCH("화2",$H179)),ISNUMBER(SEARCH("화1.2",$H179))),1,"")</f>
        <v/>
      </c>
      <c r="N179" s="319">
        <f>IF(OR(ISNUMBER(SEARCH("화3",$H179)),ISNUMBER(SEARCH("화1.3",$H179)),ISNUMBER(SEARCH("화2.3",$H179)),ISNUMBER(SEARCH("화1.2.3",$H179))),1,"")</f>
        <v/>
      </c>
      <c r="O179" s="319">
        <f>IF(ISNUMBER(SEARCH("수1",$H179)),1,"")</f>
        <v/>
      </c>
      <c r="P179" s="319">
        <f>IF(OR(ISNUMBER(SEARCH("수2",$H179)),ISNUMBER(SEARCH("수1.2",$H179))),1,"")</f>
        <v/>
      </c>
      <c r="Q179" s="319">
        <f>IF(OR(ISNUMBER(SEARCH("수3",$H179)),ISNUMBER(SEARCH("수1.3",$H179)),ISNUMBER(SEARCH("수2.3",$H179)),ISNUMBER(SEARCH("수1.2.3",$H179))),1,"")</f>
        <v/>
      </c>
      <c r="R179" s="319">
        <f>IF(ISNUMBER(SEARCH("목1",$H179)),1,"")</f>
        <v/>
      </c>
      <c r="S179" s="319">
        <f>IF(OR(ISNUMBER(SEARCH("목2",$H179)),ISNUMBER(SEARCH("목1.2",$H179))),1,"")</f>
        <v/>
      </c>
      <c r="T179" s="319">
        <f>IF(OR(ISNUMBER(SEARCH("목3",$H179)),ISNUMBER(SEARCH("목1.3",$H179)),ISNUMBER(SEARCH("목2.3",$H179)),ISNUMBER(SEARCH("목1.2.3",$H179))),1,"")</f>
        <v/>
      </c>
      <c r="U179" s="319">
        <f>IF(ISNUMBER(SEARCH("금1",$H179)),1,"")</f>
        <v/>
      </c>
      <c r="V179" s="319">
        <f>IF(OR(ISNUMBER(SEARCH("금2",$H179)),ISNUMBER(SEARCH("금1.2",$H179))),1,"")</f>
        <v/>
      </c>
      <c r="W179" s="319">
        <f>IF(OR(ISNUMBER(SEARCH("금3",$H179)),ISNUMBER(SEARCH("금1.3",$H179)),ISNUMBER(SEARCH("금2.3",$H179)),ISNUMBER(SEARCH("금1.2.3",$H179))),1,"")</f>
        <v/>
      </c>
      <c r="X179" s="319">
        <f>IF(ISNUMBER(SEARCH("토1",$H179)),1,"")</f>
        <v/>
      </c>
      <c r="Y179" s="319">
        <f>IF(OR(ISNUMBER(SEARCH("토2",$H179)),ISNUMBER(SEARCH("토1.2",$H179))),1,"")</f>
        <v/>
      </c>
      <c r="Z179" s="319">
        <f>IF(OR(ISNUMBER(SEARCH("토3",$H179)),ISNUMBER(SEARCH("토1.3",$H179)),ISNUMBER(SEARCH("토2.3",$H179)),ISNUMBER(SEARCH("토1.2.3",$H179))),1,"")</f>
        <v/>
      </c>
      <c r="AA179" s="319">
        <f>IF(ISNUMBER(SEARCH("일1",$H179)),1,"")</f>
        <v/>
      </c>
      <c r="AB179" s="319">
        <f>IF(OR(ISNUMBER(SEARCH("일2",$H179)),ISNUMBER(SEARCH("일1.2",$H179))),1,"")</f>
        <v/>
      </c>
      <c r="AC179" s="319">
        <f>IF(OR(ISNUMBER(SEARCH("일3",$H179)),ISNUMBER(SEARCH("일1.3",$H179)),ISNUMBER(SEARCH("일2.3",$H179)),ISNUMBER(SEARCH("일1.2.3",$H179))),1,"")</f>
        <v/>
      </c>
      <c r="AD179" s="319">
        <f>SUM(I179:AC179)</f>
        <v/>
      </c>
      <c r="AE179" s="323" t="n"/>
    </row>
    <row r="180" ht="24" customHeight="1">
      <c r="A180" s="168" t="n"/>
      <c r="B180" s="319" t="n"/>
      <c r="C180" s="319" t="n"/>
      <c r="D180" s="319" t="n"/>
      <c r="E180" s="341" t="n"/>
      <c r="F180" s="341" t="n"/>
      <c r="G180" s="342" t="n"/>
      <c r="H180" s="322" t="n"/>
      <c r="I180" s="319">
        <f>IF(ISNUMBER(SEARCH("월1",$H180)),1,"")</f>
        <v/>
      </c>
      <c r="J180" s="319">
        <f>IF(OR(ISNUMBER(SEARCH("월2",$H180)),ISNUMBER(SEARCH("월1.2",$H180))),1,"")</f>
        <v/>
      </c>
      <c r="K180" s="319">
        <f>IF(OR(ISNUMBER(SEARCH("월3",$H180)),ISNUMBER(SEARCH("월1.3",$H180)),ISNUMBER(SEARCH("월2.3",$H180)),ISNUMBER(SEARCH("월1.2.3",$H180))),1,"")</f>
        <v/>
      </c>
      <c r="L180" s="319">
        <f>IF(ISNUMBER(SEARCH("화1",$H180)),1,"")</f>
        <v/>
      </c>
      <c r="M180" s="319">
        <f>IF(OR(ISNUMBER(SEARCH("화2",$H180)),ISNUMBER(SEARCH("화1.2",$H180))),1,"")</f>
        <v/>
      </c>
      <c r="N180" s="319">
        <f>IF(OR(ISNUMBER(SEARCH("화3",$H180)),ISNUMBER(SEARCH("화1.3",$H180)),ISNUMBER(SEARCH("화2.3",$H180)),ISNUMBER(SEARCH("화1.2.3",$H180))),1,"")</f>
        <v/>
      </c>
      <c r="O180" s="319">
        <f>IF(ISNUMBER(SEARCH("수1",$H180)),1,"")</f>
        <v/>
      </c>
      <c r="P180" s="319">
        <f>IF(OR(ISNUMBER(SEARCH("수2",$H180)),ISNUMBER(SEARCH("수1.2",$H180))),1,"")</f>
        <v/>
      </c>
      <c r="Q180" s="319">
        <f>IF(OR(ISNUMBER(SEARCH("수3",$H180)),ISNUMBER(SEARCH("수1.3",$H180)),ISNUMBER(SEARCH("수2.3",$H180)),ISNUMBER(SEARCH("수1.2.3",$H180))),1,"")</f>
        <v/>
      </c>
      <c r="R180" s="319">
        <f>IF(ISNUMBER(SEARCH("목1",$H180)),1,"")</f>
        <v/>
      </c>
      <c r="S180" s="319">
        <f>IF(OR(ISNUMBER(SEARCH("목2",$H180)),ISNUMBER(SEARCH("목1.2",$H180))),1,"")</f>
        <v/>
      </c>
      <c r="T180" s="319">
        <f>IF(OR(ISNUMBER(SEARCH("목3",$H180)),ISNUMBER(SEARCH("목1.3",$H180)),ISNUMBER(SEARCH("목2.3",$H180)),ISNUMBER(SEARCH("목1.2.3",$H180))),1,"")</f>
        <v/>
      </c>
      <c r="U180" s="319">
        <f>IF(ISNUMBER(SEARCH("금1",$H180)),1,"")</f>
        <v/>
      </c>
      <c r="V180" s="319">
        <f>IF(OR(ISNUMBER(SEARCH("금2",$H180)),ISNUMBER(SEARCH("금1.2",$H180))),1,"")</f>
        <v/>
      </c>
      <c r="W180" s="319">
        <f>IF(OR(ISNUMBER(SEARCH("금3",$H180)),ISNUMBER(SEARCH("금1.3",$H180)),ISNUMBER(SEARCH("금2.3",$H180)),ISNUMBER(SEARCH("금1.2.3",$H180))),1,"")</f>
        <v/>
      </c>
      <c r="X180" s="319">
        <f>IF(ISNUMBER(SEARCH("토1",$H180)),1,"")</f>
        <v/>
      </c>
      <c r="Y180" s="319">
        <f>IF(OR(ISNUMBER(SEARCH("토2",$H180)),ISNUMBER(SEARCH("토1.2",$H180))),1,"")</f>
        <v/>
      </c>
      <c r="Z180" s="319">
        <f>IF(OR(ISNUMBER(SEARCH("토3",$H180)),ISNUMBER(SEARCH("토1.3",$H180)),ISNUMBER(SEARCH("토2.3",$H180)),ISNUMBER(SEARCH("토1.2.3",$H180))),1,"")</f>
        <v/>
      </c>
      <c r="AA180" s="319">
        <f>IF(ISNUMBER(SEARCH("일1",$H180)),1,"")</f>
        <v/>
      </c>
      <c r="AB180" s="319">
        <f>IF(OR(ISNUMBER(SEARCH("일2",$H180)),ISNUMBER(SEARCH("일1.2",$H180))),1,"")</f>
        <v/>
      </c>
      <c r="AC180" s="319">
        <f>IF(OR(ISNUMBER(SEARCH("일3",$H180)),ISNUMBER(SEARCH("일1.3",$H180)),ISNUMBER(SEARCH("일2.3",$H180)),ISNUMBER(SEARCH("일1.2.3",$H180))),1,"")</f>
        <v/>
      </c>
      <c r="AD180" s="319">
        <f>SUM(I180:AC180)</f>
        <v/>
      </c>
      <c r="AE180" s="323" t="n"/>
    </row>
    <row r="181" ht="24" customHeight="1">
      <c r="A181" s="168" t="n"/>
      <c r="B181" s="319" t="n"/>
      <c r="C181" s="319" t="n"/>
      <c r="D181" s="319" t="n"/>
      <c r="E181" s="341" t="n"/>
      <c r="F181" s="341" t="n"/>
      <c r="G181" s="342" t="n"/>
      <c r="H181" s="322" t="n"/>
      <c r="I181" s="319">
        <f>IF(ISNUMBER(SEARCH("월1",$H181)),1,"")</f>
        <v/>
      </c>
      <c r="J181" s="319">
        <f>IF(OR(ISNUMBER(SEARCH("월2",$H181)),ISNUMBER(SEARCH("월1.2",$H181))),1,"")</f>
        <v/>
      </c>
      <c r="K181" s="319">
        <f>IF(OR(ISNUMBER(SEARCH("월3",$H181)),ISNUMBER(SEARCH("월1.3",$H181)),ISNUMBER(SEARCH("월2.3",$H181)),ISNUMBER(SEARCH("월1.2.3",$H181))),1,"")</f>
        <v/>
      </c>
      <c r="L181" s="319">
        <f>IF(ISNUMBER(SEARCH("화1",$H181)),1,"")</f>
        <v/>
      </c>
      <c r="M181" s="319">
        <f>IF(OR(ISNUMBER(SEARCH("화2",$H181)),ISNUMBER(SEARCH("화1.2",$H181))),1,"")</f>
        <v/>
      </c>
      <c r="N181" s="319">
        <f>IF(OR(ISNUMBER(SEARCH("화3",$H181)),ISNUMBER(SEARCH("화1.3",$H181)),ISNUMBER(SEARCH("화2.3",$H181)),ISNUMBER(SEARCH("화1.2.3",$H181))),1,"")</f>
        <v/>
      </c>
      <c r="O181" s="319">
        <f>IF(ISNUMBER(SEARCH("수1",$H181)),1,"")</f>
        <v/>
      </c>
      <c r="P181" s="319">
        <f>IF(OR(ISNUMBER(SEARCH("수2",$H181)),ISNUMBER(SEARCH("수1.2",$H181))),1,"")</f>
        <v/>
      </c>
      <c r="Q181" s="319">
        <f>IF(OR(ISNUMBER(SEARCH("수3",$H181)),ISNUMBER(SEARCH("수1.3",$H181)),ISNUMBER(SEARCH("수2.3",$H181)),ISNUMBER(SEARCH("수1.2.3",$H181))),1,"")</f>
        <v/>
      </c>
      <c r="R181" s="319">
        <f>IF(ISNUMBER(SEARCH("목1",$H181)),1,"")</f>
        <v/>
      </c>
      <c r="S181" s="319">
        <f>IF(OR(ISNUMBER(SEARCH("목2",$H181)),ISNUMBER(SEARCH("목1.2",$H181))),1,"")</f>
        <v/>
      </c>
      <c r="T181" s="319">
        <f>IF(OR(ISNUMBER(SEARCH("목3",$H181)),ISNUMBER(SEARCH("목1.3",$H181)),ISNUMBER(SEARCH("목2.3",$H181)),ISNUMBER(SEARCH("목1.2.3",$H181))),1,"")</f>
        <v/>
      </c>
      <c r="U181" s="319">
        <f>IF(ISNUMBER(SEARCH("금1",$H181)),1,"")</f>
        <v/>
      </c>
      <c r="V181" s="319">
        <f>IF(OR(ISNUMBER(SEARCH("금2",$H181)),ISNUMBER(SEARCH("금1.2",$H181))),1,"")</f>
        <v/>
      </c>
      <c r="W181" s="319">
        <f>IF(OR(ISNUMBER(SEARCH("금3",$H181)),ISNUMBER(SEARCH("금1.3",$H181)),ISNUMBER(SEARCH("금2.3",$H181)),ISNUMBER(SEARCH("금1.2.3",$H181))),1,"")</f>
        <v/>
      </c>
      <c r="X181" s="319">
        <f>IF(ISNUMBER(SEARCH("토1",$H181)),1,"")</f>
        <v/>
      </c>
      <c r="Y181" s="319">
        <f>IF(OR(ISNUMBER(SEARCH("토2",$H181)),ISNUMBER(SEARCH("토1.2",$H181))),1,"")</f>
        <v/>
      </c>
      <c r="Z181" s="319">
        <f>IF(OR(ISNUMBER(SEARCH("토3",$H181)),ISNUMBER(SEARCH("토1.3",$H181)),ISNUMBER(SEARCH("토2.3",$H181)),ISNUMBER(SEARCH("토1.2.3",$H181))),1,"")</f>
        <v/>
      </c>
      <c r="AA181" s="319">
        <f>IF(ISNUMBER(SEARCH("일1",$H181)),1,"")</f>
        <v/>
      </c>
      <c r="AB181" s="319">
        <f>IF(OR(ISNUMBER(SEARCH("일2",$H181)),ISNUMBER(SEARCH("일1.2",$H181))),1,"")</f>
        <v/>
      </c>
      <c r="AC181" s="319">
        <f>IF(OR(ISNUMBER(SEARCH("일3",$H181)),ISNUMBER(SEARCH("일1.3",$H181)),ISNUMBER(SEARCH("일2.3",$H181)),ISNUMBER(SEARCH("일1.2.3",$H181))),1,"")</f>
        <v/>
      </c>
      <c r="AD181" s="319">
        <f>SUM(I181:AC181)</f>
        <v/>
      </c>
      <c r="AE181" s="323" t="n"/>
    </row>
    <row r="182" ht="24" customHeight="1">
      <c r="A182" s="168" t="n"/>
      <c r="B182" s="319" t="n"/>
      <c r="C182" s="319" t="n"/>
      <c r="D182" s="319" t="n"/>
      <c r="E182" s="341" t="n"/>
      <c r="F182" s="341" t="n"/>
      <c r="G182" s="342" t="n"/>
      <c r="H182" s="322" t="n"/>
      <c r="I182" s="319">
        <f>IF(ISNUMBER(SEARCH("월1",$H182)),1,"")</f>
        <v/>
      </c>
      <c r="J182" s="319">
        <f>IF(OR(ISNUMBER(SEARCH("월2",$H182)),ISNUMBER(SEARCH("월1.2",$H182))),1,"")</f>
        <v/>
      </c>
      <c r="K182" s="319">
        <f>IF(OR(ISNUMBER(SEARCH("월3",$H182)),ISNUMBER(SEARCH("월1.3",$H182)),ISNUMBER(SEARCH("월2.3",$H182)),ISNUMBER(SEARCH("월1.2.3",$H182))),1,"")</f>
        <v/>
      </c>
      <c r="L182" s="319">
        <f>IF(ISNUMBER(SEARCH("화1",$H182)),1,"")</f>
        <v/>
      </c>
      <c r="M182" s="319">
        <f>IF(OR(ISNUMBER(SEARCH("화2",$H182)),ISNUMBER(SEARCH("화1.2",$H182))),1,"")</f>
        <v/>
      </c>
      <c r="N182" s="319">
        <f>IF(OR(ISNUMBER(SEARCH("화3",$H182)),ISNUMBER(SEARCH("화1.3",$H182)),ISNUMBER(SEARCH("화2.3",$H182)),ISNUMBER(SEARCH("화1.2.3",$H182))),1,"")</f>
        <v/>
      </c>
      <c r="O182" s="319">
        <f>IF(ISNUMBER(SEARCH("수1",$H182)),1,"")</f>
        <v/>
      </c>
      <c r="P182" s="319">
        <f>IF(OR(ISNUMBER(SEARCH("수2",$H182)),ISNUMBER(SEARCH("수1.2",$H182))),1,"")</f>
        <v/>
      </c>
      <c r="Q182" s="319">
        <f>IF(OR(ISNUMBER(SEARCH("수3",$H182)),ISNUMBER(SEARCH("수1.3",$H182)),ISNUMBER(SEARCH("수2.3",$H182)),ISNUMBER(SEARCH("수1.2.3",$H182))),1,"")</f>
        <v/>
      </c>
      <c r="R182" s="319">
        <f>IF(ISNUMBER(SEARCH("목1",$H182)),1,"")</f>
        <v/>
      </c>
      <c r="S182" s="319">
        <f>IF(OR(ISNUMBER(SEARCH("목2",$H182)),ISNUMBER(SEARCH("목1.2",$H182))),1,"")</f>
        <v/>
      </c>
      <c r="T182" s="319">
        <f>IF(OR(ISNUMBER(SEARCH("목3",$H182)),ISNUMBER(SEARCH("목1.3",$H182)),ISNUMBER(SEARCH("목2.3",$H182)),ISNUMBER(SEARCH("목1.2.3",$H182))),1,"")</f>
        <v/>
      </c>
      <c r="U182" s="319">
        <f>IF(ISNUMBER(SEARCH("금1",$H182)),1,"")</f>
        <v/>
      </c>
      <c r="V182" s="319">
        <f>IF(OR(ISNUMBER(SEARCH("금2",$H182)),ISNUMBER(SEARCH("금1.2",$H182))),1,"")</f>
        <v/>
      </c>
      <c r="W182" s="319">
        <f>IF(OR(ISNUMBER(SEARCH("금3",$H182)),ISNUMBER(SEARCH("금1.3",$H182)),ISNUMBER(SEARCH("금2.3",$H182)),ISNUMBER(SEARCH("금1.2.3",$H182))),1,"")</f>
        <v/>
      </c>
      <c r="X182" s="319">
        <f>IF(ISNUMBER(SEARCH("토1",$H182)),1,"")</f>
        <v/>
      </c>
      <c r="Y182" s="319">
        <f>IF(OR(ISNUMBER(SEARCH("토2",$H182)),ISNUMBER(SEARCH("토1.2",$H182))),1,"")</f>
        <v/>
      </c>
      <c r="Z182" s="319">
        <f>IF(OR(ISNUMBER(SEARCH("토3",$H182)),ISNUMBER(SEARCH("토1.3",$H182)),ISNUMBER(SEARCH("토2.3",$H182)),ISNUMBER(SEARCH("토1.2.3",$H182))),1,"")</f>
        <v/>
      </c>
      <c r="AA182" s="319">
        <f>IF(ISNUMBER(SEARCH("일1",$H182)),1,"")</f>
        <v/>
      </c>
      <c r="AB182" s="319">
        <f>IF(OR(ISNUMBER(SEARCH("일2",$H182)),ISNUMBER(SEARCH("일1.2",$H182))),1,"")</f>
        <v/>
      </c>
      <c r="AC182" s="319">
        <f>IF(OR(ISNUMBER(SEARCH("일3",$H182)),ISNUMBER(SEARCH("일1.3",$H182)),ISNUMBER(SEARCH("일2.3",$H182)),ISNUMBER(SEARCH("일1.2.3",$H182))),1,"")</f>
        <v/>
      </c>
      <c r="AD182" s="319">
        <f>SUM(I182:AC182)</f>
        <v/>
      </c>
      <c r="AE182" s="323" t="n"/>
    </row>
    <row r="183" ht="24" customHeight="1">
      <c r="A183" s="168" t="n"/>
      <c r="B183" s="319" t="n"/>
      <c r="C183" s="319" t="n"/>
      <c r="D183" s="319" t="n"/>
      <c r="E183" s="341" t="n"/>
      <c r="F183" s="341" t="n"/>
      <c r="G183" s="342" t="n"/>
      <c r="H183" s="322" t="n"/>
      <c r="I183" s="319">
        <f>IF(ISNUMBER(SEARCH("월1",$H183)),1,"")</f>
        <v/>
      </c>
      <c r="J183" s="319">
        <f>IF(OR(ISNUMBER(SEARCH("월2",$H183)),ISNUMBER(SEARCH("월1.2",$H183))),1,"")</f>
        <v/>
      </c>
      <c r="K183" s="319">
        <f>IF(OR(ISNUMBER(SEARCH("월3",$H183)),ISNUMBER(SEARCH("월1.3",$H183)),ISNUMBER(SEARCH("월2.3",$H183)),ISNUMBER(SEARCH("월1.2.3",$H183))),1,"")</f>
        <v/>
      </c>
      <c r="L183" s="319">
        <f>IF(ISNUMBER(SEARCH("화1",$H183)),1,"")</f>
        <v/>
      </c>
      <c r="M183" s="319">
        <f>IF(OR(ISNUMBER(SEARCH("화2",$H183)),ISNUMBER(SEARCH("화1.2",$H183))),1,"")</f>
        <v/>
      </c>
      <c r="N183" s="319">
        <f>IF(OR(ISNUMBER(SEARCH("화3",$H183)),ISNUMBER(SEARCH("화1.3",$H183)),ISNUMBER(SEARCH("화2.3",$H183)),ISNUMBER(SEARCH("화1.2.3",$H183))),1,"")</f>
        <v/>
      </c>
      <c r="O183" s="319">
        <f>IF(ISNUMBER(SEARCH("수1",$H183)),1,"")</f>
        <v/>
      </c>
      <c r="P183" s="319">
        <f>IF(OR(ISNUMBER(SEARCH("수2",$H183)),ISNUMBER(SEARCH("수1.2",$H183))),1,"")</f>
        <v/>
      </c>
      <c r="Q183" s="319">
        <f>IF(OR(ISNUMBER(SEARCH("수3",$H183)),ISNUMBER(SEARCH("수1.3",$H183)),ISNUMBER(SEARCH("수2.3",$H183)),ISNUMBER(SEARCH("수1.2.3",$H183))),1,"")</f>
        <v/>
      </c>
      <c r="R183" s="319">
        <f>IF(ISNUMBER(SEARCH("목1",$H183)),1,"")</f>
        <v/>
      </c>
      <c r="S183" s="319">
        <f>IF(OR(ISNUMBER(SEARCH("목2",$H183)),ISNUMBER(SEARCH("목1.2",$H183))),1,"")</f>
        <v/>
      </c>
      <c r="T183" s="319">
        <f>IF(OR(ISNUMBER(SEARCH("목3",$H183)),ISNUMBER(SEARCH("목1.3",$H183)),ISNUMBER(SEARCH("목2.3",$H183)),ISNUMBER(SEARCH("목1.2.3",$H183))),1,"")</f>
        <v/>
      </c>
      <c r="U183" s="319">
        <f>IF(ISNUMBER(SEARCH("금1",$H183)),1,"")</f>
        <v/>
      </c>
      <c r="V183" s="319">
        <f>IF(OR(ISNUMBER(SEARCH("금2",$H183)),ISNUMBER(SEARCH("금1.2",$H183))),1,"")</f>
        <v/>
      </c>
      <c r="W183" s="319">
        <f>IF(OR(ISNUMBER(SEARCH("금3",$H183)),ISNUMBER(SEARCH("금1.3",$H183)),ISNUMBER(SEARCH("금2.3",$H183)),ISNUMBER(SEARCH("금1.2.3",$H183))),1,"")</f>
        <v/>
      </c>
      <c r="X183" s="319">
        <f>IF(ISNUMBER(SEARCH("토1",$H183)),1,"")</f>
        <v/>
      </c>
      <c r="Y183" s="319">
        <f>IF(OR(ISNUMBER(SEARCH("토2",$H183)),ISNUMBER(SEARCH("토1.2",$H183))),1,"")</f>
        <v/>
      </c>
      <c r="Z183" s="319">
        <f>IF(OR(ISNUMBER(SEARCH("토3",$H183)),ISNUMBER(SEARCH("토1.3",$H183)),ISNUMBER(SEARCH("토2.3",$H183)),ISNUMBER(SEARCH("토1.2.3",$H183))),1,"")</f>
        <v/>
      </c>
      <c r="AA183" s="319">
        <f>IF(ISNUMBER(SEARCH("일1",$H183)),1,"")</f>
        <v/>
      </c>
      <c r="AB183" s="319">
        <f>IF(OR(ISNUMBER(SEARCH("일2",$H183)),ISNUMBER(SEARCH("일1.2",$H183))),1,"")</f>
        <v/>
      </c>
      <c r="AC183" s="319">
        <f>IF(OR(ISNUMBER(SEARCH("일3",$H183)),ISNUMBER(SEARCH("일1.3",$H183)),ISNUMBER(SEARCH("일2.3",$H183)),ISNUMBER(SEARCH("일1.2.3",$H183))),1,"")</f>
        <v/>
      </c>
      <c r="AD183" s="319">
        <f>SUM(I183:AC183)</f>
        <v/>
      </c>
      <c r="AE183" s="323" t="n"/>
    </row>
    <row r="184" ht="24" customHeight="1">
      <c r="A184" s="168" t="n"/>
      <c r="B184" s="319" t="n"/>
      <c r="C184" s="319" t="n"/>
      <c r="D184" s="319" t="n"/>
      <c r="E184" s="341" t="n"/>
      <c r="F184" s="341" t="n"/>
      <c r="G184" s="342" t="n"/>
      <c r="H184" s="322" t="n"/>
      <c r="I184" s="319">
        <f>IF(ISNUMBER(SEARCH("월1",$H184)),1,"")</f>
        <v/>
      </c>
      <c r="J184" s="319">
        <f>IF(OR(ISNUMBER(SEARCH("월2",$H184)),ISNUMBER(SEARCH("월1.2",$H184))),1,"")</f>
        <v/>
      </c>
      <c r="K184" s="319">
        <f>IF(OR(ISNUMBER(SEARCH("월3",$H184)),ISNUMBER(SEARCH("월1.3",$H184)),ISNUMBER(SEARCH("월2.3",$H184)),ISNUMBER(SEARCH("월1.2.3",$H184))),1,"")</f>
        <v/>
      </c>
      <c r="L184" s="319">
        <f>IF(ISNUMBER(SEARCH("화1",$H184)),1,"")</f>
        <v/>
      </c>
      <c r="M184" s="319">
        <f>IF(OR(ISNUMBER(SEARCH("화2",$H184)),ISNUMBER(SEARCH("화1.2",$H184))),1,"")</f>
        <v/>
      </c>
      <c r="N184" s="319">
        <f>IF(OR(ISNUMBER(SEARCH("화3",$H184)),ISNUMBER(SEARCH("화1.3",$H184)),ISNUMBER(SEARCH("화2.3",$H184)),ISNUMBER(SEARCH("화1.2.3",$H184))),1,"")</f>
        <v/>
      </c>
      <c r="O184" s="319">
        <f>IF(ISNUMBER(SEARCH("수1",$H184)),1,"")</f>
        <v/>
      </c>
      <c r="P184" s="319">
        <f>IF(OR(ISNUMBER(SEARCH("수2",$H184)),ISNUMBER(SEARCH("수1.2",$H184))),1,"")</f>
        <v/>
      </c>
      <c r="Q184" s="319">
        <f>IF(OR(ISNUMBER(SEARCH("수3",$H184)),ISNUMBER(SEARCH("수1.3",$H184)),ISNUMBER(SEARCH("수2.3",$H184)),ISNUMBER(SEARCH("수1.2.3",$H184))),1,"")</f>
        <v/>
      </c>
      <c r="R184" s="319">
        <f>IF(ISNUMBER(SEARCH("목1",$H184)),1,"")</f>
        <v/>
      </c>
      <c r="S184" s="319">
        <f>IF(OR(ISNUMBER(SEARCH("목2",$H184)),ISNUMBER(SEARCH("목1.2",$H184))),1,"")</f>
        <v/>
      </c>
      <c r="T184" s="319">
        <f>IF(OR(ISNUMBER(SEARCH("목3",$H184)),ISNUMBER(SEARCH("목1.3",$H184)),ISNUMBER(SEARCH("목2.3",$H184)),ISNUMBER(SEARCH("목1.2.3",$H184))),1,"")</f>
        <v/>
      </c>
      <c r="U184" s="319">
        <f>IF(ISNUMBER(SEARCH("금1",$H184)),1,"")</f>
        <v/>
      </c>
      <c r="V184" s="319">
        <f>IF(OR(ISNUMBER(SEARCH("금2",$H184)),ISNUMBER(SEARCH("금1.2",$H184))),1,"")</f>
        <v/>
      </c>
      <c r="W184" s="319">
        <f>IF(OR(ISNUMBER(SEARCH("금3",$H184)),ISNUMBER(SEARCH("금1.3",$H184)),ISNUMBER(SEARCH("금2.3",$H184)),ISNUMBER(SEARCH("금1.2.3",$H184))),1,"")</f>
        <v/>
      </c>
      <c r="X184" s="319">
        <f>IF(ISNUMBER(SEARCH("토1",$H184)),1,"")</f>
        <v/>
      </c>
      <c r="Y184" s="319">
        <f>IF(OR(ISNUMBER(SEARCH("토2",$H184)),ISNUMBER(SEARCH("토1.2",$H184))),1,"")</f>
        <v/>
      </c>
      <c r="Z184" s="319">
        <f>IF(OR(ISNUMBER(SEARCH("토3",$H184)),ISNUMBER(SEARCH("토1.3",$H184)),ISNUMBER(SEARCH("토2.3",$H184)),ISNUMBER(SEARCH("토1.2.3",$H184))),1,"")</f>
        <v/>
      </c>
      <c r="AA184" s="319">
        <f>IF(ISNUMBER(SEARCH("일1",$H184)),1,"")</f>
        <v/>
      </c>
      <c r="AB184" s="319">
        <f>IF(OR(ISNUMBER(SEARCH("일2",$H184)),ISNUMBER(SEARCH("일1.2",$H184))),1,"")</f>
        <v/>
      </c>
      <c r="AC184" s="319">
        <f>IF(OR(ISNUMBER(SEARCH("일3",$H184)),ISNUMBER(SEARCH("일1.3",$H184)),ISNUMBER(SEARCH("일2.3",$H184)),ISNUMBER(SEARCH("일1.2.3",$H184))),1,"")</f>
        <v/>
      </c>
      <c r="AD184" s="319">
        <f>SUM(I184:AC184)</f>
        <v/>
      </c>
      <c r="AE184" s="323" t="n"/>
    </row>
    <row r="185" ht="24" customHeight="1">
      <c r="A185" s="168" t="n"/>
      <c r="B185" s="319" t="n"/>
      <c r="C185" s="319" t="n"/>
      <c r="D185" s="319" t="n"/>
      <c r="E185" s="341" t="n"/>
      <c r="F185" s="341" t="n"/>
      <c r="G185" s="342" t="n"/>
      <c r="H185" s="322" t="n"/>
      <c r="I185" s="319">
        <f>IF(ISNUMBER(SEARCH("월1",$H185)),1,"")</f>
        <v/>
      </c>
      <c r="J185" s="319">
        <f>IF(OR(ISNUMBER(SEARCH("월2",$H185)),ISNUMBER(SEARCH("월1.2",$H185))),1,"")</f>
        <v/>
      </c>
      <c r="K185" s="319">
        <f>IF(OR(ISNUMBER(SEARCH("월3",$H185)),ISNUMBER(SEARCH("월1.3",$H185)),ISNUMBER(SEARCH("월2.3",$H185)),ISNUMBER(SEARCH("월1.2.3",$H185))),1,"")</f>
        <v/>
      </c>
      <c r="L185" s="319">
        <f>IF(ISNUMBER(SEARCH("화1",$H185)),1,"")</f>
        <v/>
      </c>
      <c r="M185" s="319">
        <f>IF(OR(ISNUMBER(SEARCH("화2",$H185)),ISNUMBER(SEARCH("화1.2",$H185))),1,"")</f>
        <v/>
      </c>
      <c r="N185" s="319">
        <f>IF(OR(ISNUMBER(SEARCH("화3",$H185)),ISNUMBER(SEARCH("화1.3",$H185)),ISNUMBER(SEARCH("화2.3",$H185)),ISNUMBER(SEARCH("화1.2.3",$H185))),1,"")</f>
        <v/>
      </c>
      <c r="O185" s="319">
        <f>IF(ISNUMBER(SEARCH("수1",$H185)),1,"")</f>
        <v/>
      </c>
      <c r="P185" s="319">
        <f>IF(OR(ISNUMBER(SEARCH("수2",$H185)),ISNUMBER(SEARCH("수1.2",$H185))),1,"")</f>
        <v/>
      </c>
      <c r="Q185" s="319">
        <f>IF(OR(ISNUMBER(SEARCH("수3",$H185)),ISNUMBER(SEARCH("수1.3",$H185)),ISNUMBER(SEARCH("수2.3",$H185)),ISNUMBER(SEARCH("수1.2.3",$H185))),1,"")</f>
        <v/>
      </c>
      <c r="R185" s="319">
        <f>IF(ISNUMBER(SEARCH("목1",$H185)),1,"")</f>
        <v/>
      </c>
      <c r="S185" s="319">
        <f>IF(OR(ISNUMBER(SEARCH("목2",$H185)),ISNUMBER(SEARCH("목1.2",$H185))),1,"")</f>
        <v/>
      </c>
      <c r="T185" s="319">
        <f>IF(OR(ISNUMBER(SEARCH("목3",$H185)),ISNUMBER(SEARCH("목1.3",$H185)),ISNUMBER(SEARCH("목2.3",$H185)),ISNUMBER(SEARCH("목1.2.3",$H185))),1,"")</f>
        <v/>
      </c>
      <c r="U185" s="319">
        <f>IF(ISNUMBER(SEARCH("금1",$H185)),1,"")</f>
        <v/>
      </c>
      <c r="V185" s="319">
        <f>IF(OR(ISNUMBER(SEARCH("금2",$H185)),ISNUMBER(SEARCH("금1.2",$H185))),1,"")</f>
        <v/>
      </c>
      <c r="W185" s="319">
        <f>IF(OR(ISNUMBER(SEARCH("금3",$H185)),ISNUMBER(SEARCH("금1.3",$H185)),ISNUMBER(SEARCH("금2.3",$H185)),ISNUMBER(SEARCH("금1.2.3",$H185))),1,"")</f>
        <v/>
      </c>
      <c r="X185" s="319">
        <f>IF(ISNUMBER(SEARCH("토1",$H185)),1,"")</f>
        <v/>
      </c>
      <c r="Y185" s="319">
        <f>IF(OR(ISNUMBER(SEARCH("토2",$H185)),ISNUMBER(SEARCH("토1.2",$H185))),1,"")</f>
        <v/>
      </c>
      <c r="Z185" s="319">
        <f>IF(OR(ISNUMBER(SEARCH("토3",$H185)),ISNUMBER(SEARCH("토1.3",$H185)),ISNUMBER(SEARCH("토2.3",$H185)),ISNUMBER(SEARCH("토1.2.3",$H185))),1,"")</f>
        <v/>
      </c>
      <c r="AA185" s="319">
        <f>IF(ISNUMBER(SEARCH("일1",$H185)),1,"")</f>
        <v/>
      </c>
      <c r="AB185" s="319">
        <f>IF(OR(ISNUMBER(SEARCH("일2",$H185)),ISNUMBER(SEARCH("일1.2",$H185))),1,"")</f>
        <v/>
      </c>
      <c r="AC185" s="319">
        <f>IF(OR(ISNUMBER(SEARCH("일3",$H185)),ISNUMBER(SEARCH("일1.3",$H185)),ISNUMBER(SEARCH("일2.3",$H185)),ISNUMBER(SEARCH("일1.2.3",$H185))),1,"")</f>
        <v/>
      </c>
      <c r="AD185" s="319">
        <f>SUM(I185:AC185)</f>
        <v/>
      </c>
      <c r="AE185" s="323" t="n"/>
    </row>
    <row r="186" ht="24" customHeight="1">
      <c r="A186" s="168" t="n"/>
      <c r="B186" s="319" t="n"/>
      <c r="C186" s="319" t="n"/>
      <c r="D186" s="319" t="n"/>
      <c r="E186" s="341" t="n"/>
      <c r="F186" s="341" t="n"/>
      <c r="G186" s="342" t="n"/>
      <c r="H186" s="322" t="n"/>
      <c r="I186" s="319">
        <f>IF(ISNUMBER(SEARCH("월1",$H186)),1,"")</f>
        <v/>
      </c>
      <c r="J186" s="319">
        <f>IF(OR(ISNUMBER(SEARCH("월2",$H186)),ISNUMBER(SEARCH("월1.2",$H186))),1,"")</f>
        <v/>
      </c>
      <c r="K186" s="319">
        <f>IF(OR(ISNUMBER(SEARCH("월3",$H186)),ISNUMBER(SEARCH("월1.3",$H186)),ISNUMBER(SEARCH("월2.3",$H186)),ISNUMBER(SEARCH("월1.2.3",$H186))),1,"")</f>
        <v/>
      </c>
      <c r="L186" s="319">
        <f>IF(ISNUMBER(SEARCH("화1",$H186)),1,"")</f>
        <v/>
      </c>
      <c r="M186" s="319">
        <f>IF(OR(ISNUMBER(SEARCH("화2",$H186)),ISNUMBER(SEARCH("화1.2",$H186))),1,"")</f>
        <v/>
      </c>
      <c r="N186" s="319">
        <f>IF(OR(ISNUMBER(SEARCH("화3",$H186)),ISNUMBER(SEARCH("화1.3",$H186)),ISNUMBER(SEARCH("화2.3",$H186)),ISNUMBER(SEARCH("화1.2.3",$H186))),1,"")</f>
        <v/>
      </c>
      <c r="O186" s="319">
        <f>IF(ISNUMBER(SEARCH("수1",$H186)),1,"")</f>
        <v/>
      </c>
      <c r="P186" s="319">
        <f>IF(OR(ISNUMBER(SEARCH("수2",$H186)),ISNUMBER(SEARCH("수1.2",$H186))),1,"")</f>
        <v/>
      </c>
      <c r="Q186" s="319">
        <f>IF(OR(ISNUMBER(SEARCH("수3",$H186)),ISNUMBER(SEARCH("수1.3",$H186)),ISNUMBER(SEARCH("수2.3",$H186)),ISNUMBER(SEARCH("수1.2.3",$H186))),1,"")</f>
        <v/>
      </c>
      <c r="R186" s="319">
        <f>IF(ISNUMBER(SEARCH("목1",$H186)),1,"")</f>
        <v/>
      </c>
      <c r="S186" s="319">
        <f>IF(OR(ISNUMBER(SEARCH("목2",$H186)),ISNUMBER(SEARCH("목1.2",$H186))),1,"")</f>
        <v/>
      </c>
      <c r="T186" s="319">
        <f>IF(OR(ISNUMBER(SEARCH("목3",$H186)),ISNUMBER(SEARCH("목1.3",$H186)),ISNUMBER(SEARCH("목2.3",$H186)),ISNUMBER(SEARCH("목1.2.3",$H186))),1,"")</f>
        <v/>
      </c>
      <c r="U186" s="319">
        <f>IF(ISNUMBER(SEARCH("금1",$H186)),1,"")</f>
        <v/>
      </c>
      <c r="V186" s="319">
        <f>IF(OR(ISNUMBER(SEARCH("금2",$H186)),ISNUMBER(SEARCH("금1.2",$H186))),1,"")</f>
        <v/>
      </c>
      <c r="W186" s="319">
        <f>IF(OR(ISNUMBER(SEARCH("금3",$H186)),ISNUMBER(SEARCH("금1.3",$H186)),ISNUMBER(SEARCH("금2.3",$H186)),ISNUMBER(SEARCH("금1.2.3",$H186))),1,"")</f>
        <v/>
      </c>
      <c r="X186" s="319">
        <f>IF(ISNUMBER(SEARCH("토1",$H186)),1,"")</f>
        <v/>
      </c>
      <c r="Y186" s="319">
        <f>IF(OR(ISNUMBER(SEARCH("토2",$H186)),ISNUMBER(SEARCH("토1.2",$H186))),1,"")</f>
        <v/>
      </c>
      <c r="Z186" s="319">
        <f>IF(OR(ISNUMBER(SEARCH("토3",$H186)),ISNUMBER(SEARCH("토1.3",$H186)),ISNUMBER(SEARCH("토2.3",$H186)),ISNUMBER(SEARCH("토1.2.3",$H186))),1,"")</f>
        <v/>
      </c>
      <c r="AA186" s="319">
        <f>IF(ISNUMBER(SEARCH("일1",$H186)),1,"")</f>
        <v/>
      </c>
      <c r="AB186" s="319">
        <f>IF(OR(ISNUMBER(SEARCH("일2",$H186)),ISNUMBER(SEARCH("일1.2",$H186))),1,"")</f>
        <v/>
      </c>
      <c r="AC186" s="319">
        <f>IF(OR(ISNUMBER(SEARCH("일3",$H186)),ISNUMBER(SEARCH("일1.3",$H186)),ISNUMBER(SEARCH("일2.3",$H186)),ISNUMBER(SEARCH("일1.2.3",$H186))),1,"")</f>
        <v/>
      </c>
      <c r="AD186" s="319">
        <f>SUM(I186:AC186)</f>
        <v/>
      </c>
      <c r="AE186" s="323" t="n"/>
    </row>
    <row r="187" ht="24" customHeight="1">
      <c r="A187" s="168" t="n"/>
      <c r="B187" s="319" t="n"/>
      <c r="C187" s="319" t="n"/>
      <c r="D187" s="319" t="n"/>
      <c r="E187" s="341" t="n"/>
      <c r="F187" s="341" t="n"/>
      <c r="G187" s="342" t="n"/>
      <c r="H187" s="322" t="n"/>
      <c r="I187" s="319">
        <f>IF(ISNUMBER(SEARCH("월1",$H187)),1,"")</f>
        <v/>
      </c>
      <c r="J187" s="319">
        <f>IF(OR(ISNUMBER(SEARCH("월2",$H187)),ISNUMBER(SEARCH("월1.2",$H187))),1,"")</f>
        <v/>
      </c>
      <c r="K187" s="319">
        <f>IF(OR(ISNUMBER(SEARCH("월3",$H187)),ISNUMBER(SEARCH("월1.3",$H187)),ISNUMBER(SEARCH("월2.3",$H187)),ISNUMBER(SEARCH("월1.2.3",$H187))),1,"")</f>
        <v/>
      </c>
      <c r="L187" s="319">
        <f>IF(ISNUMBER(SEARCH("화1",$H187)),1,"")</f>
        <v/>
      </c>
      <c r="M187" s="319">
        <f>IF(OR(ISNUMBER(SEARCH("화2",$H187)),ISNUMBER(SEARCH("화1.2",$H187))),1,"")</f>
        <v/>
      </c>
      <c r="N187" s="319">
        <f>IF(OR(ISNUMBER(SEARCH("화3",$H187)),ISNUMBER(SEARCH("화1.3",$H187)),ISNUMBER(SEARCH("화2.3",$H187)),ISNUMBER(SEARCH("화1.2.3",$H187))),1,"")</f>
        <v/>
      </c>
      <c r="O187" s="319">
        <f>IF(ISNUMBER(SEARCH("수1",$H187)),1,"")</f>
        <v/>
      </c>
      <c r="P187" s="319">
        <f>IF(OR(ISNUMBER(SEARCH("수2",$H187)),ISNUMBER(SEARCH("수1.2",$H187))),1,"")</f>
        <v/>
      </c>
      <c r="Q187" s="319">
        <f>IF(OR(ISNUMBER(SEARCH("수3",$H187)),ISNUMBER(SEARCH("수1.3",$H187)),ISNUMBER(SEARCH("수2.3",$H187)),ISNUMBER(SEARCH("수1.2.3",$H187))),1,"")</f>
        <v/>
      </c>
      <c r="R187" s="319">
        <f>IF(ISNUMBER(SEARCH("목1",$H187)),1,"")</f>
        <v/>
      </c>
      <c r="S187" s="319">
        <f>IF(OR(ISNUMBER(SEARCH("목2",$H187)),ISNUMBER(SEARCH("목1.2",$H187))),1,"")</f>
        <v/>
      </c>
      <c r="T187" s="319">
        <f>IF(OR(ISNUMBER(SEARCH("목3",$H187)),ISNUMBER(SEARCH("목1.3",$H187)),ISNUMBER(SEARCH("목2.3",$H187)),ISNUMBER(SEARCH("목1.2.3",$H187))),1,"")</f>
        <v/>
      </c>
      <c r="U187" s="319">
        <f>IF(ISNUMBER(SEARCH("금1",$H187)),1,"")</f>
        <v/>
      </c>
      <c r="V187" s="319">
        <f>IF(OR(ISNUMBER(SEARCH("금2",$H187)),ISNUMBER(SEARCH("금1.2",$H187))),1,"")</f>
        <v/>
      </c>
      <c r="W187" s="319">
        <f>IF(OR(ISNUMBER(SEARCH("금3",$H187)),ISNUMBER(SEARCH("금1.3",$H187)),ISNUMBER(SEARCH("금2.3",$H187)),ISNUMBER(SEARCH("금1.2.3",$H187))),1,"")</f>
        <v/>
      </c>
      <c r="X187" s="319">
        <f>IF(ISNUMBER(SEARCH("토1",$H187)),1,"")</f>
        <v/>
      </c>
      <c r="Y187" s="319">
        <f>IF(OR(ISNUMBER(SEARCH("토2",$H187)),ISNUMBER(SEARCH("토1.2",$H187))),1,"")</f>
        <v/>
      </c>
      <c r="Z187" s="319">
        <f>IF(OR(ISNUMBER(SEARCH("토3",$H187)),ISNUMBER(SEARCH("토1.3",$H187)),ISNUMBER(SEARCH("토2.3",$H187)),ISNUMBER(SEARCH("토1.2.3",$H187))),1,"")</f>
        <v/>
      </c>
      <c r="AA187" s="319">
        <f>IF(ISNUMBER(SEARCH("일1",$H187)),1,"")</f>
        <v/>
      </c>
      <c r="AB187" s="319">
        <f>IF(OR(ISNUMBER(SEARCH("일2",$H187)),ISNUMBER(SEARCH("일1.2",$H187))),1,"")</f>
        <v/>
      </c>
      <c r="AC187" s="319">
        <f>IF(OR(ISNUMBER(SEARCH("일3",$H187)),ISNUMBER(SEARCH("일1.3",$H187)),ISNUMBER(SEARCH("일2.3",$H187)),ISNUMBER(SEARCH("일1.2.3",$H187))),1,"")</f>
        <v/>
      </c>
      <c r="AD187" s="319">
        <f>SUM(I187:AC187)</f>
        <v/>
      </c>
      <c r="AE187" s="323" t="n"/>
    </row>
    <row r="188" ht="24" customHeight="1">
      <c r="A188" s="168" t="n"/>
      <c r="B188" s="319" t="n"/>
      <c r="C188" s="319" t="n"/>
      <c r="D188" s="319" t="n"/>
      <c r="E188" s="341" t="n"/>
      <c r="F188" s="341" t="n"/>
      <c r="G188" s="342" t="n"/>
      <c r="H188" s="322" t="n"/>
      <c r="I188" s="319">
        <f>IF(ISNUMBER(SEARCH("월1",$H188)),1,"")</f>
        <v/>
      </c>
      <c r="J188" s="319">
        <f>IF(OR(ISNUMBER(SEARCH("월2",$H188)),ISNUMBER(SEARCH("월1.2",$H188))),1,"")</f>
        <v/>
      </c>
      <c r="K188" s="319">
        <f>IF(OR(ISNUMBER(SEARCH("월3",$H188)),ISNUMBER(SEARCH("월1.3",$H188)),ISNUMBER(SEARCH("월2.3",$H188)),ISNUMBER(SEARCH("월1.2.3",$H188))),1,"")</f>
        <v/>
      </c>
      <c r="L188" s="319">
        <f>IF(ISNUMBER(SEARCH("화1",$H188)),1,"")</f>
        <v/>
      </c>
      <c r="M188" s="319">
        <f>IF(OR(ISNUMBER(SEARCH("화2",$H188)),ISNUMBER(SEARCH("화1.2",$H188))),1,"")</f>
        <v/>
      </c>
      <c r="N188" s="319">
        <f>IF(OR(ISNUMBER(SEARCH("화3",$H188)),ISNUMBER(SEARCH("화1.3",$H188)),ISNUMBER(SEARCH("화2.3",$H188)),ISNUMBER(SEARCH("화1.2.3",$H188))),1,"")</f>
        <v/>
      </c>
      <c r="O188" s="319">
        <f>IF(ISNUMBER(SEARCH("수1",$H188)),1,"")</f>
        <v/>
      </c>
      <c r="P188" s="319">
        <f>IF(OR(ISNUMBER(SEARCH("수2",$H188)),ISNUMBER(SEARCH("수1.2",$H188))),1,"")</f>
        <v/>
      </c>
      <c r="Q188" s="319">
        <f>IF(OR(ISNUMBER(SEARCH("수3",$H188)),ISNUMBER(SEARCH("수1.3",$H188)),ISNUMBER(SEARCH("수2.3",$H188)),ISNUMBER(SEARCH("수1.2.3",$H188))),1,"")</f>
        <v/>
      </c>
      <c r="R188" s="319">
        <f>IF(ISNUMBER(SEARCH("목1",$H188)),1,"")</f>
        <v/>
      </c>
      <c r="S188" s="319">
        <f>IF(OR(ISNUMBER(SEARCH("목2",$H188)),ISNUMBER(SEARCH("목1.2",$H188))),1,"")</f>
        <v/>
      </c>
      <c r="T188" s="319">
        <f>IF(OR(ISNUMBER(SEARCH("목3",$H188)),ISNUMBER(SEARCH("목1.3",$H188)),ISNUMBER(SEARCH("목2.3",$H188)),ISNUMBER(SEARCH("목1.2.3",$H188))),1,"")</f>
        <v/>
      </c>
      <c r="U188" s="319">
        <f>IF(ISNUMBER(SEARCH("금1",$H188)),1,"")</f>
        <v/>
      </c>
      <c r="V188" s="319">
        <f>IF(OR(ISNUMBER(SEARCH("금2",$H188)),ISNUMBER(SEARCH("금1.2",$H188))),1,"")</f>
        <v/>
      </c>
      <c r="W188" s="319">
        <f>IF(OR(ISNUMBER(SEARCH("금3",$H188)),ISNUMBER(SEARCH("금1.3",$H188)),ISNUMBER(SEARCH("금2.3",$H188)),ISNUMBER(SEARCH("금1.2.3",$H188))),1,"")</f>
        <v/>
      </c>
      <c r="X188" s="319">
        <f>IF(ISNUMBER(SEARCH("토1",$H188)),1,"")</f>
        <v/>
      </c>
      <c r="Y188" s="319">
        <f>IF(OR(ISNUMBER(SEARCH("토2",$H188)),ISNUMBER(SEARCH("토1.2",$H188))),1,"")</f>
        <v/>
      </c>
      <c r="Z188" s="319">
        <f>IF(OR(ISNUMBER(SEARCH("토3",$H188)),ISNUMBER(SEARCH("토1.3",$H188)),ISNUMBER(SEARCH("토2.3",$H188)),ISNUMBER(SEARCH("토1.2.3",$H188))),1,"")</f>
        <v/>
      </c>
      <c r="AA188" s="319">
        <f>IF(ISNUMBER(SEARCH("일1",$H188)),1,"")</f>
        <v/>
      </c>
      <c r="AB188" s="319">
        <f>IF(OR(ISNUMBER(SEARCH("일2",$H188)),ISNUMBER(SEARCH("일1.2",$H188))),1,"")</f>
        <v/>
      </c>
      <c r="AC188" s="319">
        <f>IF(OR(ISNUMBER(SEARCH("일3",$H188)),ISNUMBER(SEARCH("일1.3",$H188)),ISNUMBER(SEARCH("일2.3",$H188)),ISNUMBER(SEARCH("일1.2.3",$H188))),1,"")</f>
        <v/>
      </c>
      <c r="AD188" s="319">
        <f>SUM(I188:AC188)</f>
        <v/>
      </c>
      <c r="AE188" s="323" t="n"/>
    </row>
    <row r="189" ht="24" customHeight="1">
      <c r="A189" s="168" t="n"/>
      <c r="B189" s="319" t="n"/>
      <c r="C189" s="319" t="n"/>
      <c r="D189" s="319" t="n"/>
      <c r="E189" s="341" t="n"/>
      <c r="F189" s="341" t="n"/>
      <c r="G189" s="342" t="n"/>
      <c r="H189" s="322" t="n"/>
      <c r="I189" s="319">
        <f>IF(ISNUMBER(SEARCH("월1",$H189)),1,"")</f>
        <v/>
      </c>
      <c r="J189" s="319">
        <f>IF(OR(ISNUMBER(SEARCH("월2",$H189)),ISNUMBER(SEARCH("월1.2",$H189))),1,"")</f>
        <v/>
      </c>
      <c r="K189" s="319">
        <f>IF(OR(ISNUMBER(SEARCH("월3",$H189)),ISNUMBER(SEARCH("월1.3",$H189)),ISNUMBER(SEARCH("월2.3",$H189)),ISNUMBER(SEARCH("월1.2.3",$H189))),1,"")</f>
        <v/>
      </c>
      <c r="L189" s="319">
        <f>IF(ISNUMBER(SEARCH("화1",$H189)),1,"")</f>
        <v/>
      </c>
      <c r="M189" s="319">
        <f>IF(OR(ISNUMBER(SEARCH("화2",$H189)),ISNUMBER(SEARCH("화1.2",$H189))),1,"")</f>
        <v/>
      </c>
      <c r="N189" s="319">
        <f>IF(OR(ISNUMBER(SEARCH("화3",$H189)),ISNUMBER(SEARCH("화1.3",$H189)),ISNUMBER(SEARCH("화2.3",$H189)),ISNUMBER(SEARCH("화1.2.3",$H189))),1,"")</f>
        <v/>
      </c>
      <c r="O189" s="319">
        <f>IF(ISNUMBER(SEARCH("수1",$H189)),1,"")</f>
        <v/>
      </c>
      <c r="P189" s="319">
        <f>IF(OR(ISNUMBER(SEARCH("수2",$H189)),ISNUMBER(SEARCH("수1.2",$H189))),1,"")</f>
        <v/>
      </c>
      <c r="Q189" s="319">
        <f>IF(OR(ISNUMBER(SEARCH("수3",$H189)),ISNUMBER(SEARCH("수1.3",$H189)),ISNUMBER(SEARCH("수2.3",$H189)),ISNUMBER(SEARCH("수1.2.3",$H189))),1,"")</f>
        <v/>
      </c>
      <c r="R189" s="319">
        <f>IF(ISNUMBER(SEARCH("목1",$H189)),1,"")</f>
        <v/>
      </c>
      <c r="S189" s="319">
        <f>IF(OR(ISNUMBER(SEARCH("목2",$H189)),ISNUMBER(SEARCH("목1.2",$H189))),1,"")</f>
        <v/>
      </c>
      <c r="T189" s="319">
        <f>IF(OR(ISNUMBER(SEARCH("목3",$H189)),ISNUMBER(SEARCH("목1.3",$H189)),ISNUMBER(SEARCH("목2.3",$H189)),ISNUMBER(SEARCH("목1.2.3",$H189))),1,"")</f>
        <v/>
      </c>
      <c r="U189" s="319">
        <f>IF(ISNUMBER(SEARCH("금1",$H189)),1,"")</f>
        <v/>
      </c>
      <c r="V189" s="319">
        <f>IF(OR(ISNUMBER(SEARCH("금2",$H189)),ISNUMBER(SEARCH("금1.2",$H189))),1,"")</f>
        <v/>
      </c>
      <c r="W189" s="319">
        <f>IF(OR(ISNUMBER(SEARCH("금3",$H189)),ISNUMBER(SEARCH("금1.3",$H189)),ISNUMBER(SEARCH("금2.3",$H189)),ISNUMBER(SEARCH("금1.2.3",$H189))),1,"")</f>
        <v/>
      </c>
      <c r="X189" s="319">
        <f>IF(ISNUMBER(SEARCH("토1",$H189)),1,"")</f>
        <v/>
      </c>
      <c r="Y189" s="319">
        <f>IF(OR(ISNUMBER(SEARCH("토2",$H189)),ISNUMBER(SEARCH("토1.2",$H189))),1,"")</f>
        <v/>
      </c>
      <c r="Z189" s="319">
        <f>IF(OR(ISNUMBER(SEARCH("토3",$H189)),ISNUMBER(SEARCH("토1.3",$H189)),ISNUMBER(SEARCH("토2.3",$H189)),ISNUMBER(SEARCH("토1.2.3",$H189))),1,"")</f>
        <v/>
      </c>
      <c r="AA189" s="319">
        <f>IF(ISNUMBER(SEARCH("일1",$H189)),1,"")</f>
        <v/>
      </c>
      <c r="AB189" s="319">
        <f>IF(OR(ISNUMBER(SEARCH("일2",$H189)),ISNUMBER(SEARCH("일1.2",$H189))),1,"")</f>
        <v/>
      </c>
      <c r="AC189" s="319">
        <f>IF(OR(ISNUMBER(SEARCH("일3",$H189)),ISNUMBER(SEARCH("일1.3",$H189)),ISNUMBER(SEARCH("일2.3",$H189)),ISNUMBER(SEARCH("일1.2.3",$H189))),1,"")</f>
        <v/>
      </c>
      <c r="AD189" s="319">
        <f>SUM(I189:AC189)</f>
        <v/>
      </c>
      <c r="AE189" s="323" t="n"/>
    </row>
    <row r="190" ht="24" customHeight="1">
      <c r="A190" s="168" t="n"/>
      <c r="B190" s="319" t="n"/>
      <c r="C190" s="319" t="n"/>
      <c r="D190" s="319" t="n"/>
      <c r="E190" s="341" t="n"/>
      <c r="F190" s="341" t="n"/>
      <c r="G190" s="342" t="n"/>
      <c r="H190" s="322" t="n"/>
      <c r="I190" s="319">
        <f>IF(ISNUMBER(SEARCH("월1",$H190)),1,"")</f>
        <v/>
      </c>
      <c r="J190" s="319">
        <f>IF(OR(ISNUMBER(SEARCH("월2",$H190)),ISNUMBER(SEARCH("월1.2",$H190))),1,"")</f>
        <v/>
      </c>
      <c r="K190" s="319">
        <f>IF(OR(ISNUMBER(SEARCH("월3",$H190)),ISNUMBER(SEARCH("월1.3",$H190)),ISNUMBER(SEARCH("월2.3",$H190)),ISNUMBER(SEARCH("월1.2.3",$H190))),1,"")</f>
        <v/>
      </c>
      <c r="L190" s="319">
        <f>IF(ISNUMBER(SEARCH("화1",$H190)),1,"")</f>
        <v/>
      </c>
      <c r="M190" s="319">
        <f>IF(OR(ISNUMBER(SEARCH("화2",$H190)),ISNUMBER(SEARCH("화1.2",$H190))),1,"")</f>
        <v/>
      </c>
      <c r="N190" s="319">
        <f>IF(OR(ISNUMBER(SEARCH("화3",$H190)),ISNUMBER(SEARCH("화1.3",$H190)),ISNUMBER(SEARCH("화2.3",$H190)),ISNUMBER(SEARCH("화1.2.3",$H190))),1,"")</f>
        <v/>
      </c>
      <c r="O190" s="319">
        <f>IF(ISNUMBER(SEARCH("수1",$H190)),1,"")</f>
        <v/>
      </c>
      <c r="P190" s="319">
        <f>IF(OR(ISNUMBER(SEARCH("수2",$H190)),ISNUMBER(SEARCH("수1.2",$H190))),1,"")</f>
        <v/>
      </c>
      <c r="Q190" s="319">
        <f>IF(OR(ISNUMBER(SEARCH("수3",$H190)),ISNUMBER(SEARCH("수1.3",$H190)),ISNUMBER(SEARCH("수2.3",$H190)),ISNUMBER(SEARCH("수1.2.3",$H190))),1,"")</f>
        <v/>
      </c>
      <c r="R190" s="319">
        <f>IF(ISNUMBER(SEARCH("목1",$H190)),1,"")</f>
        <v/>
      </c>
      <c r="S190" s="319">
        <f>IF(OR(ISNUMBER(SEARCH("목2",$H190)),ISNUMBER(SEARCH("목1.2",$H190))),1,"")</f>
        <v/>
      </c>
      <c r="T190" s="319">
        <f>IF(OR(ISNUMBER(SEARCH("목3",$H190)),ISNUMBER(SEARCH("목1.3",$H190)),ISNUMBER(SEARCH("목2.3",$H190)),ISNUMBER(SEARCH("목1.2.3",$H190))),1,"")</f>
        <v/>
      </c>
      <c r="U190" s="319">
        <f>IF(ISNUMBER(SEARCH("금1",$H190)),1,"")</f>
        <v/>
      </c>
      <c r="V190" s="319">
        <f>IF(OR(ISNUMBER(SEARCH("금2",$H190)),ISNUMBER(SEARCH("금1.2",$H190))),1,"")</f>
        <v/>
      </c>
      <c r="W190" s="319">
        <f>IF(OR(ISNUMBER(SEARCH("금3",$H190)),ISNUMBER(SEARCH("금1.3",$H190)),ISNUMBER(SEARCH("금2.3",$H190)),ISNUMBER(SEARCH("금1.2.3",$H190))),1,"")</f>
        <v/>
      </c>
      <c r="X190" s="319">
        <f>IF(ISNUMBER(SEARCH("토1",$H190)),1,"")</f>
        <v/>
      </c>
      <c r="Y190" s="319">
        <f>IF(OR(ISNUMBER(SEARCH("토2",$H190)),ISNUMBER(SEARCH("토1.2",$H190))),1,"")</f>
        <v/>
      </c>
      <c r="Z190" s="319">
        <f>IF(OR(ISNUMBER(SEARCH("토3",$H190)),ISNUMBER(SEARCH("토1.3",$H190)),ISNUMBER(SEARCH("토2.3",$H190)),ISNUMBER(SEARCH("토1.2.3",$H190))),1,"")</f>
        <v/>
      </c>
      <c r="AA190" s="319">
        <f>IF(ISNUMBER(SEARCH("일1",$H190)),1,"")</f>
        <v/>
      </c>
      <c r="AB190" s="319">
        <f>IF(OR(ISNUMBER(SEARCH("일2",$H190)),ISNUMBER(SEARCH("일1.2",$H190))),1,"")</f>
        <v/>
      </c>
      <c r="AC190" s="319">
        <f>IF(OR(ISNUMBER(SEARCH("일3",$H190)),ISNUMBER(SEARCH("일1.3",$H190)),ISNUMBER(SEARCH("일2.3",$H190)),ISNUMBER(SEARCH("일1.2.3",$H190))),1,"")</f>
        <v/>
      </c>
      <c r="AD190" s="319">
        <f>SUM(I190:AC190)</f>
        <v/>
      </c>
      <c r="AE190" s="323" t="n"/>
    </row>
    <row r="191" ht="24" customHeight="1">
      <c r="A191" s="168" t="n"/>
      <c r="B191" s="319" t="n"/>
      <c r="C191" s="319" t="n"/>
      <c r="D191" s="319" t="n"/>
      <c r="E191" s="341" t="n"/>
      <c r="F191" s="341" t="n"/>
      <c r="G191" s="342" t="n"/>
      <c r="H191" s="322" t="n"/>
      <c r="I191" s="319">
        <f>IF(ISNUMBER(SEARCH("월1",$H191)),1,"")</f>
        <v/>
      </c>
      <c r="J191" s="319">
        <f>IF(OR(ISNUMBER(SEARCH("월2",$H191)),ISNUMBER(SEARCH("월1.2",$H191))),1,"")</f>
        <v/>
      </c>
      <c r="K191" s="319">
        <f>IF(OR(ISNUMBER(SEARCH("월3",$H191)),ISNUMBER(SEARCH("월1.3",$H191)),ISNUMBER(SEARCH("월2.3",$H191)),ISNUMBER(SEARCH("월1.2.3",$H191))),1,"")</f>
        <v/>
      </c>
      <c r="L191" s="319">
        <f>IF(ISNUMBER(SEARCH("화1",$H191)),1,"")</f>
        <v/>
      </c>
      <c r="M191" s="319">
        <f>IF(OR(ISNUMBER(SEARCH("화2",$H191)),ISNUMBER(SEARCH("화1.2",$H191))),1,"")</f>
        <v/>
      </c>
      <c r="N191" s="319">
        <f>IF(OR(ISNUMBER(SEARCH("화3",$H191)),ISNUMBER(SEARCH("화1.3",$H191)),ISNUMBER(SEARCH("화2.3",$H191)),ISNUMBER(SEARCH("화1.2.3",$H191))),1,"")</f>
        <v/>
      </c>
      <c r="O191" s="319">
        <f>IF(ISNUMBER(SEARCH("수1",$H191)),1,"")</f>
        <v/>
      </c>
      <c r="P191" s="319">
        <f>IF(OR(ISNUMBER(SEARCH("수2",$H191)),ISNUMBER(SEARCH("수1.2",$H191))),1,"")</f>
        <v/>
      </c>
      <c r="Q191" s="319">
        <f>IF(OR(ISNUMBER(SEARCH("수3",$H191)),ISNUMBER(SEARCH("수1.3",$H191)),ISNUMBER(SEARCH("수2.3",$H191)),ISNUMBER(SEARCH("수1.2.3",$H191))),1,"")</f>
        <v/>
      </c>
      <c r="R191" s="319">
        <f>IF(ISNUMBER(SEARCH("목1",$H191)),1,"")</f>
        <v/>
      </c>
      <c r="S191" s="319">
        <f>IF(OR(ISNUMBER(SEARCH("목2",$H191)),ISNUMBER(SEARCH("목1.2",$H191))),1,"")</f>
        <v/>
      </c>
      <c r="T191" s="319">
        <f>IF(OR(ISNUMBER(SEARCH("목3",$H191)),ISNUMBER(SEARCH("목1.3",$H191)),ISNUMBER(SEARCH("목2.3",$H191)),ISNUMBER(SEARCH("목1.2.3",$H191))),1,"")</f>
        <v/>
      </c>
      <c r="U191" s="319">
        <f>IF(ISNUMBER(SEARCH("금1",$H191)),1,"")</f>
        <v/>
      </c>
      <c r="V191" s="319">
        <f>IF(OR(ISNUMBER(SEARCH("금2",$H191)),ISNUMBER(SEARCH("금1.2",$H191))),1,"")</f>
        <v/>
      </c>
      <c r="W191" s="319">
        <f>IF(OR(ISNUMBER(SEARCH("금3",$H191)),ISNUMBER(SEARCH("금1.3",$H191)),ISNUMBER(SEARCH("금2.3",$H191)),ISNUMBER(SEARCH("금1.2.3",$H191))),1,"")</f>
        <v/>
      </c>
      <c r="X191" s="319">
        <f>IF(ISNUMBER(SEARCH("토1",$H191)),1,"")</f>
        <v/>
      </c>
      <c r="Y191" s="319">
        <f>IF(OR(ISNUMBER(SEARCH("토2",$H191)),ISNUMBER(SEARCH("토1.2",$H191))),1,"")</f>
        <v/>
      </c>
      <c r="Z191" s="319">
        <f>IF(OR(ISNUMBER(SEARCH("토3",$H191)),ISNUMBER(SEARCH("토1.3",$H191)),ISNUMBER(SEARCH("토2.3",$H191)),ISNUMBER(SEARCH("토1.2.3",$H191))),1,"")</f>
        <v/>
      </c>
      <c r="AA191" s="319">
        <f>IF(ISNUMBER(SEARCH("일1",$H191)),1,"")</f>
        <v/>
      </c>
      <c r="AB191" s="319">
        <f>IF(OR(ISNUMBER(SEARCH("일2",$H191)),ISNUMBER(SEARCH("일1.2",$H191))),1,"")</f>
        <v/>
      </c>
      <c r="AC191" s="319">
        <f>IF(OR(ISNUMBER(SEARCH("일3",$H191)),ISNUMBER(SEARCH("일1.3",$H191)),ISNUMBER(SEARCH("일2.3",$H191)),ISNUMBER(SEARCH("일1.2.3",$H191))),1,"")</f>
        <v/>
      </c>
      <c r="AD191" s="319">
        <f>SUM(I191:AC191)</f>
        <v/>
      </c>
      <c r="AE191" s="323" t="n"/>
    </row>
    <row r="192" ht="24" customHeight="1">
      <c r="A192" s="168" t="n"/>
      <c r="B192" s="319" t="n"/>
      <c r="C192" s="319" t="n"/>
      <c r="D192" s="319" t="n"/>
      <c r="E192" s="341" t="n"/>
      <c r="F192" s="341" t="n"/>
      <c r="G192" s="342" t="n"/>
      <c r="H192" s="322" t="n"/>
      <c r="I192" s="319">
        <f>IF(ISNUMBER(SEARCH("월1",$H192)),1,"")</f>
        <v/>
      </c>
      <c r="J192" s="319">
        <f>IF(OR(ISNUMBER(SEARCH("월2",$H192)),ISNUMBER(SEARCH("월1.2",$H192))),1,"")</f>
        <v/>
      </c>
      <c r="K192" s="319">
        <f>IF(OR(ISNUMBER(SEARCH("월3",$H192)),ISNUMBER(SEARCH("월1.3",$H192)),ISNUMBER(SEARCH("월2.3",$H192)),ISNUMBER(SEARCH("월1.2.3",$H192))),1,"")</f>
        <v/>
      </c>
      <c r="L192" s="319">
        <f>IF(ISNUMBER(SEARCH("화1",$H192)),1,"")</f>
        <v/>
      </c>
      <c r="M192" s="319">
        <f>IF(OR(ISNUMBER(SEARCH("화2",$H192)),ISNUMBER(SEARCH("화1.2",$H192))),1,"")</f>
        <v/>
      </c>
      <c r="N192" s="319">
        <f>IF(OR(ISNUMBER(SEARCH("화3",$H192)),ISNUMBER(SEARCH("화1.3",$H192)),ISNUMBER(SEARCH("화2.3",$H192)),ISNUMBER(SEARCH("화1.2.3",$H192))),1,"")</f>
        <v/>
      </c>
      <c r="O192" s="319">
        <f>IF(ISNUMBER(SEARCH("수1",$H192)),1,"")</f>
        <v/>
      </c>
      <c r="P192" s="319">
        <f>IF(OR(ISNUMBER(SEARCH("수2",$H192)),ISNUMBER(SEARCH("수1.2",$H192))),1,"")</f>
        <v/>
      </c>
      <c r="Q192" s="319">
        <f>IF(OR(ISNUMBER(SEARCH("수3",$H192)),ISNUMBER(SEARCH("수1.3",$H192)),ISNUMBER(SEARCH("수2.3",$H192)),ISNUMBER(SEARCH("수1.2.3",$H192))),1,"")</f>
        <v/>
      </c>
      <c r="R192" s="319">
        <f>IF(ISNUMBER(SEARCH("목1",$H192)),1,"")</f>
        <v/>
      </c>
      <c r="S192" s="319">
        <f>IF(OR(ISNUMBER(SEARCH("목2",$H192)),ISNUMBER(SEARCH("목1.2",$H192))),1,"")</f>
        <v/>
      </c>
      <c r="T192" s="319">
        <f>IF(OR(ISNUMBER(SEARCH("목3",$H192)),ISNUMBER(SEARCH("목1.3",$H192)),ISNUMBER(SEARCH("목2.3",$H192)),ISNUMBER(SEARCH("목1.2.3",$H192))),1,"")</f>
        <v/>
      </c>
      <c r="U192" s="319">
        <f>IF(ISNUMBER(SEARCH("금1",$H192)),1,"")</f>
        <v/>
      </c>
      <c r="V192" s="319">
        <f>IF(OR(ISNUMBER(SEARCH("금2",$H192)),ISNUMBER(SEARCH("금1.2",$H192))),1,"")</f>
        <v/>
      </c>
      <c r="W192" s="319">
        <f>IF(OR(ISNUMBER(SEARCH("금3",$H192)),ISNUMBER(SEARCH("금1.3",$H192)),ISNUMBER(SEARCH("금2.3",$H192)),ISNUMBER(SEARCH("금1.2.3",$H192))),1,"")</f>
        <v/>
      </c>
      <c r="X192" s="319">
        <f>IF(ISNUMBER(SEARCH("토1",$H192)),1,"")</f>
        <v/>
      </c>
      <c r="Y192" s="319">
        <f>IF(OR(ISNUMBER(SEARCH("토2",$H192)),ISNUMBER(SEARCH("토1.2",$H192))),1,"")</f>
        <v/>
      </c>
      <c r="Z192" s="319">
        <f>IF(OR(ISNUMBER(SEARCH("토3",$H192)),ISNUMBER(SEARCH("토1.3",$H192)),ISNUMBER(SEARCH("토2.3",$H192)),ISNUMBER(SEARCH("토1.2.3",$H192))),1,"")</f>
        <v/>
      </c>
      <c r="AA192" s="319">
        <f>IF(ISNUMBER(SEARCH("일1",$H192)),1,"")</f>
        <v/>
      </c>
      <c r="AB192" s="319">
        <f>IF(OR(ISNUMBER(SEARCH("일2",$H192)),ISNUMBER(SEARCH("일1.2",$H192))),1,"")</f>
        <v/>
      </c>
      <c r="AC192" s="319">
        <f>IF(OR(ISNUMBER(SEARCH("일3",$H192)),ISNUMBER(SEARCH("일1.3",$H192)),ISNUMBER(SEARCH("일2.3",$H192)),ISNUMBER(SEARCH("일1.2.3",$H192))),1,"")</f>
        <v/>
      </c>
      <c r="AD192" s="319">
        <f>SUM(I192:AC192)</f>
        <v/>
      </c>
      <c r="AE192" s="323" t="n"/>
    </row>
    <row r="193" ht="24" customHeight="1">
      <c r="A193" s="168" t="n"/>
      <c r="B193" s="319" t="n"/>
      <c r="C193" s="319" t="n"/>
      <c r="D193" s="319" t="n"/>
      <c r="E193" s="341" t="n"/>
      <c r="F193" s="341" t="n"/>
      <c r="G193" s="342" t="n"/>
      <c r="H193" s="322" t="n"/>
      <c r="I193" s="319">
        <f>IF(ISNUMBER(SEARCH("월1",$H193)),1,"")</f>
        <v/>
      </c>
      <c r="J193" s="319">
        <f>IF(OR(ISNUMBER(SEARCH("월2",$H193)),ISNUMBER(SEARCH("월1.2",$H193))),1,"")</f>
        <v/>
      </c>
      <c r="K193" s="319">
        <f>IF(OR(ISNUMBER(SEARCH("월3",$H193)),ISNUMBER(SEARCH("월1.3",$H193)),ISNUMBER(SEARCH("월2.3",$H193)),ISNUMBER(SEARCH("월1.2.3",$H193))),1,"")</f>
        <v/>
      </c>
      <c r="L193" s="319">
        <f>IF(ISNUMBER(SEARCH("화1",$H193)),1,"")</f>
        <v/>
      </c>
      <c r="M193" s="319">
        <f>IF(OR(ISNUMBER(SEARCH("화2",$H193)),ISNUMBER(SEARCH("화1.2",$H193))),1,"")</f>
        <v/>
      </c>
      <c r="N193" s="319">
        <f>IF(OR(ISNUMBER(SEARCH("화3",$H193)),ISNUMBER(SEARCH("화1.3",$H193)),ISNUMBER(SEARCH("화2.3",$H193)),ISNUMBER(SEARCH("화1.2.3",$H193))),1,"")</f>
        <v/>
      </c>
      <c r="O193" s="319">
        <f>IF(ISNUMBER(SEARCH("수1",$H193)),1,"")</f>
        <v/>
      </c>
      <c r="P193" s="319">
        <f>IF(OR(ISNUMBER(SEARCH("수2",$H193)),ISNUMBER(SEARCH("수1.2",$H193))),1,"")</f>
        <v/>
      </c>
      <c r="Q193" s="319">
        <f>IF(OR(ISNUMBER(SEARCH("수3",$H193)),ISNUMBER(SEARCH("수1.3",$H193)),ISNUMBER(SEARCH("수2.3",$H193)),ISNUMBER(SEARCH("수1.2.3",$H193))),1,"")</f>
        <v/>
      </c>
      <c r="R193" s="319">
        <f>IF(ISNUMBER(SEARCH("목1",$H193)),1,"")</f>
        <v/>
      </c>
      <c r="S193" s="319">
        <f>IF(OR(ISNUMBER(SEARCH("목2",$H193)),ISNUMBER(SEARCH("목1.2",$H193))),1,"")</f>
        <v/>
      </c>
      <c r="T193" s="319">
        <f>IF(OR(ISNUMBER(SEARCH("목3",$H193)),ISNUMBER(SEARCH("목1.3",$H193)),ISNUMBER(SEARCH("목2.3",$H193)),ISNUMBER(SEARCH("목1.2.3",$H193))),1,"")</f>
        <v/>
      </c>
      <c r="U193" s="319">
        <f>IF(ISNUMBER(SEARCH("금1",$H193)),1,"")</f>
        <v/>
      </c>
      <c r="V193" s="319">
        <f>IF(OR(ISNUMBER(SEARCH("금2",$H193)),ISNUMBER(SEARCH("금1.2",$H193))),1,"")</f>
        <v/>
      </c>
      <c r="W193" s="319">
        <f>IF(OR(ISNUMBER(SEARCH("금3",$H193)),ISNUMBER(SEARCH("금1.3",$H193)),ISNUMBER(SEARCH("금2.3",$H193)),ISNUMBER(SEARCH("금1.2.3",$H193))),1,"")</f>
        <v/>
      </c>
      <c r="X193" s="319">
        <f>IF(ISNUMBER(SEARCH("토1",$H193)),1,"")</f>
        <v/>
      </c>
      <c r="Y193" s="319">
        <f>IF(OR(ISNUMBER(SEARCH("토2",$H193)),ISNUMBER(SEARCH("토1.2",$H193))),1,"")</f>
        <v/>
      </c>
      <c r="Z193" s="319">
        <f>IF(OR(ISNUMBER(SEARCH("토3",$H193)),ISNUMBER(SEARCH("토1.3",$H193)),ISNUMBER(SEARCH("토2.3",$H193)),ISNUMBER(SEARCH("토1.2.3",$H193))),1,"")</f>
        <v/>
      </c>
      <c r="AA193" s="319">
        <f>IF(ISNUMBER(SEARCH("일1",$H193)),1,"")</f>
        <v/>
      </c>
      <c r="AB193" s="319">
        <f>IF(OR(ISNUMBER(SEARCH("일2",$H193)),ISNUMBER(SEARCH("일1.2",$H193))),1,"")</f>
        <v/>
      </c>
      <c r="AC193" s="319">
        <f>IF(OR(ISNUMBER(SEARCH("일3",$H193)),ISNUMBER(SEARCH("일1.3",$H193)),ISNUMBER(SEARCH("일2.3",$H193)),ISNUMBER(SEARCH("일1.2.3",$H193))),1,"")</f>
        <v/>
      </c>
      <c r="AD193" s="319">
        <f>SUM(I193:AC193)</f>
        <v/>
      </c>
      <c r="AE193" s="323" t="n"/>
    </row>
    <row r="194" ht="24" customHeight="1">
      <c r="A194" s="168" t="n"/>
      <c r="B194" s="319" t="n"/>
      <c r="C194" s="319" t="n"/>
      <c r="D194" s="319" t="n"/>
      <c r="E194" s="341" t="n"/>
      <c r="F194" s="341" t="n"/>
      <c r="G194" s="342" t="n"/>
      <c r="H194" s="322" t="n"/>
      <c r="I194" s="319">
        <f>IF(ISNUMBER(SEARCH("월1",$H194)),1,"")</f>
        <v/>
      </c>
      <c r="J194" s="319">
        <f>IF(OR(ISNUMBER(SEARCH("월2",$H194)),ISNUMBER(SEARCH("월1.2",$H194))),1,"")</f>
        <v/>
      </c>
      <c r="K194" s="319">
        <f>IF(OR(ISNUMBER(SEARCH("월3",$H194)),ISNUMBER(SEARCH("월1.3",$H194)),ISNUMBER(SEARCH("월2.3",$H194)),ISNUMBER(SEARCH("월1.2.3",$H194))),1,"")</f>
        <v/>
      </c>
      <c r="L194" s="319">
        <f>IF(ISNUMBER(SEARCH("화1",$H194)),1,"")</f>
        <v/>
      </c>
      <c r="M194" s="319">
        <f>IF(OR(ISNUMBER(SEARCH("화2",$H194)),ISNUMBER(SEARCH("화1.2",$H194))),1,"")</f>
        <v/>
      </c>
      <c r="N194" s="319">
        <f>IF(OR(ISNUMBER(SEARCH("화3",$H194)),ISNUMBER(SEARCH("화1.3",$H194)),ISNUMBER(SEARCH("화2.3",$H194)),ISNUMBER(SEARCH("화1.2.3",$H194))),1,"")</f>
        <v/>
      </c>
      <c r="O194" s="319">
        <f>IF(ISNUMBER(SEARCH("수1",$H194)),1,"")</f>
        <v/>
      </c>
      <c r="P194" s="319">
        <f>IF(OR(ISNUMBER(SEARCH("수2",$H194)),ISNUMBER(SEARCH("수1.2",$H194))),1,"")</f>
        <v/>
      </c>
      <c r="Q194" s="319">
        <f>IF(OR(ISNUMBER(SEARCH("수3",$H194)),ISNUMBER(SEARCH("수1.3",$H194)),ISNUMBER(SEARCH("수2.3",$H194)),ISNUMBER(SEARCH("수1.2.3",$H194))),1,"")</f>
        <v/>
      </c>
      <c r="R194" s="319">
        <f>IF(ISNUMBER(SEARCH("목1",$H194)),1,"")</f>
        <v/>
      </c>
      <c r="S194" s="319">
        <f>IF(OR(ISNUMBER(SEARCH("목2",$H194)),ISNUMBER(SEARCH("목1.2",$H194))),1,"")</f>
        <v/>
      </c>
      <c r="T194" s="319">
        <f>IF(OR(ISNUMBER(SEARCH("목3",$H194)),ISNUMBER(SEARCH("목1.3",$H194)),ISNUMBER(SEARCH("목2.3",$H194)),ISNUMBER(SEARCH("목1.2.3",$H194))),1,"")</f>
        <v/>
      </c>
      <c r="U194" s="319">
        <f>IF(ISNUMBER(SEARCH("금1",$H194)),1,"")</f>
        <v/>
      </c>
      <c r="V194" s="319">
        <f>IF(OR(ISNUMBER(SEARCH("금2",$H194)),ISNUMBER(SEARCH("금1.2",$H194))),1,"")</f>
        <v/>
      </c>
      <c r="W194" s="319">
        <f>IF(OR(ISNUMBER(SEARCH("금3",$H194)),ISNUMBER(SEARCH("금1.3",$H194)),ISNUMBER(SEARCH("금2.3",$H194)),ISNUMBER(SEARCH("금1.2.3",$H194))),1,"")</f>
        <v/>
      </c>
      <c r="X194" s="319">
        <f>IF(ISNUMBER(SEARCH("토1",$H194)),1,"")</f>
        <v/>
      </c>
      <c r="Y194" s="319">
        <f>IF(OR(ISNUMBER(SEARCH("토2",$H194)),ISNUMBER(SEARCH("토1.2",$H194))),1,"")</f>
        <v/>
      </c>
      <c r="Z194" s="319">
        <f>IF(OR(ISNUMBER(SEARCH("토3",$H194)),ISNUMBER(SEARCH("토1.3",$H194)),ISNUMBER(SEARCH("토2.3",$H194)),ISNUMBER(SEARCH("토1.2.3",$H194))),1,"")</f>
        <v/>
      </c>
      <c r="AA194" s="319">
        <f>IF(ISNUMBER(SEARCH("일1",$H194)),1,"")</f>
        <v/>
      </c>
      <c r="AB194" s="319">
        <f>IF(OR(ISNUMBER(SEARCH("일2",$H194)),ISNUMBER(SEARCH("일1.2",$H194))),1,"")</f>
        <v/>
      </c>
      <c r="AC194" s="319">
        <f>IF(OR(ISNUMBER(SEARCH("일3",$H194)),ISNUMBER(SEARCH("일1.3",$H194)),ISNUMBER(SEARCH("일2.3",$H194)),ISNUMBER(SEARCH("일1.2.3",$H194))),1,"")</f>
        <v/>
      </c>
      <c r="AD194" s="319">
        <f>SUM(I194:AC194)</f>
        <v/>
      </c>
      <c r="AE194" s="323" t="n"/>
    </row>
    <row r="195" ht="24" customHeight="1">
      <c r="A195" s="168" t="n"/>
      <c r="B195" s="319" t="n"/>
      <c r="C195" s="319" t="n"/>
      <c r="D195" s="319" t="n"/>
      <c r="E195" s="341" t="n"/>
      <c r="F195" s="341" t="n"/>
      <c r="G195" s="342" t="n"/>
      <c r="H195" s="322" t="n"/>
      <c r="I195" s="319">
        <f>IF(ISNUMBER(SEARCH("월1",$H195)),1,"")</f>
        <v/>
      </c>
      <c r="J195" s="319">
        <f>IF(OR(ISNUMBER(SEARCH("월2",$H195)),ISNUMBER(SEARCH("월1.2",$H195))),1,"")</f>
        <v/>
      </c>
      <c r="K195" s="319">
        <f>IF(OR(ISNUMBER(SEARCH("월3",$H195)),ISNUMBER(SEARCH("월1.3",$H195)),ISNUMBER(SEARCH("월2.3",$H195)),ISNUMBER(SEARCH("월1.2.3",$H195))),1,"")</f>
        <v/>
      </c>
      <c r="L195" s="319">
        <f>IF(ISNUMBER(SEARCH("화1",$H195)),1,"")</f>
        <v/>
      </c>
      <c r="M195" s="319">
        <f>IF(OR(ISNUMBER(SEARCH("화2",$H195)),ISNUMBER(SEARCH("화1.2",$H195))),1,"")</f>
        <v/>
      </c>
      <c r="N195" s="319">
        <f>IF(OR(ISNUMBER(SEARCH("화3",$H195)),ISNUMBER(SEARCH("화1.3",$H195)),ISNUMBER(SEARCH("화2.3",$H195)),ISNUMBER(SEARCH("화1.2.3",$H195))),1,"")</f>
        <v/>
      </c>
      <c r="O195" s="319">
        <f>IF(ISNUMBER(SEARCH("수1",$H195)),1,"")</f>
        <v/>
      </c>
      <c r="P195" s="319">
        <f>IF(OR(ISNUMBER(SEARCH("수2",$H195)),ISNUMBER(SEARCH("수1.2",$H195))),1,"")</f>
        <v/>
      </c>
      <c r="Q195" s="319">
        <f>IF(OR(ISNUMBER(SEARCH("수3",$H195)),ISNUMBER(SEARCH("수1.3",$H195)),ISNUMBER(SEARCH("수2.3",$H195)),ISNUMBER(SEARCH("수1.2.3",$H195))),1,"")</f>
        <v/>
      </c>
      <c r="R195" s="319">
        <f>IF(ISNUMBER(SEARCH("목1",$H195)),1,"")</f>
        <v/>
      </c>
      <c r="S195" s="319">
        <f>IF(OR(ISNUMBER(SEARCH("목2",$H195)),ISNUMBER(SEARCH("목1.2",$H195))),1,"")</f>
        <v/>
      </c>
      <c r="T195" s="319">
        <f>IF(OR(ISNUMBER(SEARCH("목3",$H195)),ISNUMBER(SEARCH("목1.3",$H195)),ISNUMBER(SEARCH("목2.3",$H195)),ISNUMBER(SEARCH("목1.2.3",$H195))),1,"")</f>
        <v/>
      </c>
      <c r="U195" s="319">
        <f>IF(ISNUMBER(SEARCH("금1",$H195)),1,"")</f>
        <v/>
      </c>
      <c r="V195" s="319">
        <f>IF(OR(ISNUMBER(SEARCH("금2",$H195)),ISNUMBER(SEARCH("금1.2",$H195))),1,"")</f>
        <v/>
      </c>
      <c r="W195" s="319">
        <f>IF(OR(ISNUMBER(SEARCH("금3",$H195)),ISNUMBER(SEARCH("금1.3",$H195)),ISNUMBER(SEARCH("금2.3",$H195)),ISNUMBER(SEARCH("금1.2.3",$H195))),1,"")</f>
        <v/>
      </c>
      <c r="X195" s="319">
        <f>IF(ISNUMBER(SEARCH("토1",$H195)),1,"")</f>
        <v/>
      </c>
      <c r="Y195" s="319">
        <f>IF(OR(ISNUMBER(SEARCH("토2",$H195)),ISNUMBER(SEARCH("토1.2",$H195))),1,"")</f>
        <v/>
      </c>
      <c r="Z195" s="319">
        <f>IF(OR(ISNUMBER(SEARCH("토3",$H195)),ISNUMBER(SEARCH("토1.3",$H195)),ISNUMBER(SEARCH("토2.3",$H195)),ISNUMBER(SEARCH("토1.2.3",$H195))),1,"")</f>
        <v/>
      </c>
      <c r="AA195" s="319">
        <f>IF(ISNUMBER(SEARCH("일1",$H195)),1,"")</f>
        <v/>
      </c>
      <c r="AB195" s="319">
        <f>IF(OR(ISNUMBER(SEARCH("일2",$H195)),ISNUMBER(SEARCH("일1.2",$H195))),1,"")</f>
        <v/>
      </c>
      <c r="AC195" s="319">
        <f>IF(OR(ISNUMBER(SEARCH("일3",$H195)),ISNUMBER(SEARCH("일1.3",$H195)),ISNUMBER(SEARCH("일2.3",$H195)),ISNUMBER(SEARCH("일1.2.3",$H195))),1,"")</f>
        <v/>
      </c>
      <c r="AD195" s="319">
        <f>SUM(I195:AC195)</f>
        <v/>
      </c>
      <c r="AE195" s="323" t="n"/>
    </row>
    <row r="196" ht="24" customHeight="1">
      <c r="A196" s="168" t="n"/>
      <c r="B196" s="319" t="n"/>
      <c r="C196" s="319" t="n"/>
      <c r="D196" s="319" t="n"/>
      <c r="E196" s="341" t="n"/>
      <c r="F196" s="341" t="n"/>
      <c r="G196" s="342" t="n"/>
      <c r="H196" s="322" t="n"/>
      <c r="I196" s="319">
        <f>IF(ISNUMBER(SEARCH("월1",$H196)),1,"")</f>
        <v/>
      </c>
      <c r="J196" s="319">
        <f>IF(OR(ISNUMBER(SEARCH("월2",$H196)),ISNUMBER(SEARCH("월1.2",$H196))),1,"")</f>
        <v/>
      </c>
      <c r="K196" s="319">
        <f>IF(OR(ISNUMBER(SEARCH("월3",$H196)),ISNUMBER(SEARCH("월1.3",$H196)),ISNUMBER(SEARCH("월2.3",$H196)),ISNUMBER(SEARCH("월1.2.3",$H196))),1,"")</f>
        <v/>
      </c>
      <c r="L196" s="319">
        <f>IF(ISNUMBER(SEARCH("화1",$H196)),1,"")</f>
        <v/>
      </c>
      <c r="M196" s="319">
        <f>IF(OR(ISNUMBER(SEARCH("화2",$H196)),ISNUMBER(SEARCH("화1.2",$H196))),1,"")</f>
        <v/>
      </c>
      <c r="N196" s="319">
        <f>IF(OR(ISNUMBER(SEARCH("화3",$H196)),ISNUMBER(SEARCH("화1.3",$H196)),ISNUMBER(SEARCH("화2.3",$H196)),ISNUMBER(SEARCH("화1.2.3",$H196))),1,"")</f>
        <v/>
      </c>
      <c r="O196" s="319">
        <f>IF(ISNUMBER(SEARCH("수1",$H196)),1,"")</f>
        <v/>
      </c>
      <c r="P196" s="319">
        <f>IF(OR(ISNUMBER(SEARCH("수2",$H196)),ISNUMBER(SEARCH("수1.2",$H196))),1,"")</f>
        <v/>
      </c>
      <c r="Q196" s="319">
        <f>IF(OR(ISNUMBER(SEARCH("수3",$H196)),ISNUMBER(SEARCH("수1.3",$H196)),ISNUMBER(SEARCH("수2.3",$H196)),ISNUMBER(SEARCH("수1.2.3",$H196))),1,"")</f>
        <v/>
      </c>
      <c r="R196" s="319">
        <f>IF(ISNUMBER(SEARCH("목1",$H196)),1,"")</f>
        <v/>
      </c>
      <c r="S196" s="319">
        <f>IF(OR(ISNUMBER(SEARCH("목2",$H196)),ISNUMBER(SEARCH("목1.2",$H196))),1,"")</f>
        <v/>
      </c>
      <c r="T196" s="319">
        <f>IF(OR(ISNUMBER(SEARCH("목3",$H196)),ISNUMBER(SEARCH("목1.3",$H196)),ISNUMBER(SEARCH("목2.3",$H196)),ISNUMBER(SEARCH("목1.2.3",$H196))),1,"")</f>
        <v/>
      </c>
      <c r="U196" s="319">
        <f>IF(ISNUMBER(SEARCH("금1",$H196)),1,"")</f>
        <v/>
      </c>
      <c r="V196" s="319">
        <f>IF(OR(ISNUMBER(SEARCH("금2",$H196)),ISNUMBER(SEARCH("금1.2",$H196))),1,"")</f>
        <v/>
      </c>
      <c r="W196" s="319">
        <f>IF(OR(ISNUMBER(SEARCH("금3",$H196)),ISNUMBER(SEARCH("금1.3",$H196)),ISNUMBER(SEARCH("금2.3",$H196)),ISNUMBER(SEARCH("금1.2.3",$H196))),1,"")</f>
        <v/>
      </c>
      <c r="X196" s="319">
        <f>IF(ISNUMBER(SEARCH("토1",$H196)),1,"")</f>
        <v/>
      </c>
      <c r="Y196" s="319">
        <f>IF(OR(ISNUMBER(SEARCH("토2",$H196)),ISNUMBER(SEARCH("토1.2",$H196))),1,"")</f>
        <v/>
      </c>
      <c r="Z196" s="319">
        <f>IF(OR(ISNUMBER(SEARCH("토3",$H196)),ISNUMBER(SEARCH("토1.3",$H196)),ISNUMBER(SEARCH("토2.3",$H196)),ISNUMBER(SEARCH("토1.2.3",$H196))),1,"")</f>
        <v/>
      </c>
      <c r="AA196" s="319">
        <f>IF(ISNUMBER(SEARCH("일1",$H196)),1,"")</f>
        <v/>
      </c>
      <c r="AB196" s="319">
        <f>IF(OR(ISNUMBER(SEARCH("일2",$H196)),ISNUMBER(SEARCH("일1.2",$H196))),1,"")</f>
        <v/>
      </c>
      <c r="AC196" s="319">
        <f>IF(OR(ISNUMBER(SEARCH("일3",$H196)),ISNUMBER(SEARCH("일1.3",$H196)),ISNUMBER(SEARCH("일2.3",$H196)),ISNUMBER(SEARCH("일1.2.3",$H196))),1,"")</f>
        <v/>
      </c>
      <c r="AD196" s="319">
        <f>SUM(I196:AC196)</f>
        <v/>
      </c>
      <c r="AE196" s="323" t="n"/>
    </row>
    <row r="197" ht="24" customHeight="1">
      <c r="A197" s="168" t="n"/>
      <c r="B197" s="319" t="n"/>
      <c r="C197" s="319" t="n"/>
      <c r="D197" s="319" t="n"/>
      <c r="E197" s="341" t="n"/>
      <c r="F197" s="341" t="n"/>
      <c r="G197" s="342" t="n"/>
      <c r="H197" s="322" t="n"/>
      <c r="I197" s="319">
        <f>IF(ISNUMBER(SEARCH("월1",$H197)),1,"")</f>
        <v/>
      </c>
      <c r="J197" s="319">
        <f>IF(OR(ISNUMBER(SEARCH("월2",$H197)),ISNUMBER(SEARCH("월1.2",$H197))),1,"")</f>
        <v/>
      </c>
      <c r="K197" s="319">
        <f>IF(OR(ISNUMBER(SEARCH("월3",$H197)),ISNUMBER(SEARCH("월1.3",$H197)),ISNUMBER(SEARCH("월2.3",$H197)),ISNUMBER(SEARCH("월1.2.3",$H197))),1,"")</f>
        <v/>
      </c>
      <c r="L197" s="319">
        <f>IF(ISNUMBER(SEARCH("화1",$H197)),1,"")</f>
        <v/>
      </c>
      <c r="M197" s="319">
        <f>IF(OR(ISNUMBER(SEARCH("화2",$H197)),ISNUMBER(SEARCH("화1.2",$H197))),1,"")</f>
        <v/>
      </c>
      <c r="N197" s="319">
        <f>IF(OR(ISNUMBER(SEARCH("화3",$H197)),ISNUMBER(SEARCH("화1.3",$H197)),ISNUMBER(SEARCH("화2.3",$H197)),ISNUMBER(SEARCH("화1.2.3",$H197))),1,"")</f>
        <v/>
      </c>
      <c r="O197" s="319">
        <f>IF(ISNUMBER(SEARCH("수1",$H197)),1,"")</f>
        <v/>
      </c>
      <c r="P197" s="319">
        <f>IF(OR(ISNUMBER(SEARCH("수2",$H197)),ISNUMBER(SEARCH("수1.2",$H197))),1,"")</f>
        <v/>
      </c>
      <c r="Q197" s="319">
        <f>IF(OR(ISNUMBER(SEARCH("수3",$H197)),ISNUMBER(SEARCH("수1.3",$H197)),ISNUMBER(SEARCH("수2.3",$H197)),ISNUMBER(SEARCH("수1.2.3",$H197))),1,"")</f>
        <v/>
      </c>
      <c r="R197" s="319">
        <f>IF(ISNUMBER(SEARCH("목1",$H197)),1,"")</f>
        <v/>
      </c>
      <c r="S197" s="319">
        <f>IF(OR(ISNUMBER(SEARCH("목2",$H197)),ISNUMBER(SEARCH("목1.2",$H197))),1,"")</f>
        <v/>
      </c>
      <c r="T197" s="319">
        <f>IF(OR(ISNUMBER(SEARCH("목3",$H197)),ISNUMBER(SEARCH("목1.3",$H197)),ISNUMBER(SEARCH("목2.3",$H197)),ISNUMBER(SEARCH("목1.2.3",$H197))),1,"")</f>
        <v/>
      </c>
      <c r="U197" s="319">
        <f>IF(ISNUMBER(SEARCH("금1",$H197)),1,"")</f>
        <v/>
      </c>
      <c r="V197" s="319">
        <f>IF(OR(ISNUMBER(SEARCH("금2",$H197)),ISNUMBER(SEARCH("금1.2",$H197))),1,"")</f>
        <v/>
      </c>
      <c r="W197" s="319">
        <f>IF(OR(ISNUMBER(SEARCH("금3",$H197)),ISNUMBER(SEARCH("금1.3",$H197)),ISNUMBER(SEARCH("금2.3",$H197)),ISNUMBER(SEARCH("금1.2.3",$H197))),1,"")</f>
        <v/>
      </c>
      <c r="X197" s="319">
        <f>IF(ISNUMBER(SEARCH("토1",$H197)),1,"")</f>
        <v/>
      </c>
      <c r="Y197" s="319">
        <f>IF(OR(ISNUMBER(SEARCH("토2",$H197)),ISNUMBER(SEARCH("토1.2",$H197))),1,"")</f>
        <v/>
      </c>
      <c r="Z197" s="319">
        <f>IF(OR(ISNUMBER(SEARCH("토3",$H197)),ISNUMBER(SEARCH("토1.3",$H197)),ISNUMBER(SEARCH("토2.3",$H197)),ISNUMBER(SEARCH("토1.2.3",$H197))),1,"")</f>
        <v/>
      </c>
      <c r="AA197" s="319">
        <f>IF(ISNUMBER(SEARCH("일1",$H197)),1,"")</f>
        <v/>
      </c>
      <c r="AB197" s="319">
        <f>IF(OR(ISNUMBER(SEARCH("일2",$H197)),ISNUMBER(SEARCH("일1.2",$H197))),1,"")</f>
        <v/>
      </c>
      <c r="AC197" s="319">
        <f>IF(OR(ISNUMBER(SEARCH("일3",$H197)),ISNUMBER(SEARCH("일1.3",$H197)),ISNUMBER(SEARCH("일2.3",$H197)),ISNUMBER(SEARCH("일1.2.3",$H197))),1,"")</f>
        <v/>
      </c>
      <c r="AD197" s="319">
        <f>SUM(I197:AC197)</f>
        <v/>
      </c>
      <c r="AE197" s="323" t="n"/>
    </row>
    <row r="198" ht="24" customHeight="1">
      <c r="A198" s="168" t="n"/>
      <c r="B198" s="319" t="n"/>
      <c r="C198" s="319" t="n"/>
      <c r="D198" s="319" t="n"/>
      <c r="E198" s="341" t="n"/>
      <c r="F198" s="341" t="n"/>
      <c r="G198" s="342" t="n"/>
      <c r="H198" s="322" t="n"/>
      <c r="I198" s="319">
        <f>IF(ISNUMBER(SEARCH("월1",$H198)),1,"")</f>
        <v/>
      </c>
      <c r="J198" s="319">
        <f>IF(OR(ISNUMBER(SEARCH("월2",$H198)),ISNUMBER(SEARCH("월1.2",$H198))),1,"")</f>
        <v/>
      </c>
      <c r="K198" s="319">
        <f>IF(OR(ISNUMBER(SEARCH("월3",$H198)),ISNUMBER(SEARCH("월1.3",$H198)),ISNUMBER(SEARCH("월2.3",$H198)),ISNUMBER(SEARCH("월1.2.3",$H198))),1,"")</f>
        <v/>
      </c>
      <c r="L198" s="319">
        <f>IF(ISNUMBER(SEARCH("화1",$H198)),1,"")</f>
        <v/>
      </c>
      <c r="M198" s="319">
        <f>IF(OR(ISNUMBER(SEARCH("화2",$H198)),ISNUMBER(SEARCH("화1.2",$H198))),1,"")</f>
        <v/>
      </c>
      <c r="N198" s="319">
        <f>IF(OR(ISNUMBER(SEARCH("화3",$H198)),ISNUMBER(SEARCH("화1.3",$H198)),ISNUMBER(SEARCH("화2.3",$H198)),ISNUMBER(SEARCH("화1.2.3",$H198))),1,"")</f>
        <v/>
      </c>
      <c r="O198" s="319">
        <f>IF(ISNUMBER(SEARCH("수1",$H198)),1,"")</f>
        <v/>
      </c>
      <c r="P198" s="319">
        <f>IF(OR(ISNUMBER(SEARCH("수2",$H198)),ISNUMBER(SEARCH("수1.2",$H198))),1,"")</f>
        <v/>
      </c>
      <c r="Q198" s="319">
        <f>IF(OR(ISNUMBER(SEARCH("수3",$H198)),ISNUMBER(SEARCH("수1.3",$H198)),ISNUMBER(SEARCH("수2.3",$H198)),ISNUMBER(SEARCH("수1.2.3",$H198))),1,"")</f>
        <v/>
      </c>
      <c r="R198" s="319">
        <f>IF(ISNUMBER(SEARCH("목1",$H198)),1,"")</f>
        <v/>
      </c>
      <c r="S198" s="319">
        <f>IF(OR(ISNUMBER(SEARCH("목2",$H198)),ISNUMBER(SEARCH("목1.2",$H198))),1,"")</f>
        <v/>
      </c>
      <c r="T198" s="319">
        <f>IF(OR(ISNUMBER(SEARCH("목3",$H198)),ISNUMBER(SEARCH("목1.3",$H198)),ISNUMBER(SEARCH("목2.3",$H198)),ISNUMBER(SEARCH("목1.2.3",$H198))),1,"")</f>
        <v/>
      </c>
      <c r="U198" s="319">
        <f>IF(ISNUMBER(SEARCH("금1",$H198)),1,"")</f>
        <v/>
      </c>
      <c r="V198" s="319">
        <f>IF(OR(ISNUMBER(SEARCH("금2",$H198)),ISNUMBER(SEARCH("금1.2",$H198))),1,"")</f>
        <v/>
      </c>
      <c r="W198" s="319">
        <f>IF(OR(ISNUMBER(SEARCH("금3",$H198)),ISNUMBER(SEARCH("금1.3",$H198)),ISNUMBER(SEARCH("금2.3",$H198)),ISNUMBER(SEARCH("금1.2.3",$H198))),1,"")</f>
        <v/>
      </c>
      <c r="X198" s="319">
        <f>IF(ISNUMBER(SEARCH("토1",$H198)),1,"")</f>
        <v/>
      </c>
      <c r="Y198" s="319">
        <f>IF(OR(ISNUMBER(SEARCH("토2",$H198)),ISNUMBER(SEARCH("토1.2",$H198))),1,"")</f>
        <v/>
      </c>
      <c r="Z198" s="319">
        <f>IF(OR(ISNUMBER(SEARCH("토3",$H198)),ISNUMBER(SEARCH("토1.3",$H198)),ISNUMBER(SEARCH("토2.3",$H198)),ISNUMBER(SEARCH("토1.2.3",$H198))),1,"")</f>
        <v/>
      </c>
      <c r="AA198" s="319">
        <f>IF(ISNUMBER(SEARCH("일1",$H198)),1,"")</f>
        <v/>
      </c>
      <c r="AB198" s="319">
        <f>IF(OR(ISNUMBER(SEARCH("일2",$H198)),ISNUMBER(SEARCH("일1.2",$H198))),1,"")</f>
        <v/>
      </c>
      <c r="AC198" s="319">
        <f>IF(OR(ISNUMBER(SEARCH("일3",$H198)),ISNUMBER(SEARCH("일1.3",$H198)),ISNUMBER(SEARCH("일2.3",$H198)),ISNUMBER(SEARCH("일1.2.3",$H198))),1,"")</f>
        <v/>
      </c>
      <c r="AD198" s="319">
        <f>SUM(I198:AC198)</f>
        <v/>
      </c>
      <c r="AE198" s="323" t="n"/>
    </row>
    <row r="199" ht="24" customHeight="1">
      <c r="A199" s="168" t="n"/>
      <c r="B199" s="319" t="n"/>
      <c r="C199" s="319" t="n"/>
      <c r="D199" s="319" t="n"/>
      <c r="E199" s="341" t="n"/>
      <c r="F199" s="341" t="n"/>
      <c r="G199" s="342" t="n"/>
      <c r="H199" s="322" t="n"/>
      <c r="I199" s="319">
        <f>IF(ISNUMBER(SEARCH("월1",$H199)),1,"")</f>
        <v/>
      </c>
      <c r="J199" s="319">
        <f>IF(OR(ISNUMBER(SEARCH("월2",$H199)),ISNUMBER(SEARCH("월1.2",$H199))),1,"")</f>
        <v/>
      </c>
      <c r="K199" s="319">
        <f>IF(OR(ISNUMBER(SEARCH("월3",$H199)),ISNUMBER(SEARCH("월1.3",$H199)),ISNUMBER(SEARCH("월2.3",$H199)),ISNUMBER(SEARCH("월1.2.3",$H199))),1,"")</f>
        <v/>
      </c>
      <c r="L199" s="319">
        <f>IF(ISNUMBER(SEARCH("화1",$H199)),1,"")</f>
        <v/>
      </c>
      <c r="M199" s="319">
        <f>IF(OR(ISNUMBER(SEARCH("화2",$H199)),ISNUMBER(SEARCH("화1.2",$H199))),1,"")</f>
        <v/>
      </c>
      <c r="N199" s="319">
        <f>IF(OR(ISNUMBER(SEARCH("화3",$H199)),ISNUMBER(SEARCH("화1.3",$H199)),ISNUMBER(SEARCH("화2.3",$H199)),ISNUMBER(SEARCH("화1.2.3",$H199))),1,"")</f>
        <v/>
      </c>
      <c r="O199" s="319">
        <f>IF(ISNUMBER(SEARCH("수1",$H199)),1,"")</f>
        <v/>
      </c>
      <c r="P199" s="319">
        <f>IF(OR(ISNUMBER(SEARCH("수2",$H199)),ISNUMBER(SEARCH("수1.2",$H199))),1,"")</f>
        <v/>
      </c>
      <c r="Q199" s="319">
        <f>IF(OR(ISNUMBER(SEARCH("수3",$H199)),ISNUMBER(SEARCH("수1.3",$H199)),ISNUMBER(SEARCH("수2.3",$H199)),ISNUMBER(SEARCH("수1.2.3",$H199))),1,"")</f>
        <v/>
      </c>
      <c r="R199" s="319">
        <f>IF(ISNUMBER(SEARCH("목1",$H199)),1,"")</f>
        <v/>
      </c>
      <c r="S199" s="319">
        <f>IF(OR(ISNUMBER(SEARCH("목2",$H199)),ISNUMBER(SEARCH("목1.2",$H199))),1,"")</f>
        <v/>
      </c>
      <c r="T199" s="319">
        <f>IF(OR(ISNUMBER(SEARCH("목3",$H199)),ISNUMBER(SEARCH("목1.3",$H199)),ISNUMBER(SEARCH("목2.3",$H199)),ISNUMBER(SEARCH("목1.2.3",$H199))),1,"")</f>
        <v/>
      </c>
      <c r="U199" s="319">
        <f>IF(ISNUMBER(SEARCH("금1",$H199)),1,"")</f>
        <v/>
      </c>
      <c r="V199" s="319">
        <f>IF(OR(ISNUMBER(SEARCH("금2",$H199)),ISNUMBER(SEARCH("금1.2",$H199))),1,"")</f>
        <v/>
      </c>
      <c r="W199" s="319">
        <f>IF(OR(ISNUMBER(SEARCH("금3",$H199)),ISNUMBER(SEARCH("금1.3",$H199)),ISNUMBER(SEARCH("금2.3",$H199)),ISNUMBER(SEARCH("금1.2.3",$H199))),1,"")</f>
        <v/>
      </c>
      <c r="X199" s="319">
        <f>IF(ISNUMBER(SEARCH("토1",$H199)),1,"")</f>
        <v/>
      </c>
      <c r="Y199" s="319">
        <f>IF(OR(ISNUMBER(SEARCH("토2",$H199)),ISNUMBER(SEARCH("토1.2",$H199))),1,"")</f>
        <v/>
      </c>
      <c r="Z199" s="319">
        <f>IF(OR(ISNUMBER(SEARCH("토3",$H199)),ISNUMBER(SEARCH("토1.3",$H199)),ISNUMBER(SEARCH("토2.3",$H199)),ISNUMBER(SEARCH("토1.2.3",$H199))),1,"")</f>
        <v/>
      </c>
      <c r="AA199" s="319">
        <f>IF(ISNUMBER(SEARCH("일1",$H199)),1,"")</f>
        <v/>
      </c>
      <c r="AB199" s="319">
        <f>IF(OR(ISNUMBER(SEARCH("일2",$H199)),ISNUMBER(SEARCH("일1.2",$H199))),1,"")</f>
        <v/>
      </c>
      <c r="AC199" s="319">
        <f>IF(OR(ISNUMBER(SEARCH("일3",$H199)),ISNUMBER(SEARCH("일1.3",$H199)),ISNUMBER(SEARCH("일2.3",$H199)),ISNUMBER(SEARCH("일1.2.3",$H199))),1,"")</f>
        <v/>
      </c>
      <c r="AD199" s="319">
        <f>SUM(I199:AC199)</f>
        <v/>
      </c>
      <c r="AE199" s="323" t="n"/>
    </row>
    <row r="200" ht="24" customHeight="1">
      <c r="A200" s="168" t="n"/>
      <c r="B200" s="319" t="n"/>
      <c r="C200" s="319" t="n"/>
      <c r="D200" s="319" t="n"/>
      <c r="E200" s="341" t="n"/>
      <c r="F200" s="341" t="n"/>
      <c r="G200" s="342" t="n"/>
      <c r="H200" s="322" t="n"/>
      <c r="I200" s="319">
        <f>IF(ISNUMBER(SEARCH("월1",$H200)),1,"")</f>
        <v/>
      </c>
      <c r="J200" s="319">
        <f>IF(OR(ISNUMBER(SEARCH("월2",$H200)),ISNUMBER(SEARCH("월1.2",$H200))),1,"")</f>
        <v/>
      </c>
      <c r="K200" s="319">
        <f>IF(OR(ISNUMBER(SEARCH("월3",$H200)),ISNUMBER(SEARCH("월1.3",$H200)),ISNUMBER(SEARCH("월2.3",$H200)),ISNUMBER(SEARCH("월1.2.3",$H200))),1,"")</f>
        <v/>
      </c>
      <c r="L200" s="319">
        <f>IF(ISNUMBER(SEARCH("화1",$H200)),1,"")</f>
        <v/>
      </c>
      <c r="M200" s="319">
        <f>IF(OR(ISNUMBER(SEARCH("화2",$H200)),ISNUMBER(SEARCH("화1.2",$H200))),1,"")</f>
        <v/>
      </c>
      <c r="N200" s="319">
        <f>IF(OR(ISNUMBER(SEARCH("화3",$H200)),ISNUMBER(SEARCH("화1.3",$H200)),ISNUMBER(SEARCH("화2.3",$H200)),ISNUMBER(SEARCH("화1.2.3",$H200))),1,"")</f>
        <v/>
      </c>
      <c r="O200" s="319">
        <f>IF(ISNUMBER(SEARCH("수1",$H200)),1,"")</f>
        <v/>
      </c>
      <c r="P200" s="319">
        <f>IF(OR(ISNUMBER(SEARCH("수2",$H200)),ISNUMBER(SEARCH("수1.2",$H200))),1,"")</f>
        <v/>
      </c>
      <c r="Q200" s="319">
        <f>IF(OR(ISNUMBER(SEARCH("수3",$H200)),ISNUMBER(SEARCH("수1.3",$H200)),ISNUMBER(SEARCH("수2.3",$H200)),ISNUMBER(SEARCH("수1.2.3",$H200))),1,"")</f>
        <v/>
      </c>
      <c r="R200" s="319">
        <f>IF(ISNUMBER(SEARCH("목1",$H200)),1,"")</f>
        <v/>
      </c>
      <c r="S200" s="319">
        <f>IF(OR(ISNUMBER(SEARCH("목2",$H200)),ISNUMBER(SEARCH("목1.2",$H200))),1,"")</f>
        <v/>
      </c>
      <c r="T200" s="319">
        <f>IF(OR(ISNUMBER(SEARCH("목3",$H200)),ISNUMBER(SEARCH("목1.3",$H200)),ISNUMBER(SEARCH("목2.3",$H200)),ISNUMBER(SEARCH("목1.2.3",$H200))),1,"")</f>
        <v/>
      </c>
      <c r="U200" s="319">
        <f>IF(ISNUMBER(SEARCH("금1",$H200)),1,"")</f>
        <v/>
      </c>
      <c r="V200" s="319">
        <f>IF(OR(ISNUMBER(SEARCH("금2",$H200)),ISNUMBER(SEARCH("금1.2",$H200))),1,"")</f>
        <v/>
      </c>
      <c r="W200" s="319">
        <f>IF(OR(ISNUMBER(SEARCH("금3",$H200)),ISNUMBER(SEARCH("금1.3",$H200)),ISNUMBER(SEARCH("금2.3",$H200)),ISNUMBER(SEARCH("금1.2.3",$H200))),1,"")</f>
        <v/>
      </c>
      <c r="X200" s="319">
        <f>IF(ISNUMBER(SEARCH("토1",$H200)),1,"")</f>
        <v/>
      </c>
      <c r="Y200" s="319">
        <f>IF(OR(ISNUMBER(SEARCH("토2",$H200)),ISNUMBER(SEARCH("토1.2",$H200))),1,"")</f>
        <v/>
      </c>
      <c r="Z200" s="319">
        <f>IF(OR(ISNUMBER(SEARCH("토3",$H200)),ISNUMBER(SEARCH("토1.3",$H200)),ISNUMBER(SEARCH("토2.3",$H200)),ISNUMBER(SEARCH("토1.2.3",$H200))),1,"")</f>
        <v/>
      </c>
      <c r="AA200" s="319">
        <f>IF(ISNUMBER(SEARCH("일1",$H200)),1,"")</f>
        <v/>
      </c>
      <c r="AB200" s="319">
        <f>IF(OR(ISNUMBER(SEARCH("일2",$H200)),ISNUMBER(SEARCH("일1.2",$H200))),1,"")</f>
        <v/>
      </c>
      <c r="AC200" s="319">
        <f>IF(OR(ISNUMBER(SEARCH("일3",$H200)),ISNUMBER(SEARCH("일1.3",$H200)),ISNUMBER(SEARCH("일2.3",$H200)),ISNUMBER(SEARCH("일1.2.3",$H200))),1,"")</f>
        <v/>
      </c>
      <c r="AD200" s="319">
        <f>SUM(I200:AC200)</f>
        <v/>
      </c>
      <c r="AE200" s="323" t="n"/>
    </row>
    <row r="201" ht="24" customHeight="1">
      <c r="A201" s="168" t="n"/>
      <c r="B201" s="319" t="n"/>
      <c r="C201" s="319" t="n"/>
      <c r="D201" s="319" t="n"/>
      <c r="E201" s="341" t="n"/>
      <c r="F201" s="341" t="n"/>
      <c r="G201" s="342" t="n"/>
      <c r="H201" s="322" t="n"/>
      <c r="I201" s="319">
        <f>IF(ISNUMBER(SEARCH("월1",$H201)),1,"")</f>
        <v/>
      </c>
      <c r="J201" s="319">
        <f>IF(OR(ISNUMBER(SEARCH("월2",$H201)),ISNUMBER(SEARCH("월1.2",$H201))),1,"")</f>
        <v/>
      </c>
      <c r="K201" s="319">
        <f>IF(OR(ISNUMBER(SEARCH("월3",$H201)),ISNUMBER(SEARCH("월1.3",$H201)),ISNUMBER(SEARCH("월2.3",$H201)),ISNUMBER(SEARCH("월1.2.3",$H201))),1,"")</f>
        <v/>
      </c>
      <c r="L201" s="319">
        <f>IF(ISNUMBER(SEARCH("화1",$H201)),1,"")</f>
        <v/>
      </c>
      <c r="M201" s="319">
        <f>IF(OR(ISNUMBER(SEARCH("화2",$H201)),ISNUMBER(SEARCH("화1.2",$H201))),1,"")</f>
        <v/>
      </c>
      <c r="N201" s="319">
        <f>IF(OR(ISNUMBER(SEARCH("화3",$H201)),ISNUMBER(SEARCH("화1.3",$H201)),ISNUMBER(SEARCH("화2.3",$H201)),ISNUMBER(SEARCH("화1.2.3",$H201))),1,"")</f>
        <v/>
      </c>
      <c r="O201" s="319">
        <f>IF(ISNUMBER(SEARCH("수1",$H201)),1,"")</f>
        <v/>
      </c>
      <c r="P201" s="319">
        <f>IF(OR(ISNUMBER(SEARCH("수2",$H201)),ISNUMBER(SEARCH("수1.2",$H201))),1,"")</f>
        <v/>
      </c>
      <c r="Q201" s="319">
        <f>IF(OR(ISNUMBER(SEARCH("수3",$H201)),ISNUMBER(SEARCH("수1.3",$H201)),ISNUMBER(SEARCH("수2.3",$H201)),ISNUMBER(SEARCH("수1.2.3",$H201))),1,"")</f>
        <v/>
      </c>
      <c r="R201" s="319">
        <f>IF(ISNUMBER(SEARCH("목1",$H201)),1,"")</f>
        <v/>
      </c>
      <c r="S201" s="319">
        <f>IF(OR(ISNUMBER(SEARCH("목2",$H201)),ISNUMBER(SEARCH("목1.2",$H201))),1,"")</f>
        <v/>
      </c>
      <c r="T201" s="319">
        <f>IF(OR(ISNUMBER(SEARCH("목3",$H201)),ISNUMBER(SEARCH("목1.3",$H201)),ISNUMBER(SEARCH("목2.3",$H201)),ISNUMBER(SEARCH("목1.2.3",$H201))),1,"")</f>
        <v/>
      </c>
      <c r="U201" s="319">
        <f>IF(ISNUMBER(SEARCH("금1",$H201)),1,"")</f>
        <v/>
      </c>
      <c r="V201" s="319">
        <f>IF(OR(ISNUMBER(SEARCH("금2",$H201)),ISNUMBER(SEARCH("금1.2",$H201))),1,"")</f>
        <v/>
      </c>
      <c r="W201" s="319">
        <f>IF(OR(ISNUMBER(SEARCH("금3",$H201)),ISNUMBER(SEARCH("금1.3",$H201)),ISNUMBER(SEARCH("금2.3",$H201)),ISNUMBER(SEARCH("금1.2.3",$H201))),1,"")</f>
        <v/>
      </c>
      <c r="X201" s="319">
        <f>IF(ISNUMBER(SEARCH("토1",$H201)),1,"")</f>
        <v/>
      </c>
      <c r="Y201" s="319">
        <f>IF(OR(ISNUMBER(SEARCH("토2",$H201)),ISNUMBER(SEARCH("토1.2",$H201))),1,"")</f>
        <v/>
      </c>
      <c r="Z201" s="319">
        <f>IF(OR(ISNUMBER(SEARCH("토3",$H201)),ISNUMBER(SEARCH("토1.3",$H201)),ISNUMBER(SEARCH("토2.3",$H201)),ISNUMBER(SEARCH("토1.2.3",$H201))),1,"")</f>
        <v/>
      </c>
      <c r="AA201" s="319">
        <f>IF(ISNUMBER(SEARCH("일1",$H201)),1,"")</f>
        <v/>
      </c>
      <c r="AB201" s="319">
        <f>IF(OR(ISNUMBER(SEARCH("일2",$H201)),ISNUMBER(SEARCH("일1.2",$H201))),1,"")</f>
        <v/>
      </c>
      <c r="AC201" s="319">
        <f>IF(OR(ISNUMBER(SEARCH("일3",$H201)),ISNUMBER(SEARCH("일1.3",$H201)),ISNUMBER(SEARCH("일2.3",$H201)),ISNUMBER(SEARCH("일1.2.3",$H201))),1,"")</f>
        <v/>
      </c>
      <c r="AD201" s="319">
        <f>SUM(I201:AC201)</f>
        <v/>
      </c>
      <c r="AE201" s="323" t="n"/>
    </row>
    <row r="202" ht="24" customHeight="1">
      <c r="A202" s="168" t="n"/>
      <c r="B202" s="319" t="n"/>
      <c r="C202" s="319" t="n"/>
      <c r="D202" s="319" t="n"/>
      <c r="E202" s="341" t="n"/>
      <c r="F202" s="341" t="n"/>
      <c r="G202" s="342" t="n"/>
      <c r="H202" s="322" t="n"/>
      <c r="I202" s="319">
        <f>IF(ISNUMBER(SEARCH("월1",$H202)),1,"")</f>
        <v/>
      </c>
      <c r="J202" s="319">
        <f>IF(OR(ISNUMBER(SEARCH("월2",$H202)),ISNUMBER(SEARCH("월1.2",$H202))),1,"")</f>
        <v/>
      </c>
      <c r="K202" s="319">
        <f>IF(OR(ISNUMBER(SEARCH("월3",$H202)),ISNUMBER(SEARCH("월1.3",$H202)),ISNUMBER(SEARCH("월2.3",$H202)),ISNUMBER(SEARCH("월1.2.3",$H202))),1,"")</f>
        <v/>
      </c>
      <c r="L202" s="319">
        <f>IF(ISNUMBER(SEARCH("화1",$H202)),1,"")</f>
        <v/>
      </c>
      <c r="M202" s="319">
        <f>IF(OR(ISNUMBER(SEARCH("화2",$H202)),ISNUMBER(SEARCH("화1.2",$H202))),1,"")</f>
        <v/>
      </c>
      <c r="N202" s="319">
        <f>IF(OR(ISNUMBER(SEARCH("화3",$H202)),ISNUMBER(SEARCH("화1.3",$H202)),ISNUMBER(SEARCH("화2.3",$H202)),ISNUMBER(SEARCH("화1.2.3",$H202))),1,"")</f>
        <v/>
      </c>
      <c r="O202" s="319">
        <f>IF(ISNUMBER(SEARCH("수1",$H202)),1,"")</f>
        <v/>
      </c>
      <c r="P202" s="319">
        <f>IF(OR(ISNUMBER(SEARCH("수2",$H202)),ISNUMBER(SEARCH("수1.2",$H202))),1,"")</f>
        <v/>
      </c>
      <c r="Q202" s="319">
        <f>IF(OR(ISNUMBER(SEARCH("수3",$H202)),ISNUMBER(SEARCH("수1.3",$H202)),ISNUMBER(SEARCH("수2.3",$H202)),ISNUMBER(SEARCH("수1.2.3",$H202))),1,"")</f>
        <v/>
      </c>
      <c r="R202" s="319">
        <f>IF(ISNUMBER(SEARCH("목1",$H202)),1,"")</f>
        <v/>
      </c>
      <c r="S202" s="319">
        <f>IF(OR(ISNUMBER(SEARCH("목2",$H202)),ISNUMBER(SEARCH("목1.2",$H202))),1,"")</f>
        <v/>
      </c>
      <c r="T202" s="319">
        <f>IF(OR(ISNUMBER(SEARCH("목3",$H202)),ISNUMBER(SEARCH("목1.3",$H202)),ISNUMBER(SEARCH("목2.3",$H202)),ISNUMBER(SEARCH("목1.2.3",$H202))),1,"")</f>
        <v/>
      </c>
      <c r="U202" s="319">
        <f>IF(ISNUMBER(SEARCH("금1",$H202)),1,"")</f>
        <v/>
      </c>
      <c r="V202" s="319">
        <f>IF(OR(ISNUMBER(SEARCH("금2",$H202)),ISNUMBER(SEARCH("금1.2",$H202))),1,"")</f>
        <v/>
      </c>
      <c r="W202" s="319">
        <f>IF(OR(ISNUMBER(SEARCH("금3",$H202)),ISNUMBER(SEARCH("금1.3",$H202)),ISNUMBER(SEARCH("금2.3",$H202)),ISNUMBER(SEARCH("금1.2.3",$H202))),1,"")</f>
        <v/>
      </c>
      <c r="X202" s="319">
        <f>IF(ISNUMBER(SEARCH("토1",$H202)),1,"")</f>
        <v/>
      </c>
      <c r="Y202" s="319">
        <f>IF(OR(ISNUMBER(SEARCH("토2",$H202)),ISNUMBER(SEARCH("토1.2",$H202))),1,"")</f>
        <v/>
      </c>
      <c r="Z202" s="319">
        <f>IF(OR(ISNUMBER(SEARCH("토3",$H202)),ISNUMBER(SEARCH("토1.3",$H202)),ISNUMBER(SEARCH("토2.3",$H202)),ISNUMBER(SEARCH("토1.2.3",$H202))),1,"")</f>
        <v/>
      </c>
      <c r="AA202" s="319">
        <f>IF(ISNUMBER(SEARCH("일1",$H202)),1,"")</f>
        <v/>
      </c>
      <c r="AB202" s="319">
        <f>IF(OR(ISNUMBER(SEARCH("일2",$H202)),ISNUMBER(SEARCH("일1.2",$H202))),1,"")</f>
        <v/>
      </c>
      <c r="AC202" s="319">
        <f>IF(OR(ISNUMBER(SEARCH("일3",$H202)),ISNUMBER(SEARCH("일1.3",$H202)),ISNUMBER(SEARCH("일2.3",$H202)),ISNUMBER(SEARCH("일1.2.3",$H202))),1,"")</f>
        <v/>
      </c>
      <c r="AD202" s="319">
        <f>SUM(I202:AC202)</f>
        <v/>
      </c>
      <c r="AE202" s="323" t="n"/>
    </row>
    <row r="203" ht="24" customHeight="1">
      <c r="A203" s="168" t="n"/>
      <c r="B203" s="319" t="n"/>
      <c r="C203" s="319" t="n"/>
      <c r="D203" s="319" t="n"/>
      <c r="E203" s="341" t="n"/>
      <c r="F203" s="341" t="n"/>
      <c r="G203" s="342" t="n"/>
      <c r="H203" s="322" t="n"/>
      <c r="I203" s="319">
        <f>IF(ISNUMBER(SEARCH("월1",$H203)),1,"")</f>
        <v/>
      </c>
      <c r="J203" s="319">
        <f>IF(OR(ISNUMBER(SEARCH("월2",$H203)),ISNUMBER(SEARCH("월1.2",$H203))),1,"")</f>
        <v/>
      </c>
      <c r="K203" s="319">
        <f>IF(OR(ISNUMBER(SEARCH("월3",$H203)),ISNUMBER(SEARCH("월1.3",$H203)),ISNUMBER(SEARCH("월2.3",$H203)),ISNUMBER(SEARCH("월1.2.3",$H203))),1,"")</f>
        <v/>
      </c>
      <c r="L203" s="319">
        <f>IF(ISNUMBER(SEARCH("화1",$H203)),1,"")</f>
        <v/>
      </c>
      <c r="M203" s="319">
        <f>IF(OR(ISNUMBER(SEARCH("화2",$H203)),ISNUMBER(SEARCH("화1.2",$H203))),1,"")</f>
        <v/>
      </c>
      <c r="N203" s="319">
        <f>IF(OR(ISNUMBER(SEARCH("화3",$H203)),ISNUMBER(SEARCH("화1.3",$H203)),ISNUMBER(SEARCH("화2.3",$H203)),ISNUMBER(SEARCH("화1.2.3",$H203))),1,"")</f>
        <v/>
      </c>
      <c r="O203" s="319">
        <f>IF(ISNUMBER(SEARCH("수1",$H203)),1,"")</f>
        <v/>
      </c>
      <c r="P203" s="319">
        <f>IF(OR(ISNUMBER(SEARCH("수2",$H203)),ISNUMBER(SEARCH("수1.2",$H203))),1,"")</f>
        <v/>
      </c>
      <c r="Q203" s="319">
        <f>IF(OR(ISNUMBER(SEARCH("수3",$H203)),ISNUMBER(SEARCH("수1.3",$H203)),ISNUMBER(SEARCH("수2.3",$H203)),ISNUMBER(SEARCH("수1.2.3",$H203))),1,"")</f>
        <v/>
      </c>
      <c r="R203" s="319">
        <f>IF(ISNUMBER(SEARCH("목1",$H203)),1,"")</f>
        <v/>
      </c>
      <c r="S203" s="319">
        <f>IF(OR(ISNUMBER(SEARCH("목2",$H203)),ISNUMBER(SEARCH("목1.2",$H203))),1,"")</f>
        <v/>
      </c>
      <c r="T203" s="319">
        <f>IF(OR(ISNUMBER(SEARCH("목3",$H203)),ISNUMBER(SEARCH("목1.3",$H203)),ISNUMBER(SEARCH("목2.3",$H203)),ISNUMBER(SEARCH("목1.2.3",$H203))),1,"")</f>
        <v/>
      </c>
      <c r="U203" s="319">
        <f>IF(ISNUMBER(SEARCH("금1",$H203)),1,"")</f>
        <v/>
      </c>
      <c r="V203" s="319">
        <f>IF(OR(ISNUMBER(SEARCH("금2",$H203)),ISNUMBER(SEARCH("금1.2",$H203))),1,"")</f>
        <v/>
      </c>
      <c r="W203" s="319">
        <f>IF(OR(ISNUMBER(SEARCH("금3",$H203)),ISNUMBER(SEARCH("금1.3",$H203)),ISNUMBER(SEARCH("금2.3",$H203)),ISNUMBER(SEARCH("금1.2.3",$H203))),1,"")</f>
        <v/>
      </c>
      <c r="X203" s="319">
        <f>IF(ISNUMBER(SEARCH("토1",$H203)),1,"")</f>
        <v/>
      </c>
      <c r="Y203" s="319">
        <f>IF(OR(ISNUMBER(SEARCH("토2",$H203)),ISNUMBER(SEARCH("토1.2",$H203))),1,"")</f>
        <v/>
      </c>
      <c r="Z203" s="319">
        <f>IF(OR(ISNUMBER(SEARCH("토3",$H203)),ISNUMBER(SEARCH("토1.3",$H203)),ISNUMBER(SEARCH("토2.3",$H203)),ISNUMBER(SEARCH("토1.2.3",$H203))),1,"")</f>
        <v/>
      </c>
      <c r="AA203" s="319">
        <f>IF(ISNUMBER(SEARCH("일1",$H203)),1,"")</f>
        <v/>
      </c>
      <c r="AB203" s="319">
        <f>IF(OR(ISNUMBER(SEARCH("일2",$H203)),ISNUMBER(SEARCH("일1.2",$H203))),1,"")</f>
        <v/>
      </c>
      <c r="AC203" s="319">
        <f>IF(OR(ISNUMBER(SEARCH("일3",$H203)),ISNUMBER(SEARCH("일1.3",$H203)),ISNUMBER(SEARCH("일2.3",$H203)),ISNUMBER(SEARCH("일1.2.3",$H203))),1,"")</f>
        <v/>
      </c>
      <c r="AD203" s="319">
        <f>SUM(I203:AC203)</f>
        <v/>
      </c>
      <c r="AE203" s="323" t="n"/>
    </row>
    <row r="204" ht="24" customHeight="1">
      <c r="A204" s="168" t="n"/>
      <c r="B204" s="319" t="n"/>
      <c r="C204" s="319" t="n"/>
      <c r="D204" s="319" t="n"/>
      <c r="E204" s="341" t="n"/>
      <c r="F204" s="341" t="n"/>
      <c r="G204" s="342" t="n"/>
      <c r="H204" s="322" t="n"/>
      <c r="I204" s="319">
        <f>IF(ISNUMBER(SEARCH("월1",$H204)),1,"")</f>
        <v/>
      </c>
      <c r="J204" s="319">
        <f>IF(OR(ISNUMBER(SEARCH("월2",$H204)),ISNUMBER(SEARCH("월1.2",$H204))),1,"")</f>
        <v/>
      </c>
      <c r="K204" s="319">
        <f>IF(OR(ISNUMBER(SEARCH("월3",$H204)),ISNUMBER(SEARCH("월1.3",$H204)),ISNUMBER(SEARCH("월2.3",$H204)),ISNUMBER(SEARCH("월1.2.3",$H204))),1,"")</f>
        <v/>
      </c>
      <c r="L204" s="319">
        <f>IF(ISNUMBER(SEARCH("화1",$H204)),1,"")</f>
        <v/>
      </c>
      <c r="M204" s="319">
        <f>IF(OR(ISNUMBER(SEARCH("화2",$H204)),ISNUMBER(SEARCH("화1.2",$H204))),1,"")</f>
        <v/>
      </c>
      <c r="N204" s="319">
        <f>IF(OR(ISNUMBER(SEARCH("화3",$H204)),ISNUMBER(SEARCH("화1.3",$H204)),ISNUMBER(SEARCH("화2.3",$H204)),ISNUMBER(SEARCH("화1.2.3",$H204))),1,"")</f>
        <v/>
      </c>
      <c r="O204" s="319">
        <f>IF(ISNUMBER(SEARCH("수1",$H204)),1,"")</f>
        <v/>
      </c>
      <c r="P204" s="319">
        <f>IF(OR(ISNUMBER(SEARCH("수2",$H204)),ISNUMBER(SEARCH("수1.2",$H204))),1,"")</f>
        <v/>
      </c>
      <c r="Q204" s="319">
        <f>IF(OR(ISNUMBER(SEARCH("수3",$H204)),ISNUMBER(SEARCH("수1.3",$H204)),ISNUMBER(SEARCH("수2.3",$H204)),ISNUMBER(SEARCH("수1.2.3",$H204))),1,"")</f>
        <v/>
      </c>
      <c r="R204" s="319">
        <f>IF(ISNUMBER(SEARCH("목1",$H204)),1,"")</f>
        <v/>
      </c>
      <c r="S204" s="319">
        <f>IF(OR(ISNUMBER(SEARCH("목2",$H204)),ISNUMBER(SEARCH("목1.2",$H204))),1,"")</f>
        <v/>
      </c>
      <c r="T204" s="319">
        <f>IF(OR(ISNUMBER(SEARCH("목3",$H204)),ISNUMBER(SEARCH("목1.3",$H204)),ISNUMBER(SEARCH("목2.3",$H204)),ISNUMBER(SEARCH("목1.2.3",$H204))),1,"")</f>
        <v/>
      </c>
      <c r="U204" s="319">
        <f>IF(ISNUMBER(SEARCH("금1",$H204)),1,"")</f>
        <v/>
      </c>
      <c r="V204" s="319">
        <f>IF(OR(ISNUMBER(SEARCH("금2",$H204)),ISNUMBER(SEARCH("금1.2",$H204))),1,"")</f>
        <v/>
      </c>
      <c r="W204" s="319">
        <f>IF(OR(ISNUMBER(SEARCH("금3",$H204)),ISNUMBER(SEARCH("금1.3",$H204)),ISNUMBER(SEARCH("금2.3",$H204)),ISNUMBER(SEARCH("금1.2.3",$H204))),1,"")</f>
        <v/>
      </c>
      <c r="X204" s="319">
        <f>IF(ISNUMBER(SEARCH("토1",$H204)),1,"")</f>
        <v/>
      </c>
      <c r="Y204" s="319">
        <f>IF(OR(ISNUMBER(SEARCH("토2",$H204)),ISNUMBER(SEARCH("토1.2",$H204))),1,"")</f>
        <v/>
      </c>
      <c r="Z204" s="319">
        <f>IF(OR(ISNUMBER(SEARCH("토3",$H204)),ISNUMBER(SEARCH("토1.3",$H204)),ISNUMBER(SEARCH("토2.3",$H204)),ISNUMBER(SEARCH("토1.2.3",$H204))),1,"")</f>
        <v/>
      </c>
      <c r="AA204" s="319">
        <f>IF(ISNUMBER(SEARCH("일1",$H204)),1,"")</f>
        <v/>
      </c>
      <c r="AB204" s="319">
        <f>IF(OR(ISNUMBER(SEARCH("일2",$H204)),ISNUMBER(SEARCH("일1.2",$H204))),1,"")</f>
        <v/>
      </c>
      <c r="AC204" s="319">
        <f>IF(OR(ISNUMBER(SEARCH("일3",$H204)),ISNUMBER(SEARCH("일1.3",$H204)),ISNUMBER(SEARCH("일2.3",$H204)),ISNUMBER(SEARCH("일1.2.3",$H204))),1,"")</f>
        <v/>
      </c>
      <c r="AD204" s="319">
        <f>SUM(I204:AC204)</f>
        <v/>
      </c>
      <c r="AE204" s="323" t="n"/>
    </row>
    <row r="205" ht="24" customHeight="1">
      <c r="A205" s="168" t="n"/>
      <c r="B205" s="319" t="n"/>
      <c r="C205" s="319" t="n"/>
      <c r="D205" s="319" t="n"/>
      <c r="E205" s="341" t="n"/>
      <c r="F205" s="341" t="n"/>
      <c r="G205" s="342" t="n"/>
      <c r="H205" s="322" t="n"/>
      <c r="I205" s="319">
        <f>IF(ISNUMBER(SEARCH("월1",$H205)),1,"")</f>
        <v/>
      </c>
      <c r="J205" s="319">
        <f>IF(OR(ISNUMBER(SEARCH("월2",$H205)),ISNUMBER(SEARCH("월1.2",$H205))),1,"")</f>
        <v/>
      </c>
      <c r="K205" s="319">
        <f>IF(OR(ISNUMBER(SEARCH("월3",$H205)),ISNUMBER(SEARCH("월1.3",$H205)),ISNUMBER(SEARCH("월2.3",$H205)),ISNUMBER(SEARCH("월1.2.3",$H205))),1,"")</f>
        <v/>
      </c>
      <c r="L205" s="319">
        <f>IF(ISNUMBER(SEARCH("화1",$H205)),1,"")</f>
        <v/>
      </c>
      <c r="M205" s="319">
        <f>IF(OR(ISNUMBER(SEARCH("화2",$H205)),ISNUMBER(SEARCH("화1.2",$H205))),1,"")</f>
        <v/>
      </c>
      <c r="N205" s="319">
        <f>IF(OR(ISNUMBER(SEARCH("화3",$H205)),ISNUMBER(SEARCH("화1.3",$H205)),ISNUMBER(SEARCH("화2.3",$H205)),ISNUMBER(SEARCH("화1.2.3",$H205))),1,"")</f>
        <v/>
      </c>
      <c r="O205" s="319">
        <f>IF(ISNUMBER(SEARCH("수1",$H205)),1,"")</f>
        <v/>
      </c>
      <c r="P205" s="319">
        <f>IF(OR(ISNUMBER(SEARCH("수2",$H205)),ISNUMBER(SEARCH("수1.2",$H205))),1,"")</f>
        <v/>
      </c>
      <c r="Q205" s="319">
        <f>IF(OR(ISNUMBER(SEARCH("수3",$H205)),ISNUMBER(SEARCH("수1.3",$H205)),ISNUMBER(SEARCH("수2.3",$H205)),ISNUMBER(SEARCH("수1.2.3",$H205))),1,"")</f>
        <v/>
      </c>
      <c r="R205" s="319">
        <f>IF(ISNUMBER(SEARCH("목1",$H205)),1,"")</f>
        <v/>
      </c>
      <c r="S205" s="319">
        <f>IF(OR(ISNUMBER(SEARCH("목2",$H205)),ISNUMBER(SEARCH("목1.2",$H205))),1,"")</f>
        <v/>
      </c>
      <c r="T205" s="319">
        <f>IF(OR(ISNUMBER(SEARCH("목3",$H205)),ISNUMBER(SEARCH("목1.3",$H205)),ISNUMBER(SEARCH("목2.3",$H205)),ISNUMBER(SEARCH("목1.2.3",$H205))),1,"")</f>
        <v/>
      </c>
      <c r="U205" s="319">
        <f>IF(ISNUMBER(SEARCH("금1",$H205)),1,"")</f>
        <v/>
      </c>
      <c r="V205" s="319">
        <f>IF(OR(ISNUMBER(SEARCH("금2",$H205)),ISNUMBER(SEARCH("금1.2",$H205))),1,"")</f>
        <v/>
      </c>
      <c r="W205" s="319">
        <f>IF(OR(ISNUMBER(SEARCH("금3",$H205)),ISNUMBER(SEARCH("금1.3",$H205)),ISNUMBER(SEARCH("금2.3",$H205)),ISNUMBER(SEARCH("금1.2.3",$H205))),1,"")</f>
        <v/>
      </c>
      <c r="X205" s="319">
        <f>IF(ISNUMBER(SEARCH("토1",$H205)),1,"")</f>
        <v/>
      </c>
      <c r="Y205" s="319">
        <f>IF(OR(ISNUMBER(SEARCH("토2",$H205)),ISNUMBER(SEARCH("토1.2",$H205))),1,"")</f>
        <v/>
      </c>
      <c r="Z205" s="319">
        <f>IF(OR(ISNUMBER(SEARCH("토3",$H205)),ISNUMBER(SEARCH("토1.3",$H205)),ISNUMBER(SEARCH("토2.3",$H205)),ISNUMBER(SEARCH("토1.2.3",$H205))),1,"")</f>
        <v/>
      </c>
      <c r="AA205" s="319">
        <f>IF(ISNUMBER(SEARCH("일1",$H205)),1,"")</f>
        <v/>
      </c>
      <c r="AB205" s="319">
        <f>IF(OR(ISNUMBER(SEARCH("일2",$H205)),ISNUMBER(SEARCH("일1.2",$H205))),1,"")</f>
        <v/>
      </c>
      <c r="AC205" s="319">
        <f>IF(OR(ISNUMBER(SEARCH("일3",$H205)),ISNUMBER(SEARCH("일1.3",$H205)),ISNUMBER(SEARCH("일2.3",$H205)),ISNUMBER(SEARCH("일1.2.3",$H205))),1,"")</f>
        <v/>
      </c>
      <c r="AD205" s="319">
        <f>SUM(I205:AC205)</f>
        <v/>
      </c>
      <c r="AE205" s="323" t="n"/>
    </row>
    <row r="206" ht="24" customHeight="1">
      <c r="A206" s="168" t="n"/>
      <c r="B206" s="319" t="n"/>
      <c r="C206" s="319" t="n"/>
      <c r="D206" s="319" t="n"/>
      <c r="E206" s="341" t="n"/>
      <c r="F206" s="341" t="n"/>
      <c r="G206" s="342" t="n"/>
      <c r="H206" s="322" t="n"/>
      <c r="I206" s="319">
        <f>IF(ISNUMBER(SEARCH("월1",$H206)),1,"")</f>
        <v/>
      </c>
      <c r="J206" s="319">
        <f>IF(OR(ISNUMBER(SEARCH("월2",$H206)),ISNUMBER(SEARCH("월1.2",$H206))),1,"")</f>
        <v/>
      </c>
      <c r="K206" s="319">
        <f>IF(OR(ISNUMBER(SEARCH("월3",$H206)),ISNUMBER(SEARCH("월1.3",$H206)),ISNUMBER(SEARCH("월2.3",$H206)),ISNUMBER(SEARCH("월1.2.3",$H206))),1,"")</f>
        <v/>
      </c>
      <c r="L206" s="319">
        <f>IF(ISNUMBER(SEARCH("화1",$H206)),1,"")</f>
        <v/>
      </c>
      <c r="M206" s="319">
        <f>IF(OR(ISNUMBER(SEARCH("화2",$H206)),ISNUMBER(SEARCH("화1.2",$H206))),1,"")</f>
        <v/>
      </c>
      <c r="N206" s="319">
        <f>IF(OR(ISNUMBER(SEARCH("화3",$H206)),ISNUMBER(SEARCH("화1.3",$H206)),ISNUMBER(SEARCH("화2.3",$H206)),ISNUMBER(SEARCH("화1.2.3",$H206))),1,"")</f>
        <v/>
      </c>
      <c r="O206" s="319">
        <f>IF(ISNUMBER(SEARCH("수1",$H206)),1,"")</f>
        <v/>
      </c>
      <c r="P206" s="319">
        <f>IF(OR(ISNUMBER(SEARCH("수2",$H206)),ISNUMBER(SEARCH("수1.2",$H206))),1,"")</f>
        <v/>
      </c>
      <c r="Q206" s="319">
        <f>IF(OR(ISNUMBER(SEARCH("수3",$H206)),ISNUMBER(SEARCH("수1.3",$H206)),ISNUMBER(SEARCH("수2.3",$H206)),ISNUMBER(SEARCH("수1.2.3",$H206))),1,"")</f>
        <v/>
      </c>
      <c r="R206" s="319">
        <f>IF(ISNUMBER(SEARCH("목1",$H206)),1,"")</f>
        <v/>
      </c>
      <c r="S206" s="319">
        <f>IF(OR(ISNUMBER(SEARCH("목2",$H206)),ISNUMBER(SEARCH("목1.2",$H206))),1,"")</f>
        <v/>
      </c>
      <c r="T206" s="319">
        <f>IF(OR(ISNUMBER(SEARCH("목3",$H206)),ISNUMBER(SEARCH("목1.3",$H206)),ISNUMBER(SEARCH("목2.3",$H206)),ISNUMBER(SEARCH("목1.2.3",$H206))),1,"")</f>
        <v/>
      </c>
      <c r="U206" s="319">
        <f>IF(ISNUMBER(SEARCH("금1",$H206)),1,"")</f>
        <v/>
      </c>
      <c r="V206" s="319">
        <f>IF(OR(ISNUMBER(SEARCH("금2",$H206)),ISNUMBER(SEARCH("금1.2",$H206))),1,"")</f>
        <v/>
      </c>
      <c r="W206" s="319">
        <f>IF(OR(ISNUMBER(SEARCH("금3",$H206)),ISNUMBER(SEARCH("금1.3",$H206)),ISNUMBER(SEARCH("금2.3",$H206)),ISNUMBER(SEARCH("금1.2.3",$H206))),1,"")</f>
        <v/>
      </c>
      <c r="X206" s="319">
        <f>IF(ISNUMBER(SEARCH("토1",$H206)),1,"")</f>
        <v/>
      </c>
      <c r="Y206" s="319">
        <f>IF(OR(ISNUMBER(SEARCH("토2",$H206)),ISNUMBER(SEARCH("토1.2",$H206))),1,"")</f>
        <v/>
      </c>
      <c r="Z206" s="319">
        <f>IF(OR(ISNUMBER(SEARCH("토3",$H206)),ISNUMBER(SEARCH("토1.3",$H206)),ISNUMBER(SEARCH("토2.3",$H206)),ISNUMBER(SEARCH("토1.2.3",$H206))),1,"")</f>
        <v/>
      </c>
      <c r="AA206" s="319">
        <f>IF(ISNUMBER(SEARCH("일1",$H206)),1,"")</f>
        <v/>
      </c>
      <c r="AB206" s="319">
        <f>IF(OR(ISNUMBER(SEARCH("일2",$H206)),ISNUMBER(SEARCH("일1.2",$H206))),1,"")</f>
        <v/>
      </c>
      <c r="AC206" s="319">
        <f>IF(OR(ISNUMBER(SEARCH("일3",$H206)),ISNUMBER(SEARCH("일1.3",$H206)),ISNUMBER(SEARCH("일2.3",$H206)),ISNUMBER(SEARCH("일1.2.3",$H206))),1,"")</f>
        <v/>
      </c>
      <c r="AD206" s="319">
        <f>SUM(I206:AC206)</f>
        <v/>
      </c>
      <c r="AE206" s="323" t="n"/>
    </row>
    <row r="207" ht="24" customHeight="1">
      <c r="A207" s="168" t="n"/>
      <c r="B207" s="319" t="n"/>
      <c r="C207" s="319" t="n"/>
      <c r="D207" s="319" t="n"/>
      <c r="E207" s="341" t="n"/>
      <c r="F207" s="341" t="n"/>
      <c r="G207" s="342" t="n"/>
      <c r="H207" s="322" t="n"/>
      <c r="I207" s="319">
        <f>IF(ISNUMBER(SEARCH("월1",$H207)),1,"")</f>
        <v/>
      </c>
      <c r="J207" s="319">
        <f>IF(OR(ISNUMBER(SEARCH("월2",$H207)),ISNUMBER(SEARCH("월1.2",$H207))),1,"")</f>
        <v/>
      </c>
      <c r="K207" s="319">
        <f>IF(OR(ISNUMBER(SEARCH("월3",$H207)),ISNUMBER(SEARCH("월1.3",$H207)),ISNUMBER(SEARCH("월2.3",$H207)),ISNUMBER(SEARCH("월1.2.3",$H207))),1,"")</f>
        <v/>
      </c>
      <c r="L207" s="319">
        <f>IF(ISNUMBER(SEARCH("화1",$H207)),1,"")</f>
        <v/>
      </c>
      <c r="M207" s="319">
        <f>IF(OR(ISNUMBER(SEARCH("화2",$H207)),ISNUMBER(SEARCH("화1.2",$H207))),1,"")</f>
        <v/>
      </c>
      <c r="N207" s="319">
        <f>IF(OR(ISNUMBER(SEARCH("화3",$H207)),ISNUMBER(SEARCH("화1.3",$H207)),ISNUMBER(SEARCH("화2.3",$H207)),ISNUMBER(SEARCH("화1.2.3",$H207))),1,"")</f>
        <v/>
      </c>
      <c r="O207" s="319">
        <f>IF(ISNUMBER(SEARCH("수1",$H207)),1,"")</f>
        <v/>
      </c>
      <c r="P207" s="319">
        <f>IF(OR(ISNUMBER(SEARCH("수2",$H207)),ISNUMBER(SEARCH("수1.2",$H207))),1,"")</f>
        <v/>
      </c>
      <c r="Q207" s="319">
        <f>IF(OR(ISNUMBER(SEARCH("수3",$H207)),ISNUMBER(SEARCH("수1.3",$H207)),ISNUMBER(SEARCH("수2.3",$H207)),ISNUMBER(SEARCH("수1.2.3",$H207))),1,"")</f>
        <v/>
      </c>
      <c r="R207" s="319">
        <f>IF(ISNUMBER(SEARCH("목1",$H207)),1,"")</f>
        <v/>
      </c>
      <c r="S207" s="319">
        <f>IF(OR(ISNUMBER(SEARCH("목2",$H207)),ISNUMBER(SEARCH("목1.2",$H207))),1,"")</f>
        <v/>
      </c>
      <c r="T207" s="319">
        <f>IF(OR(ISNUMBER(SEARCH("목3",$H207)),ISNUMBER(SEARCH("목1.3",$H207)),ISNUMBER(SEARCH("목2.3",$H207)),ISNUMBER(SEARCH("목1.2.3",$H207))),1,"")</f>
        <v/>
      </c>
      <c r="U207" s="319">
        <f>IF(ISNUMBER(SEARCH("금1",$H207)),1,"")</f>
        <v/>
      </c>
      <c r="V207" s="319">
        <f>IF(OR(ISNUMBER(SEARCH("금2",$H207)),ISNUMBER(SEARCH("금1.2",$H207))),1,"")</f>
        <v/>
      </c>
      <c r="W207" s="319">
        <f>IF(OR(ISNUMBER(SEARCH("금3",$H207)),ISNUMBER(SEARCH("금1.3",$H207)),ISNUMBER(SEARCH("금2.3",$H207)),ISNUMBER(SEARCH("금1.2.3",$H207))),1,"")</f>
        <v/>
      </c>
      <c r="X207" s="319">
        <f>IF(ISNUMBER(SEARCH("토1",$H207)),1,"")</f>
        <v/>
      </c>
      <c r="Y207" s="319">
        <f>IF(OR(ISNUMBER(SEARCH("토2",$H207)),ISNUMBER(SEARCH("토1.2",$H207))),1,"")</f>
        <v/>
      </c>
      <c r="Z207" s="319">
        <f>IF(OR(ISNUMBER(SEARCH("토3",$H207)),ISNUMBER(SEARCH("토1.3",$H207)),ISNUMBER(SEARCH("토2.3",$H207)),ISNUMBER(SEARCH("토1.2.3",$H207))),1,"")</f>
        <v/>
      </c>
      <c r="AA207" s="319">
        <f>IF(ISNUMBER(SEARCH("일1",$H207)),1,"")</f>
        <v/>
      </c>
      <c r="AB207" s="319">
        <f>IF(OR(ISNUMBER(SEARCH("일2",$H207)),ISNUMBER(SEARCH("일1.2",$H207))),1,"")</f>
        <v/>
      </c>
      <c r="AC207" s="319">
        <f>IF(OR(ISNUMBER(SEARCH("일3",$H207)),ISNUMBER(SEARCH("일1.3",$H207)),ISNUMBER(SEARCH("일2.3",$H207)),ISNUMBER(SEARCH("일1.2.3",$H207))),1,"")</f>
        <v/>
      </c>
      <c r="AD207" s="319">
        <f>SUM(I207:AC207)</f>
        <v/>
      </c>
      <c r="AE207" s="323" t="n"/>
    </row>
    <row r="208" ht="24" customHeight="1">
      <c r="A208" s="168" t="n"/>
      <c r="B208" s="319" t="n"/>
      <c r="C208" s="319" t="n"/>
      <c r="D208" s="319" t="n"/>
      <c r="E208" s="341" t="n"/>
      <c r="F208" s="341" t="n"/>
      <c r="G208" s="342" t="n"/>
      <c r="H208" s="322" t="n"/>
      <c r="I208" s="319">
        <f>IF(ISNUMBER(SEARCH("월1",$H208)),1,"")</f>
        <v/>
      </c>
      <c r="J208" s="319">
        <f>IF(OR(ISNUMBER(SEARCH("월2",$H208)),ISNUMBER(SEARCH("월1.2",$H208))),1,"")</f>
        <v/>
      </c>
      <c r="K208" s="319">
        <f>IF(OR(ISNUMBER(SEARCH("월3",$H208)),ISNUMBER(SEARCH("월1.3",$H208)),ISNUMBER(SEARCH("월2.3",$H208)),ISNUMBER(SEARCH("월1.2.3",$H208))),1,"")</f>
        <v/>
      </c>
      <c r="L208" s="319">
        <f>IF(ISNUMBER(SEARCH("화1",$H208)),1,"")</f>
        <v/>
      </c>
      <c r="M208" s="319">
        <f>IF(OR(ISNUMBER(SEARCH("화2",$H208)),ISNUMBER(SEARCH("화1.2",$H208))),1,"")</f>
        <v/>
      </c>
      <c r="N208" s="319">
        <f>IF(OR(ISNUMBER(SEARCH("화3",$H208)),ISNUMBER(SEARCH("화1.3",$H208)),ISNUMBER(SEARCH("화2.3",$H208)),ISNUMBER(SEARCH("화1.2.3",$H208))),1,"")</f>
        <v/>
      </c>
      <c r="O208" s="319">
        <f>IF(ISNUMBER(SEARCH("수1",$H208)),1,"")</f>
        <v/>
      </c>
      <c r="P208" s="319">
        <f>IF(OR(ISNUMBER(SEARCH("수2",$H208)),ISNUMBER(SEARCH("수1.2",$H208))),1,"")</f>
        <v/>
      </c>
      <c r="Q208" s="319">
        <f>IF(OR(ISNUMBER(SEARCH("수3",$H208)),ISNUMBER(SEARCH("수1.3",$H208)),ISNUMBER(SEARCH("수2.3",$H208)),ISNUMBER(SEARCH("수1.2.3",$H208))),1,"")</f>
        <v/>
      </c>
      <c r="R208" s="319">
        <f>IF(ISNUMBER(SEARCH("목1",$H208)),1,"")</f>
        <v/>
      </c>
      <c r="S208" s="319">
        <f>IF(OR(ISNUMBER(SEARCH("목2",$H208)),ISNUMBER(SEARCH("목1.2",$H208))),1,"")</f>
        <v/>
      </c>
      <c r="T208" s="319">
        <f>IF(OR(ISNUMBER(SEARCH("목3",$H208)),ISNUMBER(SEARCH("목1.3",$H208)),ISNUMBER(SEARCH("목2.3",$H208)),ISNUMBER(SEARCH("목1.2.3",$H208))),1,"")</f>
        <v/>
      </c>
      <c r="U208" s="319">
        <f>IF(ISNUMBER(SEARCH("금1",$H208)),1,"")</f>
        <v/>
      </c>
      <c r="V208" s="319">
        <f>IF(OR(ISNUMBER(SEARCH("금2",$H208)),ISNUMBER(SEARCH("금1.2",$H208))),1,"")</f>
        <v/>
      </c>
      <c r="W208" s="319">
        <f>IF(OR(ISNUMBER(SEARCH("금3",$H208)),ISNUMBER(SEARCH("금1.3",$H208)),ISNUMBER(SEARCH("금2.3",$H208)),ISNUMBER(SEARCH("금1.2.3",$H208))),1,"")</f>
        <v/>
      </c>
      <c r="X208" s="319">
        <f>IF(ISNUMBER(SEARCH("토1",$H208)),1,"")</f>
        <v/>
      </c>
      <c r="Y208" s="319">
        <f>IF(OR(ISNUMBER(SEARCH("토2",$H208)),ISNUMBER(SEARCH("토1.2",$H208))),1,"")</f>
        <v/>
      </c>
      <c r="Z208" s="319">
        <f>IF(OR(ISNUMBER(SEARCH("토3",$H208)),ISNUMBER(SEARCH("토1.3",$H208)),ISNUMBER(SEARCH("토2.3",$H208)),ISNUMBER(SEARCH("토1.2.3",$H208))),1,"")</f>
        <v/>
      </c>
      <c r="AA208" s="319">
        <f>IF(ISNUMBER(SEARCH("일1",$H208)),1,"")</f>
        <v/>
      </c>
      <c r="AB208" s="319">
        <f>IF(OR(ISNUMBER(SEARCH("일2",$H208)),ISNUMBER(SEARCH("일1.2",$H208))),1,"")</f>
        <v/>
      </c>
      <c r="AC208" s="319">
        <f>IF(OR(ISNUMBER(SEARCH("일3",$H208)),ISNUMBER(SEARCH("일1.3",$H208)),ISNUMBER(SEARCH("일2.3",$H208)),ISNUMBER(SEARCH("일1.2.3",$H208))),1,"")</f>
        <v/>
      </c>
      <c r="AD208" s="319">
        <f>SUM(I208:AC208)</f>
        <v/>
      </c>
      <c r="AE208" s="323" t="n"/>
    </row>
    <row r="209" ht="24" customHeight="1">
      <c r="A209" s="170" t="n"/>
      <c r="B209" s="324" t="n"/>
      <c r="C209" s="324" t="n"/>
      <c r="D209" s="324" t="n"/>
      <c r="E209" s="343" t="n"/>
      <c r="F209" s="343" t="n"/>
      <c r="G209" s="344" t="n"/>
      <c r="H209" s="327" t="n"/>
      <c r="I209" s="324">
        <f>IF(ISNUMBER(SEARCH("월1",$H209)),1,"")</f>
        <v/>
      </c>
      <c r="J209" s="324">
        <f>IF(OR(ISNUMBER(SEARCH("월2",$H209)),ISNUMBER(SEARCH("월1.2",$H209))),1,"")</f>
        <v/>
      </c>
      <c r="K209" s="324">
        <f>IF(OR(ISNUMBER(SEARCH("월3",$H209)),ISNUMBER(SEARCH("월1.3",$H209)),ISNUMBER(SEARCH("월2.3",$H209)),ISNUMBER(SEARCH("월1.2.3",$H209))),1,"")</f>
        <v/>
      </c>
      <c r="L209" s="324">
        <f>IF(ISNUMBER(SEARCH("화1",$H209)),1,"")</f>
        <v/>
      </c>
      <c r="M209" s="324">
        <f>IF(OR(ISNUMBER(SEARCH("화2",$H209)),ISNUMBER(SEARCH("화1.2",$H209))),1,"")</f>
        <v/>
      </c>
      <c r="N209" s="324">
        <f>IF(OR(ISNUMBER(SEARCH("화3",$H209)),ISNUMBER(SEARCH("화1.3",$H209)),ISNUMBER(SEARCH("화2.3",$H209)),ISNUMBER(SEARCH("화1.2.3",$H209))),1,"")</f>
        <v/>
      </c>
      <c r="O209" s="324">
        <f>IF(ISNUMBER(SEARCH("수1",$H209)),1,"")</f>
        <v/>
      </c>
      <c r="P209" s="324">
        <f>IF(OR(ISNUMBER(SEARCH("수2",$H209)),ISNUMBER(SEARCH("수1.2",$H209))),1,"")</f>
        <v/>
      </c>
      <c r="Q209" s="324">
        <f>IF(OR(ISNUMBER(SEARCH("수3",$H209)),ISNUMBER(SEARCH("수1.3",$H209)),ISNUMBER(SEARCH("수2.3",$H209)),ISNUMBER(SEARCH("수1.2.3",$H209))),1,"")</f>
        <v/>
      </c>
      <c r="R209" s="324">
        <f>IF(ISNUMBER(SEARCH("목1",$H209)),1,"")</f>
        <v/>
      </c>
      <c r="S209" s="324">
        <f>IF(OR(ISNUMBER(SEARCH("목2",$H209)),ISNUMBER(SEARCH("목1.2",$H209))),1,"")</f>
        <v/>
      </c>
      <c r="T209" s="324">
        <f>IF(OR(ISNUMBER(SEARCH("목3",$H209)),ISNUMBER(SEARCH("목1.3",$H209)),ISNUMBER(SEARCH("목2.3",$H209)),ISNUMBER(SEARCH("목1.2.3",$H209))),1,"")</f>
        <v/>
      </c>
      <c r="U209" s="324">
        <f>IF(ISNUMBER(SEARCH("금1",$H209)),1,"")</f>
        <v/>
      </c>
      <c r="V209" s="324">
        <f>IF(OR(ISNUMBER(SEARCH("금2",$H209)),ISNUMBER(SEARCH("금1.2",$H209))),1,"")</f>
        <v/>
      </c>
      <c r="W209" s="324">
        <f>IF(OR(ISNUMBER(SEARCH("금3",$H209)),ISNUMBER(SEARCH("금1.3",$H209)),ISNUMBER(SEARCH("금2.3",$H209)),ISNUMBER(SEARCH("금1.2.3",$H209))),1,"")</f>
        <v/>
      </c>
      <c r="X209" s="324">
        <f>IF(ISNUMBER(SEARCH("토1",$H209)),1,"")</f>
        <v/>
      </c>
      <c r="Y209" s="324">
        <f>IF(OR(ISNUMBER(SEARCH("토2",$H209)),ISNUMBER(SEARCH("토1.2",$H209))),1,"")</f>
        <v/>
      </c>
      <c r="Z209" s="324">
        <f>IF(OR(ISNUMBER(SEARCH("토3",$H209)),ISNUMBER(SEARCH("토1.3",$H209)),ISNUMBER(SEARCH("토2.3",$H209)),ISNUMBER(SEARCH("토1.2.3",$H209))),1,"")</f>
        <v/>
      </c>
      <c r="AA209" s="324">
        <f>IF(ISNUMBER(SEARCH("일1",$H209)),1,"")</f>
        <v/>
      </c>
      <c r="AB209" s="324">
        <f>IF(OR(ISNUMBER(SEARCH("일2",$H209)),ISNUMBER(SEARCH("일1.2",$H209))),1,"")</f>
        <v/>
      </c>
      <c r="AC209" s="324">
        <f>IF(OR(ISNUMBER(SEARCH("일3",$H209)),ISNUMBER(SEARCH("일1.3",$H209)),ISNUMBER(SEARCH("일2.3",$H209)),ISNUMBER(SEARCH("일1.2.3",$H209))),1,"")</f>
        <v/>
      </c>
      <c r="AD209" s="324">
        <f>SUM(I209:AC209)</f>
        <v/>
      </c>
      <c r="AE209" s="328" t="n"/>
    </row>
    <row r="210" ht="27" customHeight="1">
      <c r="A210" s="336" t="n"/>
      <c r="B210" s="337" t="n"/>
      <c r="C210" s="337" t="n"/>
      <c r="D210" s="337" t="n"/>
      <c r="E210" s="337" t="n"/>
      <c r="F210" s="337" t="n"/>
      <c r="G210" s="337" t="n"/>
      <c r="H210" s="337" t="n"/>
      <c r="I210" s="337" t="n"/>
      <c r="J210" s="337" t="n"/>
      <c r="K210" s="337" t="n"/>
      <c r="L210" s="337" t="n"/>
      <c r="M210" s="337" t="n"/>
      <c r="N210" s="337" t="n"/>
      <c r="O210" s="337" t="n"/>
      <c r="P210" s="337" t="n"/>
      <c r="Q210" s="337" t="n"/>
      <c r="R210" s="337" t="n"/>
      <c r="S210" s="337" t="n"/>
      <c r="T210" s="337" t="n"/>
      <c r="U210" s="337" t="n"/>
      <c r="V210" s="337" t="n"/>
      <c r="W210" s="337" t="n"/>
      <c r="X210" s="337" t="n"/>
      <c r="Y210" s="337" t="n"/>
      <c r="Z210" s="337" t="n"/>
      <c r="AA210" s="337" t="n"/>
      <c r="AB210" s="337" t="n"/>
      <c r="AC210" s="337" t="n"/>
      <c r="AD210" s="337" t="n"/>
      <c r="AE210" s="338" t="n"/>
    </row>
    <row r="211" ht="24" customHeight="1">
      <c r="A211" s="166" t="n"/>
      <c r="B211" s="314" t="n"/>
      <c r="C211" s="314" t="n"/>
      <c r="D211" s="314" t="n"/>
      <c r="E211" s="339" t="n"/>
      <c r="F211" s="339" t="n"/>
      <c r="G211" s="340" t="n"/>
      <c r="H211" s="317" t="n"/>
      <c r="I211" s="314">
        <f>IF(ISNUMBER(SEARCH("월1",$H211)),1,"")</f>
        <v/>
      </c>
      <c r="J211" s="314">
        <f>IF(OR(ISNUMBER(SEARCH("월2",$H211)),ISNUMBER(SEARCH("월1.2",$H211))),1,"")</f>
        <v/>
      </c>
      <c r="K211" s="314">
        <f>IF(OR(ISNUMBER(SEARCH("월3",$H211)),ISNUMBER(SEARCH("월1.3",$H211)),ISNUMBER(SEARCH("월2.3",$H211)),ISNUMBER(SEARCH("월1.2.3",$H211))),1,"")</f>
        <v/>
      </c>
      <c r="L211" s="314">
        <f>IF(ISNUMBER(SEARCH("화1",$H211)),1,"")</f>
        <v/>
      </c>
      <c r="M211" s="314">
        <f>IF(OR(ISNUMBER(SEARCH("화2",$H211)),ISNUMBER(SEARCH("화1.2",$H211))),1,"")</f>
        <v/>
      </c>
      <c r="N211" s="314">
        <f>IF(OR(ISNUMBER(SEARCH("화3",$H211)),ISNUMBER(SEARCH("화1.3",$H211)),ISNUMBER(SEARCH("화2.3",$H211)),ISNUMBER(SEARCH("화1.2.3",$H211))),1,"")</f>
        <v/>
      </c>
      <c r="O211" s="314">
        <f>IF(ISNUMBER(SEARCH("수1",$H211)),1,"")</f>
        <v/>
      </c>
      <c r="P211" s="314">
        <f>IF(OR(ISNUMBER(SEARCH("수2",$H211)),ISNUMBER(SEARCH("수1.2",$H211))),1,"")</f>
        <v/>
      </c>
      <c r="Q211" s="314">
        <f>IF(OR(ISNUMBER(SEARCH("수3",$H211)),ISNUMBER(SEARCH("수1.3",$H211)),ISNUMBER(SEARCH("수2.3",$H211)),ISNUMBER(SEARCH("수1.2.3",$H211))),1,"")</f>
        <v/>
      </c>
      <c r="R211" s="314">
        <f>IF(ISNUMBER(SEARCH("목1",$H211)),1,"")</f>
        <v/>
      </c>
      <c r="S211" s="314">
        <f>IF(OR(ISNUMBER(SEARCH("목2",$H211)),ISNUMBER(SEARCH("목1.2",$H211))),1,"")</f>
        <v/>
      </c>
      <c r="T211" s="314">
        <f>IF(OR(ISNUMBER(SEARCH("목3",$H211)),ISNUMBER(SEARCH("목1.3",$H211)),ISNUMBER(SEARCH("목2.3",$H211)),ISNUMBER(SEARCH("목1.2.3",$H211))),1,"")</f>
        <v/>
      </c>
      <c r="U211" s="314">
        <f>IF(ISNUMBER(SEARCH("금1",$H211)),1,"")</f>
        <v/>
      </c>
      <c r="V211" s="314">
        <f>IF(OR(ISNUMBER(SEARCH("금2",$H211)),ISNUMBER(SEARCH("금1.2",$H211))),1,"")</f>
        <v/>
      </c>
      <c r="W211" s="314">
        <f>IF(OR(ISNUMBER(SEARCH("금3",$H211)),ISNUMBER(SEARCH("금1.3",$H211)),ISNUMBER(SEARCH("금2.3",$H211)),ISNUMBER(SEARCH("금1.2.3",$H211))),1,"")</f>
        <v/>
      </c>
      <c r="X211" s="314">
        <f>IF(ISNUMBER(SEARCH("토1",$H211)),1,"")</f>
        <v/>
      </c>
      <c r="Y211" s="314">
        <f>IF(OR(ISNUMBER(SEARCH("토2",$H211)),ISNUMBER(SEARCH("토1.2",$H211))),1,"")</f>
        <v/>
      </c>
      <c r="Z211" s="314">
        <f>IF(OR(ISNUMBER(SEARCH("토3",$H211)),ISNUMBER(SEARCH("토1.3",$H211)),ISNUMBER(SEARCH("토2.3",$H211)),ISNUMBER(SEARCH("토1.2.3",$H211))),1,"")</f>
        <v/>
      </c>
      <c r="AA211" s="314">
        <f>IF(ISNUMBER(SEARCH("일1",$H211)),1,"")</f>
        <v/>
      </c>
      <c r="AB211" s="314">
        <f>IF(OR(ISNUMBER(SEARCH("일2",$H211)),ISNUMBER(SEARCH("일1.2",$H211))),1,"")</f>
        <v/>
      </c>
      <c r="AC211" s="314">
        <f>IF(OR(ISNUMBER(SEARCH("일3",$H211)),ISNUMBER(SEARCH("일1.3",$H211)),ISNUMBER(SEARCH("일2.3",$H211)),ISNUMBER(SEARCH("일1.2.3",$H211))),1,"")</f>
        <v/>
      </c>
      <c r="AD211" s="314">
        <f>SUM(I211:AC211)</f>
        <v/>
      </c>
      <c r="AE211" s="318" t="n"/>
    </row>
    <row r="212" ht="24" customHeight="1">
      <c r="A212" s="168" t="n"/>
      <c r="B212" s="319" t="n"/>
      <c r="C212" s="319" t="n"/>
      <c r="D212" s="319" t="n"/>
      <c r="E212" s="341" t="n"/>
      <c r="F212" s="341" t="n"/>
      <c r="G212" s="342" t="n"/>
      <c r="H212" s="322" t="n"/>
      <c r="I212" s="319">
        <f>IF(ISNUMBER(SEARCH("월1",$H212)),1,"")</f>
        <v/>
      </c>
      <c r="J212" s="319">
        <f>IF(OR(ISNUMBER(SEARCH("월2",$H212)),ISNUMBER(SEARCH("월1.2",$H212))),1,"")</f>
        <v/>
      </c>
      <c r="K212" s="319">
        <f>IF(OR(ISNUMBER(SEARCH("월3",$H212)),ISNUMBER(SEARCH("월1.3",$H212)),ISNUMBER(SEARCH("월2.3",$H212)),ISNUMBER(SEARCH("월1.2.3",$H212))),1,"")</f>
        <v/>
      </c>
      <c r="L212" s="319">
        <f>IF(ISNUMBER(SEARCH("화1",$H212)),1,"")</f>
        <v/>
      </c>
      <c r="M212" s="319">
        <f>IF(OR(ISNUMBER(SEARCH("화2",$H212)),ISNUMBER(SEARCH("화1.2",$H212))),1,"")</f>
        <v/>
      </c>
      <c r="N212" s="319">
        <f>IF(OR(ISNUMBER(SEARCH("화3",$H212)),ISNUMBER(SEARCH("화1.3",$H212)),ISNUMBER(SEARCH("화2.3",$H212)),ISNUMBER(SEARCH("화1.2.3",$H212))),1,"")</f>
        <v/>
      </c>
      <c r="O212" s="319">
        <f>IF(ISNUMBER(SEARCH("수1",$H212)),1,"")</f>
        <v/>
      </c>
      <c r="P212" s="319">
        <f>IF(OR(ISNUMBER(SEARCH("수2",$H212)),ISNUMBER(SEARCH("수1.2",$H212))),1,"")</f>
        <v/>
      </c>
      <c r="Q212" s="319">
        <f>IF(OR(ISNUMBER(SEARCH("수3",$H212)),ISNUMBER(SEARCH("수1.3",$H212)),ISNUMBER(SEARCH("수2.3",$H212)),ISNUMBER(SEARCH("수1.2.3",$H212))),1,"")</f>
        <v/>
      </c>
      <c r="R212" s="319">
        <f>IF(ISNUMBER(SEARCH("목1",$H212)),1,"")</f>
        <v/>
      </c>
      <c r="S212" s="319">
        <f>IF(OR(ISNUMBER(SEARCH("목2",$H212)),ISNUMBER(SEARCH("목1.2",$H212))),1,"")</f>
        <v/>
      </c>
      <c r="T212" s="319">
        <f>IF(OR(ISNUMBER(SEARCH("목3",$H212)),ISNUMBER(SEARCH("목1.3",$H212)),ISNUMBER(SEARCH("목2.3",$H212)),ISNUMBER(SEARCH("목1.2.3",$H212))),1,"")</f>
        <v/>
      </c>
      <c r="U212" s="319">
        <f>IF(ISNUMBER(SEARCH("금1",$H212)),1,"")</f>
        <v/>
      </c>
      <c r="V212" s="319">
        <f>IF(OR(ISNUMBER(SEARCH("금2",$H212)),ISNUMBER(SEARCH("금1.2",$H212))),1,"")</f>
        <v/>
      </c>
      <c r="W212" s="319">
        <f>IF(OR(ISNUMBER(SEARCH("금3",$H212)),ISNUMBER(SEARCH("금1.3",$H212)),ISNUMBER(SEARCH("금2.3",$H212)),ISNUMBER(SEARCH("금1.2.3",$H212))),1,"")</f>
        <v/>
      </c>
      <c r="X212" s="319">
        <f>IF(ISNUMBER(SEARCH("토1",$H212)),1,"")</f>
        <v/>
      </c>
      <c r="Y212" s="319">
        <f>IF(OR(ISNUMBER(SEARCH("토2",$H212)),ISNUMBER(SEARCH("토1.2",$H212))),1,"")</f>
        <v/>
      </c>
      <c r="Z212" s="319">
        <f>IF(OR(ISNUMBER(SEARCH("토3",$H212)),ISNUMBER(SEARCH("토1.3",$H212)),ISNUMBER(SEARCH("토2.3",$H212)),ISNUMBER(SEARCH("토1.2.3",$H212))),1,"")</f>
        <v/>
      </c>
      <c r="AA212" s="319">
        <f>IF(ISNUMBER(SEARCH("일1",$H212)),1,"")</f>
        <v/>
      </c>
      <c r="AB212" s="319">
        <f>IF(OR(ISNUMBER(SEARCH("일2",$H212)),ISNUMBER(SEARCH("일1.2",$H212))),1,"")</f>
        <v/>
      </c>
      <c r="AC212" s="319">
        <f>IF(OR(ISNUMBER(SEARCH("일3",$H212)),ISNUMBER(SEARCH("일1.3",$H212)),ISNUMBER(SEARCH("일2.3",$H212)),ISNUMBER(SEARCH("일1.2.3",$H212))),1,"")</f>
        <v/>
      </c>
      <c r="AD212" s="319">
        <f>SUM(I212:AC212)</f>
        <v/>
      </c>
      <c r="AE212" s="323" t="n"/>
    </row>
    <row r="213" ht="24" customHeight="1">
      <c r="A213" s="168" t="n"/>
      <c r="B213" s="319" t="n"/>
      <c r="C213" s="319" t="n"/>
      <c r="D213" s="319" t="n"/>
      <c r="E213" s="341" t="n"/>
      <c r="F213" s="341" t="n"/>
      <c r="G213" s="342" t="n"/>
      <c r="H213" s="322" t="n"/>
      <c r="I213" s="319">
        <f>IF(ISNUMBER(SEARCH("월1",$H213)),1,"")</f>
        <v/>
      </c>
      <c r="J213" s="319">
        <f>IF(OR(ISNUMBER(SEARCH("월2",$H213)),ISNUMBER(SEARCH("월1.2",$H213))),1,"")</f>
        <v/>
      </c>
      <c r="K213" s="319">
        <f>IF(OR(ISNUMBER(SEARCH("월3",$H213)),ISNUMBER(SEARCH("월1.3",$H213)),ISNUMBER(SEARCH("월2.3",$H213)),ISNUMBER(SEARCH("월1.2.3",$H213))),1,"")</f>
        <v/>
      </c>
      <c r="L213" s="319">
        <f>IF(ISNUMBER(SEARCH("화1",$H213)),1,"")</f>
        <v/>
      </c>
      <c r="M213" s="319">
        <f>IF(OR(ISNUMBER(SEARCH("화2",$H213)),ISNUMBER(SEARCH("화1.2",$H213))),1,"")</f>
        <v/>
      </c>
      <c r="N213" s="319">
        <f>IF(OR(ISNUMBER(SEARCH("화3",$H213)),ISNUMBER(SEARCH("화1.3",$H213)),ISNUMBER(SEARCH("화2.3",$H213)),ISNUMBER(SEARCH("화1.2.3",$H213))),1,"")</f>
        <v/>
      </c>
      <c r="O213" s="319">
        <f>IF(ISNUMBER(SEARCH("수1",$H213)),1,"")</f>
        <v/>
      </c>
      <c r="P213" s="319">
        <f>IF(OR(ISNUMBER(SEARCH("수2",$H213)),ISNUMBER(SEARCH("수1.2",$H213))),1,"")</f>
        <v/>
      </c>
      <c r="Q213" s="319">
        <f>IF(OR(ISNUMBER(SEARCH("수3",$H213)),ISNUMBER(SEARCH("수1.3",$H213)),ISNUMBER(SEARCH("수2.3",$H213)),ISNUMBER(SEARCH("수1.2.3",$H213))),1,"")</f>
        <v/>
      </c>
      <c r="R213" s="319">
        <f>IF(ISNUMBER(SEARCH("목1",$H213)),1,"")</f>
        <v/>
      </c>
      <c r="S213" s="319">
        <f>IF(OR(ISNUMBER(SEARCH("목2",$H213)),ISNUMBER(SEARCH("목1.2",$H213))),1,"")</f>
        <v/>
      </c>
      <c r="T213" s="319">
        <f>IF(OR(ISNUMBER(SEARCH("목3",$H213)),ISNUMBER(SEARCH("목1.3",$H213)),ISNUMBER(SEARCH("목2.3",$H213)),ISNUMBER(SEARCH("목1.2.3",$H213))),1,"")</f>
        <v/>
      </c>
      <c r="U213" s="319">
        <f>IF(ISNUMBER(SEARCH("금1",$H213)),1,"")</f>
        <v/>
      </c>
      <c r="V213" s="319">
        <f>IF(OR(ISNUMBER(SEARCH("금2",$H213)),ISNUMBER(SEARCH("금1.2",$H213))),1,"")</f>
        <v/>
      </c>
      <c r="W213" s="319">
        <f>IF(OR(ISNUMBER(SEARCH("금3",$H213)),ISNUMBER(SEARCH("금1.3",$H213)),ISNUMBER(SEARCH("금2.3",$H213)),ISNUMBER(SEARCH("금1.2.3",$H213))),1,"")</f>
        <v/>
      </c>
      <c r="X213" s="319">
        <f>IF(ISNUMBER(SEARCH("토1",$H213)),1,"")</f>
        <v/>
      </c>
      <c r="Y213" s="319">
        <f>IF(OR(ISNUMBER(SEARCH("토2",$H213)),ISNUMBER(SEARCH("토1.2",$H213))),1,"")</f>
        <v/>
      </c>
      <c r="Z213" s="319">
        <f>IF(OR(ISNUMBER(SEARCH("토3",$H213)),ISNUMBER(SEARCH("토1.3",$H213)),ISNUMBER(SEARCH("토2.3",$H213)),ISNUMBER(SEARCH("토1.2.3",$H213))),1,"")</f>
        <v/>
      </c>
      <c r="AA213" s="319">
        <f>IF(ISNUMBER(SEARCH("일1",$H213)),1,"")</f>
        <v/>
      </c>
      <c r="AB213" s="319">
        <f>IF(OR(ISNUMBER(SEARCH("일2",$H213)),ISNUMBER(SEARCH("일1.2",$H213))),1,"")</f>
        <v/>
      </c>
      <c r="AC213" s="319">
        <f>IF(OR(ISNUMBER(SEARCH("일3",$H213)),ISNUMBER(SEARCH("일1.3",$H213)),ISNUMBER(SEARCH("일2.3",$H213)),ISNUMBER(SEARCH("일1.2.3",$H213))),1,"")</f>
        <v/>
      </c>
      <c r="AD213" s="319">
        <f>SUM(I213:AC213)</f>
        <v/>
      </c>
      <c r="AE213" s="323" t="n"/>
    </row>
    <row r="214" ht="24" customHeight="1">
      <c r="A214" s="168" t="n"/>
      <c r="B214" s="319" t="n"/>
      <c r="C214" s="319" t="n"/>
      <c r="D214" s="319" t="n"/>
      <c r="E214" s="341" t="n"/>
      <c r="F214" s="341" t="n"/>
      <c r="G214" s="342" t="n"/>
      <c r="H214" s="322" t="n"/>
      <c r="I214" s="319">
        <f>IF(ISNUMBER(SEARCH("월1",$H214)),1,"")</f>
        <v/>
      </c>
      <c r="J214" s="319">
        <f>IF(OR(ISNUMBER(SEARCH("월2",$H214)),ISNUMBER(SEARCH("월1.2",$H214))),1,"")</f>
        <v/>
      </c>
      <c r="K214" s="319">
        <f>IF(OR(ISNUMBER(SEARCH("월3",$H214)),ISNUMBER(SEARCH("월1.3",$H214)),ISNUMBER(SEARCH("월2.3",$H214)),ISNUMBER(SEARCH("월1.2.3",$H214))),1,"")</f>
        <v/>
      </c>
      <c r="L214" s="319">
        <f>IF(ISNUMBER(SEARCH("화1",$H214)),1,"")</f>
        <v/>
      </c>
      <c r="M214" s="319">
        <f>IF(OR(ISNUMBER(SEARCH("화2",$H214)),ISNUMBER(SEARCH("화1.2",$H214))),1,"")</f>
        <v/>
      </c>
      <c r="N214" s="319">
        <f>IF(OR(ISNUMBER(SEARCH("화3",$H214)),ISNUMBER(SEARCH("화1.3",$H214)),ISNUMBER(SEARCH("화2.3",$H214)),ISNUMBER(SEARCH("화1.2.3",$H214))),1,"")</f>
        <v/>
      </c>
      <c r="O214" s="319">
        <f>IF(ISNUMBER(SEARCH("수1",$H214)),1,"")</f>
        <v/>
      </c>
      <c r="P214" s="319">
        <f>IF(OR(ISNUMBER(SEARCH("수2",$H214)),ISNUMBER(SEARCH("수1.2",$H214))),1,"")</f>
        <v/>
      </c>
      <c r="Q214" s="319">
        <f>IF(OR(ISNUMBER(SEARCH("수3",$H214)),ISNUMBER(SEARCH("수1.3",$H214)),ISNUMBER(SEARCH("수2.3",$H214)),ISNUMBER(SEARCH("수1.2.3",$H214))),1,"")</f>
        <v/>
      </c>
      <c r="R214" s="319">
        <f>IF(ISNUMBER(SEARCH("목1",$H214)),1,"")</f>
        <v/>
      </c>
      <c r="S214" s="319">
        <f>IF(OR(ISNUMBER(SEARCH("목2",$H214)),ISNUMBER(SEARCH("목1.2",$H214))),1,"")</f>
        <v/>
      </c>
      <c r="T214" s="319">
        <f>IF(OR(ISNUMBER(SEARCH("목3",$H214)),ISNUMBER(SEARCH("목1.3",$H214)),ISNUMBER(SEARCH("목2.3",$H214)),ISNUMBER(SEARCH("목1.2.3",$H214))),1,"")</f>
        <v/>
      </c>
      <c r="U214" s="319">
        <f>IF(ISNUMBER(SEARCH("금1",$H214)),1,"")</f>
        <v/>
      </c>
      <c r="V214" s="319">
        <f>IF(OR(ISNUMBER(SEARCH("금2",$H214)),ISNUMBER(SEARCH("금1.2",$H214))),1,"")</f>
        <v/>
      </c>
      <c r="W214" s="319">
        <f>IF(OR(ISNUMBER(SEARCH("금3",$H214)),ISNUMBER(SEARCH("금1.3",$H214)),ISNUMBER(SEARCH("금2.3",$H214)),ISNUMBER(SEARCH("금1.2.3",$H214))),1,"")</f>
        <v/>
      </c>
      <c r="X214" s="319">
        <f>IF(ISNUMBER(SEARCH("토1",$H214)),1,"")</f>
        <v/>
      </c>
      <c r="Y214" s="319">
        <f>IF(OR(ISNUMBER(SEARCH("토2",$H214)),ISNUMBER(SEARCH("토1.2",$H214))),1,"")</f>
        <v/>
      </c>
      <c r="Z214" s="319">
        <f>IF(OR(ISNUMBER(SEARCH("토3",$H214)),ISNUMBER(SEARCH("토1.3",$H214)),ISNUMBER(SEARCH("토2.3",$H214)),ISNUMBER(SEARCH("토1.2.3",$H214))),1,"")</f>
        <v/>
      </c>
      <c r="AA214" s="319">
        <f>IF(ISNUMBER(SEARCH("일1",$H214)),1,"")</f>
        <v/>
      </c>
      <c r="AB214" s="319">
        <f>IF(OR(ISNUMBER(SEARCH("일2",$H214)),ISNUMBER(SEARCH("일1.2",$H214))),1,"")</f>
        <v/>
      </c>
      <c r="AC214" s="319">
        <f>IF(OR(ISNUMBER(SEARCH("일3",$H214)),ISNUMBER(SEARCH("일1.3",$H214)),ISNUMBER(SEARCH("일2.3",$H214)),ISNUMBER(SEARCH("일1.2.3",$H214))),1,"")</f>
        <v/>
      </c>
      <c r="AD214" s="319">
        <f>SUM(I214:AC214)</f>
        <v/>
      </c>
      <c r="AE214" s="323" t="n"/>
    </row>
    <row r="215" ht="24" customHeight="1">
      <c r="A215" s="168" t="n"/>
      <c r="B215" s="319" t="n"/>
      <c r="C215" s="319" t="n"/>
      <c r="D215" s="319" t="n"/>
      <c r="E215" s="341" t="n"/>
      <c r="F215" s="341" t="n"/>
      <c r="G215" s="342" t="n"/>
      <c r="H215" s="322" t="n"/>
      <c r="I215" s="319">
        <f>IF(ISNUMBER(SEARCH("월1",$H215)),1,"")</f>
        <v/>
      </c>
      <c r="J215" s="319">
        <f>IF(OR(ISNUMBER(SEARCH("월2",$H215)),ISNUMBER(SEARCH("월1.2",$H215))),1,"")</f>
        <v/>
      </c>
      <c r="K215" s="319">
        <f>IF(OR(ISNUMBER(SEARCH("월3",$H215)),ISNUMBER(SEARCH("월1.3",$H215)),ISNUMBER(SEARCH("월2.3",$H215)),ISNUMBER(SEARCH("월1.2.3",$H215))),1,"")</f>
        <v/>
      </c>
      <c r="L215" s="319">
        <f>IF(ISNUMBER(SEARCH("화1",$H215)),1,"")</f>
        <v/>
      </c>
      <c r="M215" s="319">
        <f>IF(OR(ISNUMBER(SEARCH("화2",$H215)),ISNUMBER(SEARCH("화1.2",$H215))),1,"")</f>
        <v/>
      </c>
      <c r="N215" s="319">
        <f>IF(OR(ISNUMBER(SEARCH("화3",$H215)),ISNUMBER(SEARCH("화1.3",$H215)),ISNUMBER(SEARCH("화2.3",$H215)),ISNUMBER(SEARCH("화1.2.3",$H215))),1,"")</f>
        <v/>
      </c>
      <c r="O215" s="319">
        <f>IF(ISNUMBER(SEARCH("수1",$H215)),1,"")</f>
        <v/>
      </c>
      <c r="P215" s="319">
        <f>IF(OR(ISNUMBER(SEARCH("수2",$H215)),ISNUMBER(SEARCH("수1.2",$H215))),1,"")</f>
        <v/>
      </c>
      <c r="Q215" s="319">
        <f>IF(OR(ISNUMBER(SEARCH("수3",$H215)),ISNUMBER(SEARCH("수1.3",$H215)),ISNUMBER(SEARCH("수2.3",$H215)),ISNUMBER(SEARCH("수1.2.3",$H215))),1,"")</f>
        <v/>
      </c>
      <c r="R215" s="319">
        <f>IF(ISNUMBER(SEARCH("목1",$H215)),1,"")</f>
        <v/>
      </c>
      <c r="S215" s="319">
        <f>IF(OR(ISNUMBER(SEARCH("목2",$H215)),ISNUMBER(SEARCH("목1.2",$H215))),1,"")</f>
        <v/>
      </c>
      <c r="T215" s="319">
        <f>IF(OR(ISNUMBER(SEARCH("목3",$H215)),ISNUMBER(SEARCH("목1.3",$H215)),ISNUMBER(SEARCH("목2.3",$H215)),ISNUMBER(SEARCH("목1.2.3",$H215))),1,"")</f>
        <v/>
      </c>
      <c r="U215" s="319">
        <f>IF(ISNUMBER(SEARCH("금1",$H215)),1,"")</f>
        <v/>
      </c>
      <c r="V215" s="319">
        <f>IF(OR(ISNUMBER(SEARCH("금2",$H215)),ISNUMBER(SEARCH("금1.2",$H215))),1,"")</f>
        <v/>
      </c>
      <c r="W215" s="319">
        <f>IF(OR(ISNUMBER(SEARCH("금3",$H215)),ISNUMBER(SEARCH("금1.3",$H215)),ISNUMBER(SEARCH("금2.3",$H215)),ISNUMBER(SEARCH("금1.2.3",$H215))),1,"")</f>
        <v/>
      </c>
      <c r="X215" s="319">
        <f>IF(ISNUMBER(SEARCH("토1",$H215)),1,"")</f>
        <v/>
      </c>
      <c r="Y215" s="319">
        <f>IF(OR(ISNUMBER(SEARCH("토2",$H215)),ISNUMBER(SEARCH("토1.2",$H215))),1,"")</f>
        <v/>
      </c>
      <c r="Z215" s="319">
        <f>IF(OR(ISNUMBER(SEARCH("토3",$H215)),ISNUMBER(SEARCH("토1.3",$H215)),ISNUMBER(SEARCH("토2.3",$H215)),ISNUMBER(SEARCH("토1.2.3",$H215))),1,"")</f>
        <v/>
      </c>
      <c r="AA215" s="319">
        <f>IF(ISNUMBER(SEARCH("일1",$H215)),1,"")</f>
        <v/>
      </c>
      <c r="AB215" s="319">
        <f>IF(OR(ISNUMBER(SEARCH("일2",$H215)),ISNUMBER(SEARCH("일1.2",$H215))),1,"")</f>
        <v/>
      </c>
      <c r="AC215" s="319">
        <f>IF(OR(ISNUMBER(SEARCH("일3",$H215)),ISNUMBER(SEARCH("일1.3",$H215)),ISNUMBER(SEARCH("일2.3",$H215)),ISNUMBER(SEARCH("일1.2.3",$H215))),1,"")</f>
        <v/>
      </c>
      <c r="AD215" s="319">
        <f>SUM(I215:AC215)</f>
        <v/>
      </c>
      <c r="AE215" s="323" t="n"/>
    </row>
    <row r="216" ht="24" customHeight="1">
      <c r="A216" s="168" t="n"/>
      <c r="B216" s="319" t="n"/>
      <c r="C216" s="319" t="n"/>
      <c r="D216" s="319" t="n"/>
      <c r="E216" s="341" t="n"/>
      <c r="F216" s="341" t="n"/>
      <c r="G216" s="342" t="n"/>
      <c r="H216" s="322" t="n"/>
      <c r="I216" s="319">
        <f>IF(ISNUMBER(SEARCH("월1",$H216)),1,"")</f>
        <v/>
      </c>
      <c r="J216" s="319">
        <f>IF(OR(ISNUMBER(SEARCH("월2",$H216)),ISNUMBER(SEARCH("월1.2",$H216))),1,"")</f>
        <v/>
      </c>
      <c r="K216" s="319">
        <f>IF(OR(ISNUMBER(SEARCH("월3",$H216)),ISNUMBER(SEARCH("월1.3",$H216)),ISNUMBER(SEARCH("월2.3",$H216)),ISNUMBER(SEARCH("월1.2.3",$H216))),1,"")</f>
        <v/>
      </c>
      <c r="L216" s="319">
        <f>IF(ISNUMBER(SEARCH("화1",$H216)),1,"")</f>
        <v/>
      </c>
      <c r="M216" s="319">
        <f>IF(OR(ISNUMBER(SEARCH("화2",$H216)),ISNUMBER(SEARCH("화1.2",$H216))),1,"")</f>
        <v/>
      </c>
      <c r="N216" s="319">
        <f>IF(OR(ISNUMBER(SEARCH("화3",$H216)),ISNUMBER(SEARCH("화1.3",$H216)),ISNUMBER(SEARCH("화2.3",$H216)),ISNUMBER(SEARCH("화1.2.3",$H216))),1,"")</f>
        <v/>
      </c>
      <c r="O216" s="319">
        <f>IF(ISNUMBER(SEARCH("수1",$H216)),1,"")</f>
        <v/>
      </c>
      <c r="P216" s="319">
        <f>IF(OR(ISNUMBER(SEARCH("수2",$H216)),ISNUMBER(SEARCH("수1.2",$H216))),1,"")</f>
        <v/>
      </c>
      <c r="Q216" s="319">
        <f>IF(OR(ISNUMBER(SEARCH("수3",$H216)),ISNUMBER(SEARCH("수1.3",$H216)),ISNUMBER(SEARCH("수2.3",$H216)),ISNUMBER(SEARCH("수1.2.3",$H216))),1,"")</f>
        <v/>
      </c>
      <c r="R216" s="319">
        <f>IF(ISNUMBER(SEARCH("목1",$H216)),1,"")</f>
        <v/>
      </c>
      <c r="S216" s="319">
        <f>IF(OR(ISNUMBER(SEARCH("목2",$H216)),ISNUMBER(SEARCH("목1.2",$H216))),1,"")</f>
        <v/>
      </c>
      <c r="T216" s="319">
        <f>IF(OR(ISNUMBER(SEARCH("목3",$H216)),ISNUMBER(SEARCH("목1.3",$H216)),ISNUMBER(SEARCH("목2.3",$H216)),ISNUMBER(SEARCH("목1.2.3",$H216))),1,"")</f>
        <v/>
      </c>
      <c r="U216" s="319">
        <f>IF(ISNUMBER(SEARCH("금1",$H216)),1,"")</f>
        <v/>
      </c>
      <c r="V216" s="319">
        <f>IF(OR(ISNUMBER(SEARCH("금2",$H216)),ISNUMBER(SEARCH("금1.2",$H216))),1,"")</f>
        <v/>
      </c>
      <c r="W216" s="319">
        <f>IF(OR(ISNUMBER(SEARCH("금3",$H216)),ISNUMBER(SEARCH("금1.3",$H216)),ISNUMBER(SEARCH("금2.3",$H216)),ISNUMBER(SEARCH("금1.2.3",$H216))),1,"")</f>
        <v/>
      </c>
      <c r="X216" s="319">
        <f>IF(ISNUMBER(SEARCH("토1",$H216)),1,"")</f>
        <v/>
      </c>
      <c r="Y216" s="319">
        <f>IF(OR(ISNUMBER(SEARCH("토2",$H216)),ISNUMBER(SEARCH("토1.2",$H216))),1,"")</f>
        <v/>
      </c>
      <c r="Z216" s="319">
        <f>IF(OR(ISNUMBER(SEARCH("토3",$H216)),ISNUMBER(SEARCH("토1.3",$H216)),ISNUMBER(SEARCH("토2.3",$H216)),ISNUMBER(SEARCH("토1.2.3",$H216))),1,"")</f>
        <v/>
      </c>
      <c r="AA216" s="319">
        <f>IF(ISNUMBER(SEARCH("일1",$H216)),1,"")</f>
        <v/>
      </c>
      <c r="AB216" s="319">
        <f>IF(OR(ISNUMBER(SEARCH("일2",$H216)),ISNUMBER(SEARCH("일1.2",$H216))),1,"")</f>
        <v/>
      </c>
      <c r="AC216" s="319">
        <f>IF(OR(ISNUMBER(SEARCH("일3",$H216)),ISNUMBER(SEARCH("일1.3",$H216)),ISNUMBER(SEARCH("일2.3",$H216)),ISNUMBER(SEARCH("일1.2.3",$H216))),1,"")</f>
        <v/>
      </c>
      <c r="AD216" s="319">
        <f>SUM(I216:AC216)</f>
        <v/>
      </c>
      <c r="AE216" s="323" t="n"/>
    </row>
    <row r="217" ht="24" customHeight="1">
      <c r="A217" s="168" t="n"/>
      <c r="B217" s="319" t="n"/>
      <c r="C217" s="319" t="n"/>
      <c r="D217" s="319" t="n"/>
      <c r="E217" s="341" t="n"/>
      <c r="F217" s="341" t="n"/>
      <c r="G217" s="342" t="n"/>
      <c r="H217" s="322" t="n"/>
      <c r="I217" s="319">
        <f>IF(ISNUMBER(SEARCH("월1",$H217)),1,"")</f>
        <v/>
      </c>
      <c r="J217" s="319">
        <f>IF(OR(ISNUMBER(SEARCH("월2",$H217)),ISNUMBER(SEARCH("월1.2",$H217))),1,"")</f>
        <v/>
      </c>
      <c r="K217" s="319">
        <f>IF(OR(ISNUMBER(SEARCH("월3",$H217)),ISNUMBER(SEARCH("월1.3",$H217)),ISNUMBER(SEARCH("월2.3",$H217)),ISNUMBER(SEARCH("월1.2.3",$H217))),1,"")</f>
        <v/>
      </c>
      <c r="L217" s="319">
        <f>IF(ISNUMBER(SEARCH("화1",$H217)),1,"")</f>
        <v/>
      </c>
      <c r="M217" s="319">
        <f>IF(OR(ISNUMBER(SEARCH("화2",$H217)),ISNUMBER(SEARCH("화1.2",$H217))),1,"")</f>
        <v/>
      </c>
      <c r="N217" s="319">
        <f>IF(OR(ISNUMBER(SEARCH("화3",$H217)),ISNUMBER(SEARCH("화1.3",$H217)),ISNUMBER(SEARCH("화2.3",$H217)),ISNUMBER(SEARCH("화1.2.3",$H217))),1,"")</f>
        <v/>
      </c>
      <c r="O217" s="319">
        <f>IF(ISNUMBER(SEARCH("수1",$H217)),1,"")</f>
        <v/>
      </c>
      <c r="P217" s="319">
        <f>IF(OR(ISNUMBER(SEARCH("수2",$H217)),ISNUMBER(SEARCH("수1.2",$H217))),1,"")</f>
        <v/>
      </c>
      <c r="Q217" s="319">
        <f>IF(OR(ISNUMBER(SEARCH("수3",$H217)),ISNUMBER(SEARCH("수1.3",$H217)),ISNUMBER(SEARCH("수2.3",$H217)),ISNUMBER(SEARCH("수1.2.3",$H217))),1,"")</f>
        <v/>
      </c>
      <c r="R217" s="319">
        <f>IF(ISNUMBER(SEARCH("목1",$H217)),1,"")</f>
        <v/>
      </c>
      <c r="S217" s="319">
        <f>IF(OR(ISNUMBER(SEARCH("목2",$H217)),ISNUMBER(SEARCH("목1.2",$H217))),1,"")</f>
        <v/>
      </c>
      <c r="T217" s="319">
        <f>IF(OR(ISNUMBER(SEARCH("목3",$H217)),ISNUMBER(SEARCH("목1.3",$H217)),ISNUMBER(SEARCH("목2.3",$H217)),ISNUMBER(SEARCH("목1.2.3",$H217))),1,"")</f>
        <v/>
      </c>
      <c r="U217" s="319">
        <f>IF(ISNUMBER(SEARCH("금1",$H217)),1,"")</f>
        <v/>
      </c>
      <c r="V217" s="319">
        <f>IF(OR(ISNUMBER(SEARCH("금2",$H217)),ISNUMBER(SEARCH("금1.2",$H217))),1,"")</f>
        <v/>
      </c>
      <c r="W217" s="319">
        <f>IF(OR(ISNUMBER(SEARCH("금3",$H217)),ISNUMBER(SEARCH("금1.3",$H217)),ISNUMBER(SEARCH("금2.3",$H217)),ISNUMBER(SEARCH("금1.2.3",$H217))),1,"")</f>
        <v/>
      </c>
      <c r="X217" s="319">
        <f>IF(ISNUMBER(SEARCH("토1",$H217)),1,"")</f>
        <v/>
      </c>
      <c r="Y217" s="319">
        <f>IF(OR(ISNUMBER(SEARCH("토2",$H217)),ISNUMBER(SEARCH("토1.2",$H217))),1,"")</f>
        <v/>
      </c>
      <c r="Z217" s="319">
        <f>IF(OR(ISNUMBER(SEARCH("토3",$H217)),ISNUMBER(SEARCH("토1.3",$H217)),ISNUMBER(SEARCH("토2.3",$H217)),ISNUMBER(SEARCH("토1.2.3",$H217))),1,"")</f>
        <v/>
      </c>
      <c r="AA217" s="319">
        <f>IF(ISNUMBER(SEARCH("일1",$H217)),1,"")</f>
        <v/>
      </c>
      <c r="AB217" s="319">
        <f>IF(OR(ISNUMBER(SEARCH("일2",$H217)),ISNUMBER(SEARCH("일1.2",$H217))),1,"")</f>
        <v/>
      </c>
      <c r="AC217" s="319">
        <f>IF(OR(ISNUMBER(SEARCH("일3",$H217)),ISNUMBER(SEARCH("일1.3",$H217)),ISNUMBER(SEARCH("일2.3",$H217)),ISNUMBER(SEARCH("일1.2.3",$H217))),1,"")</f>
        <v/>
      </c>
      <c r="AD217" s="319">
        <f>SUM(I217:AC217)</f>
        <v/>
      </c>
      <c r="AE217" s="323" t="n"/>
    </row>
    <row r="218" ht="24" customHeight="1">
      <c r="A218" s="168" t="n"/>
      <c r="B218" s="319" t="n"/>
      <c r="C218" s="319" t="n"/>
      <c r="D218" s="319" t="n"/>
      <c r="E218" s="341" t="n"/>
      <c r="F218" s="341" t="n"/>
      <c r="G218" s="342" t="n"/>
      <c r="H218" s="322" t="n"/>
      <c r="I218" s="319">
        <f>IF(ISNUMBER(SEARCH("월1",$H218)),1,"")</f>
        <v/>
      </c>
      <c r="J218" s="319">
        <f>IF(OR(ISNUMBER(SEARCH("월2",$H218)),ISNUMBER(SEARCH("월1.2",$H218))),1,"")</f>
        <v/>
      </c>
      <c r="K218" s="319">
        <f>IF(OR(ISNUMBER(SEARCH("월3",$H218)),ISNUMBER(SEARCH("월1.3",$H218)),ISNUMBER(SEARCH("월2.3",$H218)),ISNUMBER(SEARCH("월1.2.3",$H218))),1,"")</f>
        <v/>
      </c>
      <c r="L218" s="319">
        <f>IF(ISNUMBER(SEARCH("화1",$H218)),1,"")</f>
        <v/>
      </c>
      <c r="M218" s="319">
        <f>IF(OR(ISNUMBER(SEARCH("화2",$H218)),ISNUMBER(SEARCH("화1.2",$H218))),1,"")</f>
        <v/>
      </c>
      <c r="N218" s="319">
        <f>IF(OR(ISNUMBER(SEARCH("화3",$H218)),ISNUMBER(SEARCH("화1.3",$H218)),ISNUMBER(SEARCH("화2.3",$H218)),ISNUMBER(SEARCH("화1.2.3",$H218))),1,"")</f>
        <v/>
      </c>
      <c r="O218" s="319">
        <f>IF(ISNUMBER(SEARCH("수1",$H218)),1,"")</f>
        <v/>
      </c>
      <c r="P218" s="319">
        <f>IF(OR(ISNUMBER(SEARCH("수2",$H218)),ISNUMBER(SEARCH("수1.2",$H218))),1,"")</f>
        <v/>
      </c>
      <c r="Q218" s="319">
        <f>IF(OR(ISNUMBER(SEARCH("수3",$H218)),ISNUMBER(SEARCH("수1.3",$H218)),ISNUMBER(SEARCH("수2.3",$H218)),ISNUMBER(SEARCH("수1.2.3",$H218))),1,"")</f>
        <v/>
      </c>
      <c r="R218" s="319">
        <f>IF(ISNUMBER(SEARCH("목1",$H218)),1,"")</f>
        <v/>
      </c>
      <c r="S218" s="319">
        <f>IF(OR(ISNUMBER(SEARCH("목2",$H218)),ISNUMBER(SEARCH("목1.2",$H218))),1,"")</f>
        <v/>
      </c>
      <c r="T218" s="319">
        <f>IF(OR(ISNUMBER(SEARCH("목3",$H218)),ISNUMBER(SEARCH("목1.3",$H218)),ISNUMBER(SEARCH("목2.3",$H218)),ISNUMBER(SEARCH("목1.2.3",$H218))),1,"")</f>
        <v/>
      </c>
      <c r="U218" s="319">
        <f>IF(ISNUMBER(SEARCH("금1",$H218)),1,"")</f>
        <v/>
      </c>
      <c r="V218" s="319">
        <f>IF(OR(ISNUMBER(SEARCH("금2",$H218)),ISNUMBER(SEARCH("금1.2",$H218))),1,"")</f>
        <v/>
      </c>
      <c r="W218" s="319">
        <f>IF(OR(ISNUMBER(SEARCH("금3",$H218)),ISNUMBER(SEARCH("금1.3",$H218)),ISNUMBER(SEARCH("금2.3",$H218)),ISNUMBER(SEARCH("금1.2.3",$H218))),1,"")</f>
        <v/>
      </c>
      <c r="X218" s="319">
        <f>IF(ISNUMBER(SEARCH("토1",$H218)),1,"")</f>
        <v/>
      </c>
      <c r="Y218" s="319">
        <f>IF(OR(ISNUMBER(SEARCH("토2",$H218)),ISNUMBER(SEARCH("토1.2",$H218))),1,"")</f>
        <v/>
      </c>
      <c r="Z218" s="319">
        <f>IF(OR(ISNUMBER(SEARCH("토3",$H218)),ISNUMBER(SEARCH("토1.3",$H218)),ISNUMBER(SEARCH("토2.3",$H218)),ISNUMBER(SEARCH("토1.2.3",$H218))),1,"")</f>
        <v/>
      </c>
      <c r="AA218" s="319">
        <f>IF(ISNUMBER(SEARCH("일1",$H218)),1,"")</f>
        <v/>
      </c>
      <c r="AB218" s="319">
        <f>IF(OR(ISNUMBER(SEARCH("일2",$H218)),ISNUMBER(SEARCH("일1.2",$H218))),1,"")</f>
        <v/>
      </c>
      <c r="AC218" s="319">
        <f>IF(OR(ISNUMBER(SEARCH("일3",$H218)),ISNUMBER(SEARCH("일1.3",$H218)),ISNUMBER(SEARCH("일2.3",$H218)),ISNUMBER(SEARCH("일1.2.3",$H218))),1,"")</f>
        <v/>
      </c>
      <c r="AD218" s="319">
        <f>SUM(I218:AC218)</f>
        <v/>
      </c>
      <c r="AE218" s="323" t="n"/>
    </row>
    <row r="219" ht="24" customHeight="1">
      <c r="A219" s="168" t="n"/>
      <c r="B219" s="319" t="n"/>
      <c r="C219" s="319" t="n"/>
      <c r="D219" s="319" t="n"/>
      <c r="E219" s="341" t="n"/>
      <c r="F219" s="341" t="n"/>
      <c r="G219" s="342" t="n"/>
      <c r="H219" s="322" t="n"/>
      <c r="I219" s="319">
        <f>IF(ISNUMBER(SEARCH("월1",$H219)),1,"")</f>
        <v/>
      </c>
      <c r="J219" s="319">
        <f>IF(OR(ISNUMBER(SEARCH("월2",$H219)),ISNUMBER(SEARCH("월1.2",$H219))),1,"")</f>
        <v/>
      </c>
      <c r="K219" s="319">
        <f>IF(OR(ISNUMBER(SEARCH("월3",$H219)),ISNUMBER(SEARCH("월1.3",$H219)),ISNUMBER(SEARCH("월2.3",$H219)),ISNUMBER(SEARCH("월1.2.3",$H219))),1,"")</f>
        <v/>
      </c>
      <c r="L219" s="319">
        <f>IF(ISNUMBER(SEARCH("화1",$H219)),1,"")</f>
        <v/>
      </c>
      <c r="M219" s="319">
        <f>IF(OR(ISNUMBER(SEARCH("화2",$H219)),ISNUMBER(SEARCH("화1.2",$H219))),1,"")</f>
        <v/>
      </c>
      <c r="N219" s="319">
        <f>IF(OR(ISNUMBER(SEARCH("화3",$H219)),ISNUMBER(SEARCH("화1.3",$H219)),ISNUMBER(SEARCH("화2.3",$H219)),ISNUMBER(SEARCH("화1.2.3",$H219))),1,"")</f>
        <v/>
      </c>
      <c r="O219" s="319">
        <f>IF(ISNUMBER(SEARCH("수1",$H219)),1,"")</f>
        <v/>
      </c>
      <c r="P219" s="319">
        <f>IF(OR(ISNUMBER(SEARCH("수2",$H219)),ISNUMBER(SEARCH("수1.2",$H219))),1,"")</f>
        <v/>
      </c>
      <c r="Q219" s="319">
        <f>IF(OR(ISNUMBER(SEARCH("수3",$H219)),ISNUMBER(SEARCH("수1.3",$H219)),ISNUMBER(SEARCH("수2.3",$H219)),ISNUMBER(SEARCH("수1.2.3",$H219))),1,"")</f>
        <v/>
      </c>
      <c r="R219" s="319">
        <f>IF(ISNUMBER(SEARCH("목1",$H219)),1,"")</f>
        <v/>
      </c>
      <c r="S219" s="319">
        <f>IF(OR(ISNUMBER(SEARCH("목2",$H219)),ISNUMBER(SEARCH("목1.2",$H219))),1,"")</f>
        <v/>
      </c>
      <c r="T219" s="319">
        <f>IF(OR(ISNUMBER(SEARCH("목3",$H219)),ISNUMBER(SEARCH("목1.3",$H219)),ISNUMBER(SEARCH("목2.3",$H219)),ISNUMBER(SEARCH("목1.2.3",$H219))),1,"")</f>
        <v/>
      </c>
      <c r="U219" s="319">
        <f>IF(ISNUMBER(SEARCH("금1",$H219)),1,"")</f>
        <v/>
      </c>
      <c r="V219" s="319">
        <f>IF(OR(ISNUMBER(SEARCH("금2",$H219)),ISNUMBER(SEARCH("금1.2",$H219))),1,"")</f>
        <v/>
      </c>
      <c r="W219" s="319">
        <f>IF(OR(ISNUMBER(SEARCH("금3",$H219)),ISNUMBER(SEARCH("금1.3",$H219)),ISNUMBER(SEARCH("금2.3",$H219)),ISNUMBER(SEARCH("금1.2.3",$H219))),1,"")</f>
        <v/>
      </c>
      <c r="X219" s="319">
        <f>IF(ISNUMBER(SEARCH("토1",$H219)),1,"")</f>
        <v/>
      </c>
      <c r="Y219" s="319">
        <f>IF(OR(ISNUMBER(SEARCH("토2",$H219)),ISNUMBER(SEARCH("토1.2",$H219))),1,"")</f>
        <v/>
      </c>
      <c r="Z219" s="319">
        <f>IF(OR(ISNUMBER(SEARCH("토3",$H219)),ISNUMBER(SEARCH("토1.3",$H219)),ISNUMBER(SEARCH("토2.3",$H219)),ISNUMBER(SEARCH("토1.2.3",$H219))),1,"")</f>
        <v/>
      </c>
      <c r="AA219" s="319">
        <f>IF(ISNUMBER(SEARCH("일1",$H219)),1,"")</f>
        <v/>
      </c>
      <c r="AB219" s="319">
        <f>IF(OR(ISNUMBER(SEARCH("일2",$H219)),ISNUMBER(SEARCH("일1.2",$H219))),1,"")</f>
        <v/>
      </c>
      <c r="AC219" s="319">
        <f>IF(OR(ISNUMBER(SEARCH("일3",$H219)),ISNUMBER(SEARCH("일1.3",$H219)),ISNUMBER(SEARCH("일2.3",$H219)),ISNUMBER(SEARCH("일1.2.3",$H219))),1,"")</f>
        <v/>
      </c>
      <c r="AD219" s="319">
        <f>SUM(I219:AC219)</f>
        <v/>
      </c>
      <c r="AE219" s="323" t="n"/>
    </row>
    <row r="220" ht="24" customHeight="1">
      <c r="A220" s="168" t="n"/>
      <c r="B220" s="319" t="n"/>
      <c r="C220" s="319" t="n"/>
      <c r="D220" s="319" t="n"/>
      <c r="E220" s="341" t="n"/>
      <c r="F220" s="341" t="n"/>
      <c r="G220" s="342" t="n"/>
      <c r="H220" s="322" t="n"/>
      <c r="I220" s="319">
        <f>IF(ISNUMBER(SEARCH("월1",$H220)),1,"")</f>
        <v/>
      </c>
      <c r="J220" s="319">
        <f>IF(OR(ISNUMBER(SEARCH("월2",$H220)),ISNUMBER(SEARCH("월1.2",$H220))),1,"")</f>
        <v/>
      </c>
      <c r="K220" s="319">
        <f>IF(OR(ISNUMBER(SEARCH("월3",$H220)),ISNUMBER(SEARCH("월1.3",$H220)),ISNUMBER(SEARCH("월2.3",$H220)),ISNUMBER(SEARCH("월1.2.3",$H220))),1,"")</f>
        <v/>
      </c>
      <c r="L220" s="319">
        <f>IF(ISNUMBER(SEARCH("화1",$H220)),1,"")</f>
        <v/>
      </c>
      <c r="M220" s="319">
        <f>IF(OR(ISNUMBER(SEARCH("화2",$H220)),ISNUMBER(SEARCH("화1.2",$H220))),1,"")</f>
        <v/>
      </c>
      <c r="N220" s="319">
        <f>IF(OR(ISNUMBER(SEARCH("화3",$H220)),ISNUMBER(SEARCH("화1.3",$H220)),ISNUMBER(SEARCH("화2.3",$H220)),ISNUMBER(SEARCH("화1.2.3",$H220))),1,"")</f>
        <v/>
      </c>
      <c r="O220" s="319">
        <f>IF(ISNUMBER(SEARCH("수1",$H220)),1,"")</f>
        <v/>
      </c>
      <c r="P220" s="319">
        <f>IF(OR(ISNUMBER(SEARCH("수2",$H220)),ISNUMBER(SEARCH("수1.2",$H220))),1,"")</f>
        <v/>
      </c>
      <c r="Q220" s="319">
        <f>IF(OR(ISNUMBER(SEARCH("수3",$H220)),ISNUMBER(SEARCH("수1.3",$H220)),ISNUMBER(SEARCH("수2.3",$H220)),ISNUMBER(SEARCH("수1.2.3",$H220))),1,"")</f>
        <v/>
      </c>
      <c r="R220" s="319">
        <f>IF(ISNUMBER(SEARCH("목1",$H220)),1,"")</f>
        <v/>
      </c>
      <c r="S220" s="319">
        <f>IF(OR(ISNUMBER(SEARCH("목2",$H220)),ISNUMBER(SEARCH("목1.2",$H220))),1,"")</f>
        <v/>
      </c>
      <c r="T220" s="319">
        <f>IF(OR(ISNUMBER(SEARCH("목3",$H220)),ISNUMBER(SEARCH("목1.3",$H220)),ISNUMBER(SEARCH("목2.3",$H220)),ISNUMBER(SEARCH("목1.2.3",$H220))),1,"")</f>
        <v/>
      </c>
      <c r="U220" s="319">
        <f>IF(ISNUMBER(SEARCH("금1",$H220)),1,"")</f>
        <v/>
      </c>
      <c r="V220" s="319">
        <f>IF(OR(ISNUMBER(SEARCH("금2",$H220)),ISNUMBER(SEARCH("금1.2",$H220))),1,"")</f>
        <v/>
      </c>
      <c r="W220" s="319">
        <f>IF(OR(ISNUMBER(SEARCH("금3",$H220)),ISNUMBER(SEARCH("금1.3",$H220)),ISNUMBER(SEARCH("금2.3",$H220)),ISNUMBER(SEARCH("금1.2.3",$H220))),1,"")</f>
        <v/>
      </c>
      <c r="X220" s="319">
        <f>IF(ISNUMBER(SEARCH("토1",$H220)),1,"")</f>
        <v/>
      </c>
      <c r="Y220" s="319">
        <f>IF(OR(ISNUMBER(SEARCH("토2",$H220)),ISNUMBER(SEARCH("토1.2",$H220))),1,"")</f>
        <v/>
      </c>
      <c r="Z220" s="319">
        <f>IF(OR(ISNUMBER(SEARCH("토3",$H220)),ISNUMBER(SEARCH("토1.3",$H220)),ISNUMBER(SEARCH("토2.3",$H220)),ISNUMBER(SEARCH("토1.2.3",$H220))),1,"")</f>
        <v/>
      </c>
      <c r="AA220" s="319">
        <f>IF(ISNUMBER(SEARCH("일1",$H220)),1,"")</f>
        <v/>
      </c>
      <c r="AB220" s="319">
        <f>IF(OR(ISNUMBER(SEARCH("일2",$H220)),ISNUMBER(SEARCH("일1.2",$H220))),1,"")</f>
        <v/>
      </c>
      <c r="AC220" s="319">
        <f>IF(OR(ISNUMBER(SEARCH("일3",$H220)),ISNUMBER(SEARCH("일1.3",$H220)),ISNUMBER(SEARCH("일2.3",$H220)),ISNUMBER(SEARCH("일1.2.3",$H220))),1,"")</f>
        <v/>
      </c>
      <c r="AD220" s="319">
        <f>SUM(I220:AC220)</f>
        <v/>
      </c>
      <c r="AE220" s="323" t="n"/>
    </row>
    <row r="221" ht="24" customHeight="1">
      <c r="A221" s="168" t="n"/>
      <c r="B221" s="319" t="n"/>
      <c r="C221" s="319" t="n"/>
      <c r="D221" s="319" t="n"/>
      <c r="E221" s="341" t="n"/>
      <c r="F221" s="341" t="n"/>
      <c r="G221" s="342" t="n"/>
      <c r="H221" s="322" t="n"/>
      <c r="I221" s="319">
        <f>IF(ISNUMBER(SEARCH("월1",$H221)),1,"")</f>
        <v/>
      </c>
      <c r="J221" s="319">
        <f>IF(OR(ISNUMBER(SEARCH("월2",$H221)),ISNUMBER(SEARCH("월1.2",$H221))),1,"")</f>
        <v/>
      </c>
      <c r="K221" s="319">
        <f>IF(OR(ISNUMBER(SEARCH("월3",$H221)),ISNUMBER(SEARCH("월1.3",$H221)),ISNUMBER(SEARCH("월2.3",$H221)),ISNUMBER(SEARCH("월1.2.3",$H221))),1,"")</f>
        <v/>
      </c>
      <c r="L221" s="319">
        <f>IF(ISNUMBER(SEARCH("화1",$H221)),1,"")</f>
        <v/>
      </c>
      <c r="M221" s="319">
        <f>IF(OR(ISNUMBER(SEARCH("화2",$H221)),ISNUMBER(SEARCH("화1.2",$H221))),1,"")</f>
        <v/>
      </c>
      <c r="N221" s="319">
        <f>IF(OR(ISNUMBER(SEARCH("화3",$H221)),ISNUMBER(SEARCH("화1.3",$H221)),ISNUMBER(SEARCH("화2.3",$H221)),ISNUMBER(SEARCH("화1.2.3",$H221))),1,"")</f>
        <v/>
      </c>
      <c r="O221" s="319">
        <f>IF(ISNUMBER(SEARCH("수1",$H221)),1,"")</f>
        <v/>
      </c>
      <c r="P221" s="319">
        <f>IF(OR(ISNUMBER(SEARCH("수2",$H221)),ISNUMBER(SEARCH("수1.2",$H221))),1,"")</f>
        <v/>
      </c>
      <c r="Q221" s="319">
        <f>IF(OR(ISNUMBER(SEARCH("수3",$H221)),ISNUMBER(SEARCH("수1.3",$H221)),ISNUMBER(SEARCH("수2.3",$H221)),ISNUMBER(SEARCH("수1.2.3",$H221))),1,"")</f>
        <v/>
      </c>
      <c r="R221" s="319">
        <f>IF(ISNUMBER(SEARCH("목1",$H221)),1,"")</f>
        <v/>
      </c>
      <c r="S221" s="319">
        <f>IF(OR(ISNUMBER(SEARCH("목2",$H221)),ISNUMBER(SEARCH("목1.2",$H221))),1,"")</f>
        <v/>
      </c>
      <c r="T221" s="319">
        <f>IF(OR(ISNUMBER(SEARCH("목3",$H221)),ISNUMBER(SEARCH("목1.3",$H221)),ISNUMBER(SEARCH("목2.3",$H221)),ISNUMBER(SEARCH("목1.2.3",$H221))),1,"")</f>
        <v/>
      </c>
      <c r="U221" s="319">
        <f>IF(ISNUMBER(SEARCH("금1",$H221)),1,"")</f>
        <v/>
      </c>
      <c r="V221" s="319">
        <f>IF(OR(ISNUMBER(SEARCH("금2",$H221)),ISNUMBER(SEARCH("금1.2",$H221))),1,"")</f>
        <v/>
      </c>
      <c r="W221" s="319">
        <f>IF(OR(ISNUMBER(SEARCH("금3",$H221)),ISNUMBER(SEARCH("금1.3",$H221)),ISNUMBER(SEARCH("금2.3",$H221)),ISNUMBER(SEARCH("금1.2.3",$H221))),1,"")</f>
        <v/>
      </c>
      <c r="X221" s="319">
        <f>IF(ISNUMBER(SEARCH("토1",$H221)),1,"")</f>
        <v/>
      </c>
      <c r="Y221" s="319">
        <f>IF(OR(ISNUMBER(SEARCH("토2",$H221)),ISNUMBER(SEARCH("토1.2",$H221))),1,"")</f>
        <v/>
      </c>
      <c r="Z221" s="319">
        <f>IF(OR(ISNUMBER(SEARCH("토3",$H221)),ISNUMBER(SEARCH("토1.3",$H221)),ISNUMBER(SEARCH("토2.3",$H221)),ISNUMBER(SEARCH("토1.2.3",$H221))),1,"")</f>
        <v/>
      </c>
      <c r="AA221" s="319">
        <f>IF(ISNUMBER(SEARCH("일1",$H221)),1,"")</f>
        <v/>
      </c>
      <c r="AB221" s="319">
        <f>IF(OR(ISNUMBER(SEARCH("일2",$H221)),ISNUMBER(SEARCH("일1.2",$H221))),1,"")</f>
        <v/>
      </c>
      <c r="AC221" s="319">
        <f>IF(OR(ISNUMBER(SEARCH("일3",$H221)),ISNUMBER(SEARCH("일1.3",$H221)),ISNUMBER(SEARCH("일2.3",$H221)),ISNUMBER(SEARCH("일1.2.3",$H221))),1,"")</f>
        <v/>
      </c>
      <c r="AD221" s="319">
        <f>SUM(I221:AC221)</f>
        <v/>
      </c>
      <c r="AE221" s="323" t="n"/>
    </row>
    <row r="222" ht="24" customHeight="1">
      <c r="A222" s="168" t="n"/>
      <c r="B222" s="319" t="n"/>
      <c r="C222" s="319" t="n"/>
      <c r="D222" s="319" t="n"/>
      <c r="E222" s="341" t="n"/>
      <c r="F222" s="341" t="n"/>
      <c r="G222" s="342" t="n"/>
      <c r="H222" s="322" t="n"/>
      <c r="I222" s="319">
        <f>IF(ISNUMBER(SEARCH("월1",$H222)),1,"")</f>
        <v/>
      </c>
      <c r="J222" s="319">
        <f>IF(OR(ISNUMBER(SEARCH("월2",$H222)),ISNUMBER(SEARCH("월1.2",$H222))),1,"")</f>
        <v/>
      </c>
      <c r="K222" s="319">
        <f>IF(OR(ISNUMBER(SEARCH("월3",$H222)),ISNUMBER(SEARCH("월1.3",$H222)),ISNUMBER(SEARCH("월2.3",$H222)),ISNUMBER(SEARCH("월1.2.3",$H222))),1,"")</f>
        <v/>
      </c>
      <c r="L222" s="319">
        <f>IF(ISNUMBER(SEARCH("화1",$H222)),1,"")</f>
        <v/>
      </c>
      <c r="M222" s="319">
        <f>IF(OR(ISNUMBER(SEARCH("화2",$H222)),ISNUMBER(SEARCH("화1.2",$H222))),1,"")</f>
        <v/>
      </c>
      <c r="N222" s="319">
        <f>IF(OR(ISNUMBER(SEARCH("화3",$H222)),ISNUMBER(SEARCH("화1.3",$H222)),ISNUMBER(SEARCH("화2.3",$H222)),ISNUMBER(SEARCH("화1.2.3",$H222))),1,"")</f>
        <v/>
      </c>
      <c r="O222" s="319">
        <f>IF(ISNUMBER(SEARCH("수1",$H222)),1,"")</f>
        <v/>
      </c>
      <c r="P222" s="319">
        <f>IF(OR(ISNUMBER(SEARCH("수2",$H222)),ISNUMBER(SEARCH("수1.2",$H222))),1,"")</f>
        <v/>
      </c>
      <c r="Q222" s="319">
        <f>IF(OR(ISNUMBER(SEARCH("수3",$H222)),ISNUMBER(SEARCH("수1.3",$H222)),ISNUMBER(SEARCH("수2.3",$H222)),ISNUMBER(SEARCH("수1.2.3",$H222))),1,"")</f>
        <v/>
      </c>
      <c r="R222" s="319">
        <f>IF(ISNUMBER(SEARCH("목1",$H222)),1,"")</f>
        <v/>
      </c>
      <c r="S222" s="319">
        <f>IF(OR(ISNUMBER(SEARCH("목2",$H222)),ISNUMBER(SEARCH("목1.2",$H222))),1,"")</f>
        <v/>
      </c>
      <c r="T222" s="319">
        <f>IF(OR(ISNUMBER(SEARCH("목3",$H222)),ISNUMBER(SEARCH("목1.3",$H222)),ISNUMBER(SEARCH("목2.3",$H222)),ISNUMBER(SEARCH("목1.2.3",$H222))),1,"")</f>
        <v/>
      </c>
      <c r="U222" s="319">
        <f>IF(ISNUMBER(SEARCH("금1",$H222)),1,"")</f>
        <v/>
      </c>
      <c r="V222" s="319">
        <f>IF(OR(ISNUMBER(SEARCH("금2",$H222)),ISNUMBER(SEARCH("금1.2",$H222))),1,"")</f>
        <v/>
      </c>
      <c r="W222" s="319">
        <f>IF(OR(ISNUMBER(SEARCH("금3",$H222)),ISNUMBER(SEARCH("금1.3",$H222)),ISNUMBER(SEARCH("금2.3",$H222)),ISNUMBER(SEARCH("금1.2.3",$H222))),1,"")</f>
        <v/>
      </c>
      <c r="X222" s="319">
        <f>IF(ISNUMBER(SEARCH("토1",$H222)),1,"")</f>
        <v/>
      </c>
      <c r="Y222" s="319">
        <f>IF(OR(ISNUMBER(SEARCH("토2",$H222)),ISNUMBER(SEARCH("토1.2",$H222))),1,"")</f>
        <v/>
      </c>
      <c r="Z222" s="319">
        <f>IF(OR(ISNUMBER(SEARCH("토3",$H222)),ISNUMBER(SEARCH("토1.3",$H222)),ISNUMBER(SEARCH("토2.3",$H222)),ISNUMBER(SEARCH("토1.2.3",$H222))),1,"")</f>
        <v/>
      </c>
      <c r="AA222" s="319">
        <f>IF(ISNUMBER(SEARCH("일1",$H222)),1,"")</f>
        <v/>
      </c>
      <c r="AB222" s="319">
        <f>IF(OR(ISNUMBER(SEARCH("일2",$H222)),ISNUMBER(SEARCH("일1.2",$H222))),1,"")</f>
        <v/>
      </c>
      <c r="AC222" s="319">
        <f>IF(OR(ISNUMBER(SEARCH("일3",$H222)),ISNUMBER(SEARCH("일1.3",$H222)),ISNUMBER(SEARCH("일2.3",$H222)),ISNUMBER(SEARCH("일1.2.3",$H222))),1,"")</f>
        <v/>
      </c>
      <c r="AD222" s="319">
        <f>SUM(I222:AC222)</f>
        <v/>
      </c>
      <c r="AE222" s="323" t="n"/>
    </row>
    <row r="223" ht="24" customHeight="1">
      <c r="A223" s="168" t="n"/>
      <c r="B223" s="319" t="n"/>
      <c r="C223" s="319" t="n"/>
      <c r="D223" s="319" t="n"/>
      <c r="E223" s="341" t="n"/>
      <c r="F223" s="341" t="n"/>
      <c r="G223" s="342" t="n"/>
      <c r="H223" s="322" t="n"/>
      <c r="I223" s="319">
        <f>IF(ISNUMBER(SEARCH("월1",$H223)),1,"")</f>
        <v/>
      </c>
      <c r="J223" s="319">
        <f>IF(OR(ISNUMBER(SEARCH("월2",$H223)),ISNUMBER(SEARCH("월1.2",$H223))),1,"")</f>
        <v/>
      </c>
      <c r="K223" s="319">
        <f>IF(OR(ISNUMBER(SEARCH("월3",$H223)),ISNUMBER(SEARCH("월1.3",$H223)),ISNUMBER(SEARCH("월2.3",$H223)),ISNUMBER(SEARCH("월1.2.3",$H223))),1,"")</f>
        <v/>
      </c>
      <c r="L223" s="319">
        <f>IF(ISNUMBER(SEARCH("화1",$H223)),1,"")</f>
        <v/>
      </c>
      <c r="M223" s="319">
        <f>IF(OR(ISNUMBER(SEARCH("화2",$H223)),ISNUMBER(SEARCH("화1.2",$H223))),1,"")</f>
        <v/>
      </c>
      <c r="N223" s="319">
        <f>IF(OR(ISNUMBER(SEARCH("화3",$H223)),ISNUMBER(SEARCH("화1.3",$H223)),ISNUMBER(SEARCH("화2.3",$H223)),ISNUMBER(SEARCH("화1.2.3",$H223))),1,"")</f>
        <v/>
      </c>
      <c r="O223" s="319">
        <f>IF(ISNUMBER(SEARCH("수1",$H223)),1,"")</f>
        <v/>
      </c>
      <c r="P223" s="319">
        <f>IF(OR(ISNUMBER(SEARCH("수2",$H223)),ISNUMBER(SEARCH("수1.2",$H223))),1,"")</f>
        <v/>
      </c>
      <c r="Q223" s="319">
        <f>IF(OR(ISNUMBER(SEARCH("수3",$H223)),ISNUMBER(SEARCH("수1.3",$H223)),ISNUMBER(SEARCH("수2.3",$H223)),ISNUMBER(SEARCH("수1.2.3",$H223))),1,"")</f>
        <v/>
      </c>
      <c r="R223" s="319">
        <f>IF(ISNUMBER(SEARCH("목1",$H223)),1,"")</f>
        <v/>
      </c>
      <c r="S223" s="319">
        <f>IF(OR(ISNUMBER(SEARCH("목2",$H223)),ISNUMBER(SEARCH("목1.2",$H223))),1,"")</f>
        <v/>
      </c>
      <c r="T223" s="319">
        <f>IF(OR(ISNUMBER(SEARCH("목3",$H223)),ISNUMBER(SEARCH("목1.3",$H223)),ISNUMBER(SEARCH("목2.3",$H223)),ISNUMBER(SEARCH("목1.2.3",$H223))),1,"")</f>
        <v/>
      </c>
      <c r="U223" s="319">
        <f>IF(ISNUMBER(SEARCH("금1",$H223)),1,"")</f>
        <v/>
      </c>
      <c r="V223" s="319">
        <f>IF(OR(ISNUMBER(SEARCH("금2",$H223)),ISNUMBER(SEARCH("금1.2",$H223))),1,"")</f>
        <v/>
      </c>
      <c r="W223" s="319">
        <f>IF(OR(ISNUMBER(SEARCH("금3",$H223)),ISNUMBER(SEARCH("금1.3",$H223)),ISNUMBER(SEARCH("금2.3",$H223)),ISNUMBER(SEARCH("금1.2.3",$H223))),1,"")</f>
        <v/>
      </c>
      <c r="X223" s="319">
        <f>IF(ISNUMBER(SEARCH("토1",$H223)),1,"")</f>
        <v/>
      </c>
      <c r="Y223" s="319">
        <f>IF(OR(ISNUMBER(SEARCH("토2",$H223)),ISNUMBER(SEARCH("토1.2",$H223))),1,"")</f>
        <v/>
      </c>
      <c r="Z223" s="319">
        <f>IF(OR(ISNUMBER(SEARCH("토3",$H223)),ISNUMBER(SEARCH("토1.3",$H223)),ISNUMBER(SEARCH("토2.3",$H223)),ISNUMBER(SEARCH("토1.2.3",$H223))),1,"")</f>
        <v/>
      </c>
      <c r="AA223" s="319">
        <f>IF(ISNUMBER(SEARCH("일1",$H223)),1,"")</f>
        <v/>
      </c>
      <c r="AB223" s="319">
        <f>IF(OR(ISNUMBER(SEARCH("일2",$H223)),ISNUMBER(SEARCH("일1.2",$H223))),1,"")</f>
        <v/>
      </c>
      <c r="AC223" s="319">
        <f>IF(OR(ISNUMBER(SEARCH("일3",$H223)),ISNUMBER(SEARCH("일1.3",$H223)),ISNUMBER(SEARCH("일2.3",$H223)),ISNUMBER(SEARCH("일1.2.3",$H223))),1,"")</f>
        <v/>
      </c>
      <c r="AD223" s="319">
        <f>SUM(I223:AC223)</f>
        <v/>
      </c>
      <c r="AE223" s="323" t="n"/>
    </row>
    <row r="224" ht="24" customHeight="1">
      <c r="A224" s="168" t="n"/>
      <c r="B224" s="319" t="n"/>
      <c r="C224" s="319" t="n"/>
      <c r="D224" s="319" t="n"/>
      <c r="E224" s="341" t="n"/>
      <c r="F224" s="341" t="n"/>
      <c r="G224" s="342" t="n"/>
      <c r="H224" s="322" t="n"/>
      <c r="I224" s="319">
        <f>IF(ISNUMBER(SEARCH("월1",$H224)),1,"")</f>
        <v/>
      </c>
      <c r="J224" s="319">
        <f>IF(OR(ISNUMBER(SEARCH("월2",$H224)),ISNUMBER(SEARCH("월1.2",$H224))),1,"")</f>
        <v/>
      </c>
      <c r="K224" s="319">
        <f>IF(OR(ISNUMBER(SEARCH("월3",$H224)),ISNUMBER(SEARCH("월1.3",$H224)),ISNUMBER(SEARCH("월2.3",$H224)),ISNUMBER(SEARCH("월1.2.3",$H224))),1,"")</f>
        <v/>
      </c>
      <c r="L224" s="319">
        <f>IF(ISNUMBER(SEARCH("화1",$H224)),1,"")</f>
        <v/>
      </c>
      <c r="M224" s="319">
        <f>IF(OR(ISNUMBER(SEARCH("화2",$H224)),ISNUMBER(SEARCH("화1.2",$H224))),1,"")</f>
        <v/>
      </c>
      <c r="N224" s="319">
        <f>IF(OR(ISNUMBER(SEARCH("화3",$H224)),ISNUMBER(SEARCH("화1.3",$H224)),ISNUMBER(SEARCH("화2.3",$H224)),ISNUMBER(SEARCH("화1.2.3",$H224))),1,"")</f>
        <v/>
      </c>
      <c r="O224" s="319">
        <f>IF(ISNUMBER(SEARCH("수1",$H224)),1,"")</f>
        <v/>
      </c>
      <c r="P224" s="319">
        <f>IF(OR(ISNUMBER(SEARCH("수2",$H224)),ISNUMBER(SEARCH("수1.2",$H224))),1,"")</f>
        <v/>
      </c>
      <c r="Q224" s="319">
        <f>IF(OR(ISNUMBER(SEARCH("수3",$H224)),ISNUMBER(SEARCH("수1.3",$H224)),ISNUMBER(SEARCH("수2.3",$H224)),ISNUMBER(SEARCH("수1.2.3",$H224))),1,"")</f>
        <v/>
      </c>
      <c r="R224" s="319">
        <f>IF(ISNUMBER(SEARCH("목1",$H224)),1,"")</f>
        <v/>
      </c>
      <c r="S224" s="319">
        <f>IF(OR(ISNUMBER(SEARCH("목2",$H224)),ISNUMBER(SEARCH("목1.2",$H224))),1,"")</f>
        <v/>
      </c>
      <c r="T224" s="319">
        <f>IF(OR(ISNUMBER(SEARCH("목3",$H224)),ISNUMBER(SEARCH("목1.3",$H224)),ISNUMBER(SEARCH("목2.3",$H224)),ISNUMBER(SEARCH("목1.2.3",$H224))),1,"")</f>
        <v/>
      </c>
      <c r="U224" s="319">
        <f>IF(ISNUMBER(SEARCH("금1",$H224)),1,"")</f>
        <v/>
      </c>
      <c r="V224" s="319">
        <f>IF(OR(ISNUMBER(SEARCH("금2",$H224)),ISNUMBER(SEARCH("금1.2",$H224))),1,"")</f>
        <v/>
      </c>
      <c r="W224" s="319">
        <f>IF(OR(ISNUMBER(SEARCH("금3",$H224)),ISNUMBER(SEARCH("금1.3",$H224)),ISNUMBER(SEARCH("금2.3",$H224)),ISNUMBER(SEARCH("금1.2.3",$H224))),1,"")</f>
        <v/>
      </c>
      <c r="X224" s="319">
        <f>IF(ISNUMBER(SEARCH("토1",$H224)),1,"")</f>
        <v/>
      </c>
      <c r="Y224" s="319">
        <f>IF(OR(ISNUMBER(SEARCH("토2",$H224)),ISNUMBER(SEARCH("토1.2",$H224))),1,"")</f>
        <v/>
      </c>
      <c r="Z224" s="319">
        <f>IF(OR(ISNUMBER(SEARCH("토3",$H224)),ISNUMBER(SEARCH("토1.3",$H224)),ISNUMBER(SEARCH("토2.3",$H224)),ISNUMBER(SEARCH("토1.2.3",$H224))),1,"")</f>
        <v/>
      </c>
      <c r="AA224" s="319">
        <f>IF(ISNUMBER(SEARCH("일1",$H224)),1,"")</f>
        <v/>
      </c>
      <c r="AB224" s="319">
        <f>IF(OR(ISNUMBER(SEARCH("일2",$H224)),ISNUMBER(SEARCH("일1.2",$H224))),1,"")</f>
        <v/>
      </c>
      <c r="AC224" s="319">
        <f>IF(OR(ISNUMBER(SEARCH("일3",$H224)),ISNUMBER(SEARCH("일1.3",$H224)),ISNUMBER(SEARCH("일2.3",$H224)),ISNUMBER(SEARCH("일1.2.3",$H224))),1,"")</f>
        <v/>
      </c>
      <c r="AD224" s="319">
        <f>SUM(I224:AC224)</f>
        <v/>
      </c>
      <c r="AE224" s="323" t="n"/>
    </row>
    <row r="225" ht="24" customHeight="1">
      <c r="A225" s="168" t="n"/>
      <c r="B225" s="319" t="n"/>
      <c r="C225" s="319" t="n"/>
      <c r="D225" s="319" t="n"/>
      <c r="E225" s="341" t="n"/>
      <c r="F225" s="341" t="n"/>
      <c r="G225" s="342" t="n"/>
      <c r="H225" s="322" t="n"/>
      <c r="I225" s="319">
        <f>IF(ISNUMBER(SEARCH("월1",$H225)),1,"")</f>
        <v/>
      </c>
      <c r="J225" s="319">
        <f>IF(OR(ISNUMBER(SEARCH("월2",$H225)),ISNUMBER(SEARCH("월1.2",$H225))),1,"")</f>
        <v/>
      </c>
      <c r="K225" s="319">
        <f>IF(OR(ISNUMBER(SEARCH("월3",$H225)),ISNUMBER(SEARCH("월1.3",$H225)),ISNUMBER(SEARCH("월2.3",$H225)),ISNUMBER(SEARCH("월1.2.3",$H225))),1,"")</f>
        <v/>
      </c>
      <c r="L225" s="319">
        <f>IF(ISNUMBER(SEARCH("화1",$H225)),1,"")</f>
        <v/>
      </c>
      <c r="M225" s="319">
        <f>IF(OR(ISNUMBER(SEARCH("화2",$H225)),ISNUMBER(SEARCH("화1.2",$H225))),1,"")</f>
        <v/>
      </c>
      <c r="N225" s="319">
        <f>IF(OR(ISNUMBER(SEARCH("화3",$H225)),ISNUMBER(SEARCH("화1.3",$H225)),ISNUMBER(SEARCH("화2.3",$H225)),ISNUMBER(SEARCH("화1.2.3",$H225))),1,"")</f>
        <v/>
      </c>
      <c r="O225" s="319">
        <f>IF(ISNUMBER(SEARCH("수1",$H225)),1,"")</f>
        <v/>
      </c>
      <c r="P225" s="319">
        <f>IF(OR(ISNUMBER(SEARCH("수2",$H225)),ISNUMBER(SEARCH("수1.2",$H225))),1,"")</f>
        <v/>
      </c>
      <c r="Q225" s="319">
        <f>IF(OR(ISNUMBER(SEARCH("수3",$H225)),ISNUMBER(SEARCH("수1.3",$H225)),ISNUMBER(SEARCH("수2.3",$H225)),ISNUMBER(SEARCH("수1.2.3",$H225))),1,"")</f>
        <v/>
      </c>
      <c r="R225" s="319">
        <f>IF(ISNUMBER(SEARCH("목1",$H225)),1,"")</f>
        <v/>
      </c>
      <c r="S225" s="319">
        <f>IF(OR(ISNUMBER(SEARCH("목2",$H225)),ISNUMBER(SEARCH("목1.2",$H225))),1,"")</f>
        <v/>
      </c>
      <c r="T225" s="319">
        <f>IF(OR(ISNUMBER(SEARCH("목3",$H225)),ISNUMBER(SEARCH("목1.3",$H225)),ISNUMBER(SEARCH("목2.3",$H225)),ISNUMBER(SEARCH("목1.2.3",$H225))),1,"")</f>
        <v/>
      </c>
      <c r="U225" s="319">
        <f>IF(ISNUMBER(SEARCH("금1",$H225)),1,"")</f>
        <v/>
      </c>
      <c r="V225" s="319">
        <f>IF(OR(ISNUMBER(SEARCH("금2",$H225)),ISNUMBER(SEARCH("금1.2",$H225))),1,"")</f>
        <v/>
      </c>
      <c r="W225" s="319">
        <f>IF(OR(ISNUMBER(SEARCH("금3",$H225)),ISNUMBER(SEARCH("금1.3",$H225)),ISNUMBER(SEARCH("금2.3",$H225)),ISNUMBER(SEARCH("금1.2.3",$H225))),1,"")</f>
        <v/>
      </c>
      <c r="X225" s="319">
        <f>IF(ISNUMBER(SEARCH("토1",$H225)),1,"")</f>
        <v/>
      </c>
      <c r="Y225" s="319">
        <f>IF(OR(ISNUMBER(SEARCH("토2",$H225)),ISNUMBER(SEARCH("토1.2",$H225))),1,"")</f>
        <v/>
      </c>
      <c r="Z225" s="319">
        <f>IF(OR(ISNUMBER(SEARCH("토3",$H225)),ISNUMBER(SEARCH("토1.3",$H225)),ISNUMBER(SEARCH("토2.3",$H225)),ISNUMBER(SEARCH("토1.2.3",$H225))),1,"")</f>
        <v/>
      </c>
      <c r="AA225" s="319">
        <f>IF(ISNUMBER(SEARCH("일1",$H225)),1,"")</f>
        <v/>
      </c>
      <c r="AB225" s="319">
        <f>IF(OR(ISNUMBER(SEARCH("일2",$H225)),ISNUMBER(SEARCH("일1.2",$H225))),1,"")</f>
        <v/>
      </c>
      <c r="AC225" s="319">
        <f>IF(OR(ISNUMBER(SEARCH("일3",$H225)),ISNUMBER(SEARCH("일1.3",$H225)),ISNUMBER(SEARCH("일2.3",$H225)),ISNUMBER(SEARCH("일1.2.3",$H225))),1,"")</f>
        <v/>
      </c>
      <c r="AD225" s="319">
        <f>SUM(I225:AC225)</f>
        <v/>
      </c>
      <c r="AE225" s="323" t="n"/>
    </row>
    <row r="226" ht="24" customHeight="1">
      <c r="A226" s="168" t="n"/>
      <c r="B226" s="319" t="n"/>
      <c r="C226" s="319" t="n"/>
      <c r="D226" s="319" t="n"/>
      <c r="E226" s="341" t="n"/>
      <c r="F226" s="341" t="n"/>
      <c r="G226" s="342" t="n"/>
      <c r="H226" s="322" t="n"/>
      <c r="I226" s="319">
        <f>IF(ISNUMBER(SEARCH("월1",$H226)),1,"")</f>
        <v/>
      </c>
      <c r="J226" s="319">
        <f>IF(OR(ISNUMBER(SEARCH("월2",$H226)),ISNUMBER(SEARCH("월1.2",$H226))),1,"")</f>
        <v/>
      </c>
      <c r="K226" s="319">
        <f>IF(OR(ISNUMBER(SEARCH("월3",$H226)),ISNUMBER(SEARCH("월1.3",$H226)),ISNUMBER(SEARCH("월2.3",$H226)),ISNUMBER(SEARCH("월1.2.3",$H226))),1,"")</f>
        <v/>
      </c>
      <c r="L226" s="319">
        <f>IF(ISNUMBER(SEARCH("화1",$H226)),1,"")</f>
        <v/>
      </c>
      <c r="M226" s="319">
        <f>IF(OR(ISNUMBER(SEARCH("화2",$H226)),ISNUMBER(SEARCH("화1.2",$H226))),1,"")</f>
        <v/>
      </c>
      <c r="N226" s="319">
        <f>IF(OR(ISNUMBER(SEARCH("화3",$H226)),ISNUMBER(SEARCH("화1.3",$H226)),ISNUMBER(SEARCH("화2.3",$H226)),ISNUMBER(SEARCH("화1.2.3",$H226))),1,"")</f>
        <v/>
      </c>
      <c r="O226" s="319">
        <f>IF(ISNUMBER(SEARCH("수1",$H226)),1,"")</f>
        <v/>
      </c>
      <c r="P226" s="319">
        <f>IF(OR(ISNUMBER(SEARCH("수2",$H226)),ISNUMBER(SEARCH("수1.2",$H226))),1,"")</f>
        <v/>
      </c>
      <c r="Q226" s="319">
        <f>IF(OR(ISNUMBER(SEARCH("수3",$H226)),ISNUMBER(SEARCH("수1.3",$H226)),ISNUMBER(SEARCH("수2.3",$H226)),ISNUMBER(SEARCH("수1.2.3",$H226))),1,"")</f>
        <v/>
      </c>
      <c r="R226" s="319">
        <f>IF(ISNUMBER(SEARCH("목1",$H226)),1,"")</f>
        <v/>
      </c>
      <c r="S226" s="319">
        <f>IF(OR(ISNUMBER(SEARCH("목2",$H226)),ISNUMBER(SEARCH("목1.2",$H226))),1,"")</f>
        <v/>
      </c>
      <c r="T226" s="319">
        <f>IF(OR(ISNUMBER(SEARCH("목3",$H226)),ISNUMBER(SEARCH("목1.3",$H226)),ISNUMBER(SEARCH("목2.3",$H226)),ISNUMBER(SEARCH("목1.2.3",$H226))),1,"")</f>
        <v/>
      </c>
      <c r="U226" s="319">
        <f>IF(ISNUMBER(SEARCH("금1",$H226)),1,"")</f>
        <v/>
      </c>
      <c r="V226" s="319">
        <f>IF(OR(ISNUMBER(SEARCH("금2",$H226)),ISNUMBER(SEARCH("금1.2",$H226))),1,"")</f>
        <v/>
      </c>
      <c r="W226" s="319">
        <f>IF(OR(ISNUMBER(SEARCH("금3",$H226)),ISNUMBER(SEARCH("금1.3",$H226)),ISNUMBER(SEARCH("금2.3",$H226)),ISNUMBER(SEARCH("금1.2.3",$H226))),1,"")</f>
        <v/>
      </c>
      <c r="X226" s="319">
        <f>IF(ISNUMBER(SEARCH("토1",$H226)),1,"")</f>
        <v/>
      </c>
      <c r="Y226" s="319">
        <f>IF(OR(ISNUMBER(SEARCH("토2",$H226)),ISNUMBER(SEARCH("토1.2",$H226))),1,"")</f>
        <v/>
      </c>
      <c r="Z226" s="319">
        <f>IF(OR(ISNUMBER(SEARCH("토3",$H226)),ISNUMBER(SEARCH("토1.3",$H226)),ISNUMBER(SEARCH("토2.3",$H226)),ISNUMBER(SEARCH("토1.2.3",$H226))),1,"")</f>
        <v/>
      </c>
      <c r="AA226" s="319">
        <f>IF(ISNUMBER(SEARCH("일1",$H226)),1,"")</f>
        <v/>
      </c>
      <c r="AB226" s="319">
        <f>IF(OR(ISNUMBER(SEARCH("일2",$H226)),ISNUMBER(SEARCH("일1.2",$H226))),1,"")</f>
        <v/>
      </c>
      <c r="AC226" s="319">
        <f>IF(OR(ISNUMBER(SEARCH("일3",$H226)),ISNUMBER(SEARCH("일1.3",$H226)),ISNUMBER(SEARCH("일2.3",$H226)),ISNUMBER(SEARCH("일1.2.3",$H226))),1,"")</f>
        <v/>
      </c>
      <c r="AD226" s="319">
        <f>SUM(I226:AC226)</f>
        <v/>
      </c>
      <c r="AE226" s="323" t="n"/>
    </row>
    <row r="227" ht="24" customHeight="1">
      <c r="A227" s="168" t="n"/>
      <c r="B227" s="319" t="n"/>
      <c r="C227" s="319" t="n"/>
      <c r="D227" s="319" t="n"/>
      <c r="E227" s="341" t="n"/>
      <c r="F227" s="341" t="n"/>
      <c r="G227" s="342" t="n"/>
      <c r="H227" s="322" t="n"/>
      <c r="I227" s="319">
        <f>IF(ISNUMBER(SEARCH("월1",$H227)),1,"")</f>
        <v/>
      </c>
      <c r="J227" s="319">
        <f>IF(OR(ISNUMBER(SEARCH("월2",$H227)),ISNUMBER(SEARCH("월1.2",$H227))),1,"")</f>
        <v/>
      </c>
      <c r="K227" s="319">
        <f>IF(OR(ISNUMBER(SEARCH("월3",$H227)),ISNUMBER(SEARCH("월1.3",$H227)),ISNUMBER(SEARCH("월2.3",$H227)),ISNUMBER(SEARCH("월1.2.3",$H227))),1,"")</f>
        <v/>
      </c>
      <c r="L227" s="319">
        <f>IF(ISNUMBER(SEARCH("화1",$H227)),1,"")</f>
        <v/>
      </c>
      <c r="M227" s="319">
        <f>IF(OR(ISNUMBER(SEARCH("화2",$H227)),ISNUMBER(SEARCH("화1.2",$H227))),1,"")</f>
        <v/>
      </c>
      <c r="N227" s="319">
        <f>IF(OR(ISNUMBER(SEARCH("화3",$H227)),ISNUMBER(SEARCH("화1.3",$H227)),ISNUMBER(SEARCH("화2.3",$H227)),ISNUMBER(SEARCH("화1.2.3",$H227))),1,"")</f>
        <v/>
      </c>
      <c r="O227" s="319">
        <f>IF(ISNUMBER(SEARCH("수1",$H227)),1,"")</f>
        <v/>
      </c>
      <c r="P227" s="319">
        <f>IF(OR(ISNUMBER(SEARCH("수2",$H227)),ISNUMBER(SEARCH("수1.2",$H227))),1,"")</f>
        <v/>
      </c>
      <c r="Q227" s="319">
        <f>IF(OR(ISNUMBER(SEARCH("수3",$H227)),ISNUMBER(SEARCH("수1.3",$H227)),ISNUMBER(SEARCH("수2.3",$H227)),ISNUMBER(SEARCH("수1.2.3",$H227))),1,"")</f>
        <v/>
      </c>
      <c r="R227" s="319">
        <f>IF(ISNUMBER(SEARCH("목1",$H227)),1,"")</f>
        <v/>
      </c>
      <c r="S227" s="319">
        <f>IF(OR(ISNUMBER(SEARCH("목2",$H227)),ISNUMBER(SEARCH("목1.2",$H227))),1,"")</f>
        <v/>
      </c>
      <c r="T227" s="319">
        <f>IF(OR(ISNUMBER(SEARCH("목3",$H227)),ISNUMBER(SEARCH("목1.3",$H227)),ISNUMBER(SEARCH("목2.3",$H227)),ISNUMBER(SEARCH("목1.2.3",$H227))),1,"")</f>
        <v/>
      </c>
      <c r="U227" s="319">
        <f>IF(ISNUMBER(SEARCH("금1",$H227)),1,"")</f>
        <v/>
      </c>
      <c r="V227" s="319">
        <f>IF(OR(ISNUMBER(SEARCH("금2",$H227)),ISNUMBER(SEARCH("금1.2",$H227))),1,"")</f>
        <v/>
      </c>
      <c r="W227" s="319">
        <f>IF(OR(ISNUMBER(SEARCH("금3",$H227)),ISNUMBER(SEARCH("금1.3",$H227)),ISNUMBER(SEARCH("금2.3",$H227)),ISNUMBER(SEARCH("금1.2.3",$H227))),1,"")</f>
        <v/>
      </c>
      <c r="X227" s="319">
        <f>IF(ISNUMBER(SEARCH("토1",$H227)),1,"")</f>
        <v/>
      </c>
      <c r="Y227" s="319">
        <f>IF(OR(ISNUMBER(SEARCH("토2",$H227)),ISNUMBER(SEARCH("토1.2",$H227))),1,"")</f>
        <v/>
      </c>
      <c r="Z227" s="319">
        <f>IF(OR(ISNUMBER(SEARCH("토3",$H227)),ISNUMBER(SEARCH("토1.3",$H227)),ISNUMBER(SEARCH("토2.3",$H227)),ISNUMBER(SEARCH("토1.2.3",$H227))),1,"")</f>
        <v/>
      </c>
      <c r="AA227" s="319">
        <f>IF(ISNUMBER(SEARCH("일1",$H227)),1,"")</f>
        <v/>
      </c>
      <c r="AB227" s="319">
        <f>IF(OR(ISNUMBER(SEARCH("일2",$H227)),ISNUMBER(SEARCH("일1.2",$H227))),1,"")</f>
        <v/>
      </c>
      <c r="AC227" s="319">
        <f>IF(OR(ISNUMBER(SEARCH("일3",$H227)),ISNUMBER(SEARCH("일1.3",$H227)),ISNUMBER(SEARCH("일2.3",$H227)),ISNUMBER(SEARCH("일1.2.3",$H227))),1,"")</f>
        <v/>
      </c>
      <c r="AD227" s="319">
        <f>SUM(I227:AC227)</f>
        <v/>
      </c>
      <c r="AE227" s="323" t="n"/>
    </row>
    <row r="228" ht="24" customHeight="1">
      <c r="A228" s="168" t="n"/>
      <c r="B228" s="319" t="n"/>
      <c r="C228" s="319" t="n"/>
      <c r="D228" s="319" t="n"/>
      <c r="E228" s="341" t="n"/>
      <c r="F228" s="341" t="n"/>
      <c r="G228" s="342" t="n"/>
      <c r="H228" s="322" t="n"/>
      <c r="I228" s="319">
        <f>IF(ISNUMBER(SEARCH("월1",$H228)),1,"")</f>
        <v/>
      </c>
      <c r="J228" s="319">
        <f>IF(OR(ISNUMBER(SEARCH("월2",$H228)),ISNUMBER(SEARCH("월1.2",$H228))),1,"")</f>
        <v/>
      </c>
      <c r="K228" s="319">
        <f>IF(OR(ISNUMBER(SEARCH("월3",$H228)),ISNUMBER(SEARCH("월1.3",$H228)),ISNUMBER(SEARCH("월2.3",$H228)),ISNUMBER(SEARCH("월1.2.3",$H228))),1,"")</f>
        <v/>
      </c>
      <c r="L228" s="319">
        <f>IF(ISNUMBER(SEARCH("화1",$H228)),1,"")</f>
        <v/>
      </c>
      <c r="M228" s="319">
        <f>IF(OR(ISNUMBER(SEARCH("화2",$H228)),ISNUMBER(SEARCH("화1.2",$H228))),1,"")</f>
        <v/>
      </c>
      <c r="N228" s="319">
        <f>IF(OR(ISNUMBER(SEARCH("화3",$H228)),ISNUMBER(SEARCH("화1.3",$H228)),ISNUMBER(SEARCH("화2.3",$H228)),ISNUMBER(SEARCH("화1.2.3",$H228))),1,"")</f>
        <v/>
      </c>
      <c r="O228" s="319">
        <f>IF(ISNUMBER(SEARCH("수1",$H228)),1,"")</f>
        <v/>
      </c>
      <c r="P228" s="319">
        <f>IF(OR(ISNUMBER(SEARCH("수2",$H228)),ISNUMBER(SEARCH("수1.2",$H228))),1,"")</f>
        <v/>
      </c>
      <c r="Q228" s="319">
        <f>IF(OR(ISNUMBER(SEARCH("수3",$H228)),ISNUMBER(SEARCH("수1.3",$H228)),ISNUMBER(SEARCH("수2.3",$H228)),ISNUMBER(SEARCH("수1.2.3",$H228))),1,"")</f>
        <v/>
      </c>
      <c r="R228" s="319">
        <f>IF(ISNUMBER(SEARCH("목1",$H228)),1,"")</f>
        <v/>
      </c>
      <c r="S228" s="319">
        <f>IF(OR(ISNUMBER(SEARCH("목2",$H228)),ISNUMBER(SEARCH("목1.2",$H228))),1,"")</f>
        <v/>
      </c>
      <c r="T228" s="319">
        <f>IF(OR(ISNUMBER(SEARCH("목3",$H228)),ISNUMBER(SEARCH("목1.3",$H228)),ISNUMBER(SEARCH("목2.3",$H228)),ISNUMBER(SEARCH("목1.2.3",$H228))),1,"")</f>
        <v/>
      </c>
      <c r="U228" s="319">
        <f>IF(ISNUMBER(SEARCH("금1",$H228)),1,"")</f>
        <v/>
      </c>
      <c r="V228" s="319">
        <f>IF(OR(ISNUMBER(SEARCH("금2",$H228)),ISNUMBER(SEARCH("금1.2",$H228))),1,"")</f>
        <v/>
      </c>
      <c r="W228" s="319">
        <f>IF(OR(ISNUMBER(SEARCH("금3",$H228)),ISNUMBER(SEARCH("금1.3",$H228)),ISNUMBER(SEARCH("금2.3",$H228)),ISNUMBER(SEARCH("금1.2.3",$H228))),1,"")</f>
        <v/>
      </c>
      <c r="X228" s="319">
        <f>IF(ISNUMBER(SEARCH("토1",$H228)),1,"")</f>
        <v/>
      </c>
      <c r="Y228" s="319">
        <f>IF(OR(ISNUMBER(SEARCH("토2",$H228)),ISNUMBER(SEARCH("토1.2",$H228))),1,"")</f>
        <v/>
      </c>
      <c r="Z228" s="319">
        <f>IF(OR(ISNUMBER(SEARCH("토3",$H228)),ISNUMBER(SEARCH("토1.3",$H228)),ISNUMBER(SEARCH("토2.3",$H228)),ISNUMBER(SEARCH("토1.2.3",$H228))),1,"")</f>
        <v/>
      </c>
      <c r="AA228" s="319">
        <f>IF(ISNUMBER(SEARCH("일1",$H228)),1,"")</f>
        <v/>
      </c>
      <c r="AB228" s="319">
        <f>IF(OR(ISNUMBER(SEARCH("일2",$H228)),ISNUMBER(SEARCH("일1.2",$H228))),1,"")</f>
        <v/>
      </c>
      <c r="AC228" s="319">
        <f>IF(OR(ISNUMBER(SEARCH("일3",$H228)),ISNUMBER(SEARCH("일1.3",$H228)),ISNUMBER(SEARCH("일2.3",$H228)),ISNUMBER(SEARCH("일1.2.3",$H228))),1,"")</f>
        <v/>
      </c>
      <c r="AD228" s="319">
        <f>SUM(I228:AC228)</f>
        <v/>
      </c>
      <c r="AE228" s="323" t="n"/>
    </row>
    <row r="229" ht="24" customHeight="1">
      <c r="A229" s="168" t="n"/>
      <c r="B229" s="319" t="n"/>
      <c r="C229" s="319" t="n"/>
      <c r="D229" s="319" t="n"/>
      <c r="E229" s="341" t="n"/>
      <c r="F229" s="341" t="n"/>
      <c r="G229" s="342" t="n"/>
      <c r="H229" s="322" t="n"/>
      <c r="I229" s="319">
        <f>IF(ISNUMBER(SEARCH("월1",$H229)),1,"")</f>
        <v/>
      </c>
      <c r="J229" s="319">
        <f>IF(OR(ISNUMBER(SEARCH("월2",$H229)),ISNUMBER(SEARCH("월1.2",$H229))),1,"")</f>
        <v/>
      </c>
      <c r="K229" s="319">
        <f>IF(OR(ISNUMBER(SEARCH("월3",$H229)),ISNUMBER(SEARCH("월1.3",$H229)),ISNUMBER(SEARCH("월2.3",$H229)),ISNUMBER(SEARCH("월1.2.3",$H229))),1,"")</f>
        <v/>
      </c>
      <c r="L229" s="319">
        <f>IF(ISNUMBER(SEARCH("화1",$H229)),1,"")</f>
        <v/>
      </c>
      <c r="M229" s="319">
        <f>IF(OR(ISNUMBER(SEARCH("화2",$H229)),ISNUMBER(SEARCH("화1.2",$H229))),1,"")</f>
        <v/>
      </c>
      <c r="N229" s="319">
        <f>IF(OR(ISNUMBER(SEARCH("화3",$H229)),ISNUMBER(SEARCH("화1.3",$H229)),ISNUMBER(SEARCH("화2.3",$H229)),ISNUMBER(SEARCH("화1.2.3",$H229))),1,"")</f>
        <v/>
      </c>
      <c r="O229" s="319">
        <f>IF(ISNUMBER(SEARCH("수1",$H229)),1,"")</f>
        <v/>
      </c>
      <c r="P229" s="319">
        <f>IF(OR(ISNUMBER(SEARCH("수2",$H229)),ISNUMBER(SEARCH("수1.2",$H229))),1,"")</f>
        <v/>
      </c>
      <c r="Q229" s="319">
        <f>IF(OR(ISNUMBER(SEARCH("수3",$H229)),ISNUMBER(SEARCH("수1.3",$H229)),ISNUMBER(SEARCH("수2.3",$H229)),ISNUMBER(SEARCH("수1.2.3",$H229))),1,"")</f>
        <v/>
      </c>
      <c r="R229" s="319">
        <f>IF(ISNUMBER(SEARCH("목1",$H229)),1,"")</f>
        <v/>
      </c>
      <c r="S229" s="319">
        <f>IF(OR(ISNUMBER(SEARCH("목2",$H229)),ISNUMBER(SEARCH("목1.2",$H229))),1,"")</f>
        <v/>
      </c>
      <c r="T229" s="319">
        <f>IF(OR(ISNUMBER(SEARCH("목3",$H229)),ISNUMBER(SEARCH("목1.3",$H229)),ISNUMBER(SEARCH("목2.3",$H229)),ISNUMBER(SEARCH("목1.2.3",$H229))),1,"")</f>
        <v/>
      </c>
      <c r="U229" s="319">
        <f>IF(ISNUMBER(SEARCH("금1",$H229)),1,"")</f>
        <v/>
      </c>
      <c r="V229" s="319">
        <f>IF(OR(ISNUMBER(SEARCH("금2",$H229)),ISNUMBER(SEARCH("금1.2",$H229))),1,"")</f>
        <v/>
      </c>
      <c r="W229" s="319">
        <f>IF(OR(ISNUMBER(SEARCH("금3",$H229)),ISNUMBER(SEARCH("금1.3",$H229)),ISNUMBER(SEARCH("금2.3",$H229)),ISNUMBER(SEARCH("금1.2.3",$H229))),1,"")</f>
        <v/>
      </c>
      <c r="X229" s="319">
        <f>IF(ISNUMBER(SEARCH("토1",$H229)),1,"")</f>
        <v/>
      </c>
      <c r="Y229" s="319">
        <f>IF(OR(ISNUMBER(SEARCH("토2",$H229)),ISNUMBER(SEARCH("토1.2",$H229))),1,"")</f>
        <v/>
      </c>
      <c r="Z229" s="319">
        <f>IF(OR(ISNUMBER(SEARCH("토3",$H229)),ISNUMBER(SEARCH("토1.3",$H229)),ISNUMBER(SEARCH("토2.3",$H229)),ISNUMBER(SEARCH("토1.2.3",$H229))),1,"")</f>
        <v/>
      </c>
      <c r="AA229" s="319">
        <f>IF(ISNUMBER(SEARCH("일1",$H229)),1,"")</f>
        <v/>
      </c>
      <c r="AB229" s="319">
        <f>IF(OR(ISNUMBER(SEARCH("일2",$H229)),ISNUMBER(SEARCH("일1.2",$H229))),1,"")</f>
        <v/>
      </c>
      <c r="AC229" s="319">
        <f>IF(OR(ISNUMBER(SEARCH("일3",$H229)),ISNUMBER(SEARCH("일1.3",$H229)),ISNUMBER(SEARCH("일2.3",$H229)),ISNUMBER(SEARCH("일1.2.3",$H229))),1,"")</f>
        <v/>
      </c>
      <c r="AD229" s="319">
        <f>SUM(I229:AC229)</f>
        <v/>
      </c>
      <c r="AE229" s="323" t="n"/>
    </row>
    <row r="230" ht="24" customHeight="1">
      <c r="A230" s="168" t="n"/>
      <c r="B230" s="319" t="n"/>
      <c r="C230" s="319" t="n"/>
      <c r="D230" s="319" t="n"/>
      <c r="E230" s="341" t="n"/>
      <c r="F230" s="341" t="n"/>
      <c r="G230" s="342" t="n"/>
      <c r="H230" s="322" t="n"/>
      <c r="I230" s="319">
        <f>IF(ISNUMBER(SEARCH("월1",$H230)),1,"")</f>
        <v/>
      </c>
      <c r="J230" s="319">
        <f>IF(OR(ISNUMBER(SEARCH("월2",$H230)),ISNUMBER(SEARCH("월1.2",$H230))),1,"")</f>
        <v/>
      </c>
      <c r="K230" s="319">
        <f>IF(OR(ISNUMBER(SEARCH("월3",$H230)),ISNUMBER(SEARCH("월1.3",$H230)),ISNUMBER(SEARCH("월2.3",$H230)),ISNUMBER(SEARCH("월1.2.3",$H230))),1,"")</f>
        <v/>
      </c>
      <c r="L230" s="319">
        <f>IF(ISNUMBER(SEARCH("화1",$H230)),1,"")</f>
        <v/>
      </c>
      <c r="M230" s="319">
        <f>IF(OR(ISNUMBER(SEARCH("화2",$H230)),ISNUMBER(SEARCH("화1.2",$H230))),1,"")</f>
        <v/>
      </c>
      <c r="N230" s="319">
        <f>IF(OR(ISNUMBER(SEARCH("화3",$H230)),ISNUMBER(SEARCH("화1.3",$H230)),ISNUMBER(SEARCH("화2.3",$H230)),ISNUMBER(SEARCH("화1.2.3",$H230))),1,"")</f>
        <v/>
      </c>
      <c r="O230" s="319">
        <f>IF(ISNUMBER(SEARCH("수1",$H230)),1,"")</f>
        <v/>
      </c>
      <c r="P230" s="319">
        <f>IF(OR(ISNUMBER(SEARCH("수2",$H230)),ISNUMBER(SEARCH("수1.2",$H230))),1,"")</f>
        <v/>
      </c>
      <c r="Q230" s="319">
        <f>IF(OR(ISNUMBER(SEARCH("수3",$H230)),ISNUMBER(SEARCH("수1.3",$H230)),ISNUMBER(SEARCH("수2.3",$H230)),ISNUMBER(SEARCH("수1.2.3",$H230))),1,"")</f>
        <v/>
      </c>
      <c r="R230" s="319">
        <f>IF(ISNUMBER(SEARCH("목1",$H230)),1,"")</f>
        <v/>
      </c>
      <c r="S230" s="319">
        <f>IF(OR(ISNUMBER(SEARCH("목2",$H230)),ISNUMBER(SEARCH("목1.2",$H230))),1,"")</f>
        <v/>
      </c>
      <c r="T230" s="319">
        <f>IF(OR(ISNUMBER(SEARCH("목3",$H230)),ISNUMBER(SEARCH("목1.3",$H230)),ISNUMBER(SEARCH("목2.3",$H230)),ISNUMBER(SEARCH("목1.2.3",$H230))),1,"")</f>
        <v/>
      </c>
      <c r="U230" s="319">
        <f>IF(ISNUMBER(SEARCH("금1",$H230)),1,"")</f>
        <v/>
      </c>
      <c r="V230" s="319">
        <f>IF(OR(ISNUMBER(SEARCH("금2",$H230)),ISNUMBER(SEARCH("금1.2",$H230))),1,"")</f>
        <v/>
      </c>
      <c r="W230" s="319">
        <f>IF(OR(ISNUMBER(SEARCH("금3",$H230)),ISNUMBER(SEARCH("금1.3",$H230)),ISNUMBER(SEARCH("금2.3",$H230)),ISNUMBER(SEARCH("금1.2.3",$H230))),1,"")</f>
        <v/>
      </c>
      <c r="X230" s="319">
        <f>IF(ISNUMBER(SEARCH("토1",$H230)),1,"")</f>
        <v/>
      </c>
      <c r="Y230" s="319">
        <f>IF(OR(ISNUMBER(SEARCH("토2",$H230)),ISNUMBER(SEARCH("토1.2",$H230))),1,"")</f>
        <v/>
      </c>
      <c r="Z230" s="319">
        <f>IF(OR(ISNUMBER(SEARCH("토3",$H230)),ISNUMBER(SEARCH("토1.3",$H230)),ISNUMBER(SEARCH("토2.3",$H230)),ISNUMBER(SEARCH("토1.2.3",$H230))),1,"")</f>
        <v/>
      </c>
      <c r="AA230" s="319">
        <f>IF(ISNUMBER(SEARCH("일1",$H230)),1,"")</f>
        <v/>
      </c>
      <c r="AB230" s="319">
        <f>IF(OR(ISNUMBER(SEARCH("일2",$H230)),ISNUMBER(SEARCH("일1.2",$H230))),1,"")</f>
        <v/>
      </c>
      <c r="AC230" s="319">
        <f>IF(OR(ISNUMBER(SEARCH("일3",$H230)),ISNUMBER(SEARCH("일1.3",$H230)),ISNUMBER(SEARCH("일2.3",$H230)),ISNUMBER(SEARCH("일1.2.3",$H230))),1,"")</f>
        <v/>
      </c>
      <c r="AD230" s="319">
        <f>SUM(I230:AC230)</f>
        <v/>
      </c>
      <c r="AE230" s="323" t="n"/>
    </row>
    <row r="231" ht="24" customHeight="1">
      <c r="A231" s="168" t="n"/>
      <c r="B231" s="319" t="n"/>
      <c r="C231" s="319" t="n"/>
      <c r="D231" s="319" t="n"/>
      <c r="E231" s="341" t="n"/>
      <c r="F231" s="341" t="n"/>
      <c r="G231" s="342" t="n"/>
      <c r="H231" s="322" t="n"/>
      <c r="I231" s="319">
        <f>IF(ISNUMBER(SEARCH("월1",$H231)),1,"")</f>
        <v/>
      </c>
      <c r="J231" s="319">
        <f>IF(OR(ISNUMBER(SEARCH("월2",$H231)),ISNUMBER(SEARCH("월1.2",$H231))),1,"")</f>
        <v/>
      </c>
      <c r="K231" s="319">
        <f>IF(OR(ISNUMBER(SEARCH("월3",$H231)),ISNUMBER(SEARCH("월1.3",$H231)),ISNUMBER(SEARCH("월2.3",$H231)),ISNUMBER(SEARCH("월1.2.3",$H231))),1,"")</f>
        <v/>
      </c>
      <c r="L231" s="319">
        <f>IF(ISNUMBER(SEARCH("화1",$H231)),1,"")</f>
        <v/>
      </c>
      <c r="M231" s="319">
        <f>IF(OR(ISNUMBER(SEARCH("화2",$H231)),ISNUMBER(SEARCH("화1.2",$H231))),1,"")</f>
        <v/>
      </c>
      <c r="N231" s="319">
        <f>IF(OR(ISNUMBER(SEARCH("화3",$H231)),ISNUMBER(SEARCH("화1.3",$H231)),ISNUMBER(SEARCH("화2.3",$H231)),ISNUMBER(SEARCH("화1.2.3",$H231))),1,"")</f>
        <v/>
      </c>
      <c r="O231" s="319">
        <f>IF(ISNUMBER(SEARCH("수1",$H231)),1,"")</f>
        <v/>
      </c>
      <c r="P231" s="319">
        <f>IF(OR(ISNUMBER(SEARCH("수2",$H231)),ISNUMBER(SEARCH("수1.2",$H231))),1,"")</f>
        <v/>
      </c>
      <c r="Q231" s="319">
        <f>IF(OR(ISNUMBER(SEARCH("수3",$H231)),ISNUMBER(SEARCH("수1.3",$H231)),ISNUMBER(SEARCH("수2.3",$H231)),ISNUMBER(SEARCH("수1.2.3",$H231))),1,"")</f>
        <v/>
      </c>
      <c r="R231" s="319">
        <f>IF(ISNUMBER(SEARCH("목1",$H231)),1,"")</f>
        <v/>
      </c>
      <c r="S231" s="319">
        <f>IF(OR(ISNUMBER(SEARCH("목2",$H231)),ISNUMBER(SEARCH("목1.2",$H231))),1,"")</f>
        <v/>
      </c>
      <c r="T231" s="319">
        <f>IF(OR(ISNUMBER(SEARCH("목3",$H231)),ISNUMBER(SEARCH("목1.3",$H231)),ISNUMBER(SEARCH("목2.3",$H231)),ISNUMBER(SEARCH("목1.2.3",$H231))),1,"")</f>
        <v/>
      </c>
      <c r="U231" s="319">
        <f>IF(ISNUMBER(SEARCH("금1",$H231)),1,"")</f>
        <v/>
      </c>
      <c r="V231" s="319">
        <f>IF(OR(ISNUMBER(SEARCH("금2",$H231)),ISNUMBER(SEARCH("금1.2",$H231))),1,"")</f>
        <v/>
      </c>
      <c r="W231" s="319">
        <f>IF(OR(ISNUMBER(SEARCH("금3",$H231)),ISNUMBER(SEARCH("금1.3",$H231)),ISNUMBER(SEARCH("금2.3",$H231)),ISNUMBER(SEARCH("금1.2.3",$H231))),1,"")</f>
        <v/>
      </c>
      <c r="X231" s="319">
        <f>IF(ISNUMBER(SEARCH("토1",$H231)),1,"")</f>
        <v/>
      </c>
      <c r="Y231" s="319">
        <f>IF(OR(ISNUMBER(SEARCH("토2",$H231)),ISNUMBER(SEARCH("토1.2",$H231))),1,"")</f>
        <v/>
      </c>
      <c r="Z231" s="319">
        <f>IF(OR(ISNUMBER(SEARCH("토3",$H231)),ISNUMBER(SEARCH("토1.3",$H231)),ISNUMBER(SEARCH("토2.3",$H231)),ISNUMBER(SEARCH("토1.2.3",$H231))),1,"")</f>
        <v/>
      </c>
      <c r="AA231" s="319">
        <f>IF(ISNUMBER(SEARCH("일1",$H231)),1,"")</f>
        <v/>
      </c>
      <c r="AB231" s="319">
        <f>IF(OR(ISNUMBER(SEARCH("일2",$H231)),ISNUMBER(SEARCH("일1.2",$H231))),1,"")</f>
        <v/>
      </c>
      <c r="AC231" s="319">
        <f>IF(OR(ISNUMBER(SEARCH("일3",$H231)),ISNUMBER(SEARCH("일1.3",$H231)),ISNUMBER(SEARCH("일2.3",$H231)),ISNUMBER(SEARCH("일1.2.3",$H231))),1,"")</f>
        <v/>
      </c>
      <c r="AD231" s="319">
        <f>SUM(I231:AC231)</f>
        <v/>
      </c>
      <c r="AE231" s="323" t="n"/>
    </row>
    <row r="232" ht="24" customHeight="1">
      <c r="A232" s="168" t="n"/>
      <c r="B232" s="319" t="n"/>
      <c r="C232" s="319" t="n"/>
      <c r="D232" s="319" t="n"/>
      <c r="E232" s="341" t="n"/>
      <c r="F232" s="341" t="n"/>
      <c r="G232" s="342" t="n"/>
      <c r="H232" s="322" t="n"/>
      <c r="I232" s="319">
        <f>IF(ISNUMBER(SEARCH("월1",$H232)),1,"")</f>
        <v/>
      </c>
      <c r="J232" s="319">
        <f>IF(OR(ISNUMBER(SEARCH("월2",$H232)),ISNUMBER(SEARCH("월1.2",$H232))),1,"")</f>
        <v/>
      </c>
      <c r="K232" s="319">
        <f>IF(OR(ISNUMBER(SEARCH("월3",$H232)),ISNUMBER(SEARCH("월1.3",$H232)),ISNUMBER(SEARCH("월2.3",$H232)),ISNUMBER(SEARCH("월1.2.3",$H232))),1,"")</f>
        <v/>
      </c>
      <c r="L232" s="319">
        <f>IF(ISNUMBER(SEARCH("화1",$H232)),1,"")</f>
        <v/>
      </c>
      <c r="M232" s="319">
        <f>IF(OR(ISNUMBER(SEARCH("화2",$H232)),ISNUMBER(SEARCH("화1.2",$H232))),1,"")</f>
        <v/>
      </c>
      <c r="N232" s="319">
        <f>IF(OR(ISNUMBER(SEARCH("화3",$H232)),ISNUMBER(SEARCH("화1.3",$H232)),ISNUMBER(SEARCH("화2.3",$H232)),ISNUMBER(SEARCH("화1.2.3",$H232))),1,"")</f>
        <v/>
      </c>
      <c r="O232" s="319">
        <f>IF(ISNUMBER(SEARCH("수1",$H232)),1,"")</f>
        <v/>
      </c>
      <c r="P232" s="319">
        <f>IF(OR(ISNUMBER(SEARCH("수2",$H232)),ISNUMBER(SEARCH("수1.2",$H232))),1,"")</f>
        <v/>
      </c>
      <c r="Q232" s="319">
        <f>IF(OR(ISNUMBER(SEARCH("수3",$H232)),ISNUMBER(SEARCH("수1.3",$H232)),ISNUMBER(SEARCH("수2.3",$H232)),ISNUMBER(SEARCH("수1.2.3",$H232))),1,"")</f>
        <v/>
      </c>
      <c r="R232" s="319">
        <f>IF(ISNUMBER(SEARCH("목1",$H232)),1,"")</f>
        <v/>
      </c>
      <c r="S232" s="319">
        <f>IF(OR(ISNUMBER(SEARCH("목2",$H232)),ISNUMBER(SEARCH("목1.2",$H232))),1,"")</f>
        <v/>
      </c>
      <c r="T232" s="319">
        <f>IF(OR(ISNUMBER(SEARCH("목3",$H232)),ISNUMBER(SEARCH("목1.3",$H232)),ISNUMBER(SEARCH("목2.3",$H232)),ISNUMBER(SEARCH("목1.2.3",$H232))),1,"")</f>
        <v/>
      </c>
      <c r="U232" s="319">
        <f>IF(ISNUMBER(SEARCH("금1",$H232)),1,"")</f>
        <v/>
      </c>
      <c r="V232" s="319">
        <f>IF(OR(ISNUMBER(SEARCH("금2",$H232)),ISNUMBER(SEARCH("금1.2",$H232))),1,"")</f>
        <v/>
      </c>
      <c r="W232" s="319">
        <f>IF(OR(ISNUMBER(SEARCH("금3",$H232)),ISNUMBER(SEARCH("금1.3",$H232)),ISNUMBER(SEARCH("금2.3",$H232)),ISNUMBER(SEARCH("금1.2.3",$H232))),1,"")</f>
        <v/>
      </c>
      <c r="X232" s="319">
        <f>IF(ISNUMBER(SEARCH("토1",$H232)),1,"")</f>
        <v/>
      </c>
      <c r="Y232" s="319">
        <f>IF(OR(ISNUMBER(SEARCH("토2",$H232)),ISNUMBER(SEARCH("토1.2",$H232))),1,"")</f>
        <v/>
      </c>
      <c r="Z232" s="319">
        <f>IF(OR(ISNUMBER(SEARCH("토3",$H232)),ISNUMBER(SEARCH("토1.3",$H232)),ISNUMBER(SEARCH("토2.3",$H232)),ISNUMBER(SEARCH("토1.2.3",$H232))),1,"")</f>
        <v/>
      </c>
      <c r="AA232" s="319">
        <f>IF(ISNUMBER(SEARCH("일1",$H232)),1,"")</f>
        <v/>
      </c>
      <c r="AB232" s="319">
        <f>IF(OR(ISNUMBER(SEARCH("일2",$H232)),ISNUMBER(SEARCH("일1.2",$H232))),1,"")</f>
        <v/>
      </c>
      <c r="AC232" s="319">
        <f>IF(OR(ISNUMBER(SEARCH("일3",$H232)),ISNUMBER(SEARCH("일1.3",$H232)),ISNUMBER(SEARCH("일2.3",$H232)),ISNUMBER(SEARCH("일1.2.3",$H232))),1,"")</f>
        <v/>
      </c>
      <c r="AD232" s="319">
        <f>SUM(I232:AC232)</f>
        <v/>
      </c>
      <c r="AE232" s="323" t="n"/>
    </row>
    <row r="233" ht="24" customHeight="1">
      <c r="A233" s="168" t="n"/>
      <c r="B233" s="319" t="n"/>
      <c r="C233" s="319" t="n"/>
      <c r="D233" s="319" t="n"/>
      <c r="E233" s="341" t="n"/>
      <c r="F233" s="341" t="n"/>
      <c r="G233" s="342" t="n"/>
      <c r="H233" s="322" t="n"/>
      <c r="I233" s="319">
        <f>IF(ISNUMBER(SEARCH("월1",$H233)),1,"")</f>
        <v/>
      </c>
      <c r="J233" s="319">
        <f>IF(OR(ISNUMBER(SEARCH("월2",$H233)),ISNUMBER(SEARCH("월1.2",$H233))),1,"")</f>
        <v/>
      </c>
      <c r="K233" s="319">
        <f>IF(OR(ISNUMBER(SEARCH("월3",$H233)),ISNUMBER(SEARCH("월1.3",$H233)),ISNUMBER(SEARCH("월2.3",$H233)),ISNUMBER(SEARCH("월1.2.3",$H233))),1,"")</f>
        <v/>
      </c>
      <c r="L233" s="319">
        <f>IF(ISNUMBER(SEARCH("화1",$H233)),1,"")</f>
        <v/>
      </c>
      <c r="M233" s="319">
        <f>IF(OR(ISNUMBER(SEARCH("화2",$H233)),ISNUMBER(SEARCH("화1.2",$H233))),1,"")</f>
        <v/>
      </c>
      <c r="N233" s="319">
        <f>IF(OR(ISNUMBER(SEARCH("화3",$H233)),ISNUMBER(SEARCH("화1.3",$H233)),ISNUMBER(SEARCH("화2.3",$H233)),ISNUMBER(SEARCH("화1.2.3",$H233))),1,"")</f>
        <v/>
      </c>
      <c r="O233" s="319">
        <f>IF(ISNUMBER(SEARCH("수1",$H233)),1,"")</f>
        <v/>
      </c>
      <c r="P233" s="319">
        <f>IF(OR(ISNUMBER(SEARCH("수2",$H233)),ISNUMBER(SEARCH("수1.2",$H233))),1,"")</f>
        <v/>
      </c>
      <c r="Q233" s="319">
        <f>IF(OR(ISNUMBER(SEARCH("수3",$H233)),ISNUMBER(SEARCH("수1.3",$H233)),ISNUMBER(SEARCH("수2.3",$H233)),ISNUMBER(SEARCH("수1.2.3",$H233))),1,"")</f>
        <v/>
      </c>
      <c r="R233" s="319">
        <f>IF(ISNUMBER(SEARCH("목1",$H233)),1,"")</f>
        <v/>
      </c>
      <c r="S233" s="319">
        <f>IF(OR(ISNUMBER(SEARCH("목2",$H233)),ISNUMBER(SEARCH("목1.2",$H233))),1,"")</f>
        <v/>
      </c>
      <c r="T233" s="319">
        <f>IF(OR(ISNUMBER(SEARCH("목3",$H233)),ISNUMBER(SEARCH("목1.3",$H233)),ISNUMBER(SEARCH("목2.3",$H233)),ISNUMBER(SEARCH("목1.2.3",$H233))),1,"")</f>
        <v/>
      </c>
      <c r="U233" s="319">
        <f>IF(ISNUMBER(SEARCH("금1",$H233)),1,"")</f>
        <v/>
      </c>
      <c r="V233" s="319">
        <f>IF(OR(ISNUMBER(SEARCH("금2",$H233)),ISNUMBER(SEARCH("금1.2",$H233))),1,"")</f>
        <v/>
      </c>
      <c r="W233" s="319">
        <f>IF(OR(ISNUMBER(SEARCH("금3",$H233)),ISNUMBER(SEARCH("금1.3",$H233)),ISNUMBER(SEARCH("금2.3",$H233)),ISNUMBER(SEARCH("금1.2.3",$H233))),1,"")</f>
        <v/>
      </c>
      <c r="X233" s="319">
        <f>IF(ISNUMBER(SEARCH("토1",$H233)),1,"")</f>
        <v/>
      </c>
      <c r="Y233" s="319">
        <f>IF(OR(ISNUMBER(SEARCH("토2",$H233)),ISNUMBER(SEARCH("토1.2",$H233))),1,"")</f>
        <v/>
      </c>
      <c r="Z233" s="319">
        <f>IF(OR(ISNUMBER(SEARCH("토3",$H233)),ISNUMBER(SEARCH("토1.3",$H233)),ISNUMBER(SEARCH("토2.3",$H233)),ISNUMBER(SEARCH("토1.2.3",$H233))),1,"")</f>
        <v/>
      </c>
      <c r="AA233" s="319">
        <f>IF(ISNUMBER(SEARCH("일1",$H233)),1,"")</f>
        <v/>
      </c>
      <c r="AB233" s="319">
        <f>IF(OR(ISNUMBER(SEARCH("일2",$H233)),ISNUMBER(SEARCH("일1.2",$H233))),1,"")</f>
        <v/>
      </c>
      <c r="AC233" s="319">
        <f>IF(OR(ISNUMBER(SEARCH("일3",$H233)),ISNUMBER(SEARCH("일1.3",$H233)),ISNUMBER(SEARCH("일2.3",$H233)),ISNUMBER(SEARCH("일1.2.3",$H233))),1,"")</f>
        <v/>
      </c>
      <c r="AD233" s="319">
        <f>SUM(I233:AC233)</f>
        <v/>
      </c>
      <c r="AE233" s="323" t="n"/>
    </row>
    <row r="234" ht="24" customHeight="1">
      <c r="A234" s="168" t="n"/>
      <c r="B234" s="319" t="n"/>
      <c r="C234" s="319" t="n"/>
      <c r="D234" s="319" t="n"/>
      <c r="E234" s="341" t="n"/>
      <c r="F234" s="341" t="n"/>
      <c r="G234" s="342" t="n"/>
      <c r="H234" s="322" t="n"/>
      <c r="I234" s="319">
        <f>IF(ISNUMBER(SEARCH("월1",$H234)),1,"")</f>
        <v/>
      </c>
      <c r="J234" s="319">
        <f>IF(OR(ISNUMBER(SEARCH("월2",$H234)),ISNUMBER(SEARCH("월1.2",$H234))),1,"")</f>
        <v/>
      </c>
      <c r="K234" s="319">
        <f>IF(OR(ISNUMBER(SEARCH("월3",$H234)),ISNUMBER(SEARCH("월1.3",$H234)),ISNUMBER(SEARCH("월2.3",$H234)),ISNUMBER(SEARCH("월1.2.3",$H234))),1,"")</f>
        <v/>
      </c>
      <c r="L234" s="319">
        <f>IF(ISNUMBER(SEARCH("화1",$H234)),1,"")</f>
        <v/>
      </c>
      <c r="M234" s="319">
        <f>IF(OR(ISNUMBER(SEARCH("화2",$H234)),ISNUMBER(SEARCH("화1.2",$H234))),1,"")</f>
        <v/>
      </c>
      <c r="N234" s="319">
        <f>IF(OR(ISNUMBER(SEARCH("화3",$H234)),ISNUMBER(SEARCH("화1.3",$H234)),ISNUMBER(SEARCH("화2.3",$H234)),ISNUMBER(SEARCH("화1.2.3",$H234))),1,"")</f>
        <v/>
      </c>
      <c r="O234" s="319">
        <f>IF(ISNUMBER(SEARCH("수1",$H234)),1,"")</f>
        <v/>
      </c>
      <c r="P234" s="319">
        <f>IF(OR(ISNUMBER(SEARCH("수2",$H234)),ISNUMBER(SEARCH("수1.2",$H234))),1,"")</f>
        <v/>
      </c>
      <c r="Q234" s="319">
        <f>IF(OR(ISNUMBER(SEARCH("수3",$H234)),ISNUMBER(SEARCH("수1.3",$H234)),ISNUMBER(SEARCH("수2.3",$H234)),ISNUMBER(SEARCH("수1.2.3",$H234))),1,"")</f>
        <v/>
      </c>
      <c r="R234" s="319">
        <f>IF(ISNUMBER(SEARCH("목1",$H234)),1,"")</f>
        <v/>
      </c>
      <c r="S234" s="319">
        <f>IF(OR(ISNUMBER(SEARCH("목2",$H234)),ISNUMBER(SEARCH("목1.2",$H234))),1,"")</f>
        <v/>
      </c>
      <c r="T234" s="319">
        <f>IF(OR(ISNUMBER(SEARCH("목3",$H234)),ISNUMBER(SEARCH("목1.3",$H234)),ISNUMBER(SEARCH("목2.3",$H234)),ISNUMBER(SEARCH("목1.2.3",$H234))),1,"")</f>
        <v/>
      </c>
      <c r="U234" s="319">
        <f>IF(ISNUMBER(SEARCH("금1",$H234)),1,"")</f>
        <v/>
      </c>
      <c r="V234" s="319">
        <f>IF(OR(ISNUMBER(SEARCH("금2",$H234)),ISNUMBER(SEARCH("금1.2",$H234))),1,"")</f>
        <v/>
      </c>
      <c r="W234" s="319">
        <f>IF(OR(ISNUMBER(SEARCH("금3",$H234)),ISNUMBER(SEARCH("금1.3",$H234)),ISNUMBER(SEARCH("금2.3",$H234)),ISNUMBER(SEARCH("금1.2.3",$H234))),1,"")</f>
        <v/>
      </c>
      <c r="X234" s="319">
        <f>IF(ISNUMBER(SEARCH("토1",$H234)),1,"")</f>
        <v/>
      </c>
      <c r="Y234" s="319">
        <f>IF(OR(ISNUMBER(SEARCH("토2",$H234)),ISNUMBER(SEARCH("토1.2",$H234))),1,"")</f>
        <v/>
      </c>
      <c r="Z234" s="319">
        <f>IF(OR(ISNUMBER(SEARCH("토3",$H234)),ISNUMBER(SEARCH("토1.3",$H234)),ISNUMBER(SEARCH("토2.3",$H234)),ISNUMBER(SEARCH("토1.2.3",$H234))),1,"")</f>
        <v/>
      </c>
      <c r="AA234" s="319">
        <f>IF(ISNUMBER(SEARCH("일1",$H234)),1,"")</f>
        <v/>
      </c>
      <c r="AB234" s="319">
        <f>IF(OR(ISNUMBER(SEARCH("일2",$H234)),ISNUMBER(SEARCH("일1.2",$H234))),1,"")</f>
        <v/>
      </c>
      <c r="AC234" s="319">
        <f>IF(OR(ISNUMBER(SEARCH("일3",$H234)),ISNUMBER(SEARCH("일1.3",$H234)),ISNUMBER(SEARCH("일2.3",$H234)),ISNUMBER(SEARCH("일1.2.3",$H234))),1,"")</f>
        <v/>
      </c>
      <c r="AD234" s="319">
        <f>SUM(I234:AC234)</f>
        <v/>
      </c>
      <c r="AE234" s="323" t="n"/>
    </row>
    <row r="235" ht="24" customHeight="1">
      <c r="A235" s="168" t="n"/>
      <c r="B235" s="319" t="n"/>
      <c r="C235" s="319" t="n"/>
      <c r="D235" s="319" t="n"/>
      <c r="E235" s="341" t="n"/>
      <c r="F235" s="341" t="n"/>
      <c r="G235" s="342" t="n"/>
      <c r="H235" s="322" t="n"/>
      <c r="I235" s="319">
        <f>IF(ISNUMBER(SEARCH("월1",$H235)),1,"")</f>
        <v/>
      </c>
      <c r="J235" s="319">
        <f>IF(OR(ISNUMBER(SEARCH("월2",$H235)),ISNUMBER(SEARCH("월1.2",$H235))),1,"")</f>
        <v/>
      </c>
      <c r="K235" s="319">
        <f>IF(OR(ISNUMBER(SEARCH("월3",$H235)),ISNUMBER(SEARCH("월1.3",$H235)),ISNUMBER(SEARCH("월2.3",$H235)),ISNUMBER(SEARCH("월1.2.3",$H235))),1,"")</f>
        <v/>
      </c>
      <c r="L235" s="319">
        <f>IF(ISNUMBER(SEARCH("화1",$H235)),1,"")</f>
        <v/>
      </c>
      <c r="M235" s="319">
        <f>IF(OR(ISNUMBER(SEARCH("화2",$H235)),ISNUMBER(SEARCH("화1.2",$H235))),1,"")</f>
        <v/>
      </c>
      <c r="N235" s="319">
        <f>IF(OR(ISNUMBER(SEARCH("화3",$H235)),ISNUMBER(SEARCH("화1.3",$H235)),ISNUMBER(SEARCH("화2.3",$H235)),ISNUMBER(SEARCH("화1.2.3",$H235))),1,"")</f>
        <v/>
      </c>
      <c r="O235" s="319">
        <f>IF(ISNUMBER(SEARCH("수1",$H235)),1,"")</f>
        <v/>
      </c>
      <c r="P235" s="319">
        <f>IF(OR(ISNUMBER(SEARCH("수2",$H235)),ISNUMBER(SEARCH("수1.2",$H235))),1,"")</f>
        <v/>
      </c>
      <c r="Q235" s="319">
        <f>IF(OR(ISNUMBER(SEARCH("수3",$H235)),ISNUMBER(SEARCH("수1.3",$H235)),ISNUMBER(SEARCH("수2.3",$H235)),ISNUMBER(SEARCH("수1.2.3",$H235))),1,"")</f>
        <v/>
      </c>
      <c r="R235" s="319">
        <f>IF(ISNUMBER(SEARCH("목1",$H235)),1,"")</f>
        <v/>
      </c>
      <c r="S235" s="319">
        <f>IF(OR(ISNUMBER(SEARCH("목2",$H235)),ISNUMBER(SEARCH("목1.2",$H235))),1,"")</f>
        <v/>
      </c>
      <c r="T235" s="319">
        <f>IF(OR(ISNUMBER(SEARCH("목3",$H235)),ISNUMBER(SEARCH("목1.3",$H235)),ISNUMBER(SEARCH("목2.3",$H235)),ISNUMBER(SEARCH("목1.2.3",$H235))),1,"")</f>
        <v/>
      </c>
      <c r="U235" s="319">
        <f>IF(ISNUMBER(SEARCH("금1",$H235)),1,"")</f>
        <v/>
      </c>
      <c r="V235" s="319">
        <f>IF(OR(ISNUMBER(SEARCH("금2",$H235)),ISNUMBER(SEARCH("금1.2",$H235))),1,"")</f>
        <v/>
      </c>
      <c r="W235" s="319">
        <f>IF(OR(ISNUMBER(SEARCH("금3",$H235)),ISNUMBER(SEARCH("금1.3",$H235)),ISNUMBER(SEARCH("금2.3",$H235)),ISNUMBER(SEARCH("금1.2.3",$H235))),1,"")</f>
        <v/>
      </c>
      <c r="X235" s="319">
        <f>IF(ISNUMBER(SEARCH("토1",$H235)),1,"")</f>
        <v/>
      </c>
      <c r="Y235" s="319">
        <f>IF(OR(ISNUMBER(SEARCH("토2",$H235)),ISNUMBER(SEARCH("토1.2",$H235))),1,"")</f>
        <v/>
      </c>
      <c r="Z235" s="319">
        <f>IF(OR(ISNUMBER(SEARCH("토3",$H235)),ISNUMBER(SEARCH("토1.3",$H235)),ISNUMBER(SEARCH("토2.3",$H235)),ISNUMBER(SEARCH("토1.2.3",$H235))),1,"")</f>
        <v/>
      </c>
      <c r="AA235" s="319">
        <f>IF(ISNUMBER(SEARCH("일1",$H235)),1,"")</f>
        <v/>
      </c>
      <c r="AB235" s="319">
        <f>IF(OR(ISNUMBER(SEARCH("일2",$H235)),ISNUMBER(SEARCH("일1.2",$H235))),1,"")</f>
        <v/>
      </c>
      <c r="AC235" s="319">
        <f>IF(OR(ISNUMBER(SEARCH("일3",$H235)),ISNUMBER(SEARCH("일1.3",$H235)),ISNUMBER(SEARCH("일2.3",$H235)),ISNUMBER(SEARCH("일1.2.3",$H235))),1,"")</f>
        <v/>
      </c>
      <c r="AD235" s="319">
        <f>SUM(I235:AC235)</f>
        <v/>
      </c>
      <c r="AE235" s="323" t="n"/>
    </row>
    <row r="236" ht="24" customHeight="1">
      <c r="A236" s="168" t="n"/>
      <c r="B236" s="319" t="n"/>
      <c r="C236" s="319" t="n"/>
      <c r="D236" s="319" t="n"/>
      <c r="E236" s="341" t="n"/>
      <c r="F236" s="341" t="n"/>
      <c r="G236" s="342" t="n"/>
      <c r="H236" s="322" t="n"/>
      <c r="I236" s="319">
        <f>IF(ISNUMBER(SEARCH("월1",$H236)),1,"")</f>
        <v/>
      </c>
      <c r="J236" s="319">
        <f>IF(OR(ISNUMBER(SEARCH("월2",$H236)),ISNUMBER(SEARCH("월1.2",$H236))),1,"")</f>
        <v/>
      </c>
      <c r="K236" s="319">
        <f>IF(OR(ISNUMBER(SEARCH("월3",$H236)),ISNUMBER(SEARCH("월1.3",$H236)),ISNUMBER(SEARCH("월2.3",$H236)),ISNUMBER(SEARCH("월1.2.3",$H236))),1,"")</f>
        <v/>
      </c>
      <c r="L236" s="319">
        <f>IF(ISNUMBER(SEARCH("화1",$H236)),1,"")</f>
        <v/>
      </c>
      <c r="M236" s="319">
        <f>IF(OR(ISNUMBER(SEARCH("화2",$H236)),ISNUMBER(SEARCH("화1.2",$H236))),1,"")</f>
        <v/>
      </c>
      <c r="N236" s="319">
        <f>IF(OR(ISNUMBER(SEARCH("화3",$H236)),ISNUMBER(SEARCH("화1.3",$H236)),ISNUMBER(SEARCH("화2.3",$H236)),ISNUMBER(SEARCH("화1.2.3",$H236))),1,"")</f>
        <v/>
      </c>
      <c r="O236" s="319">
        <f>IF(ISNUMBER(SEARCH("수1",$H236)),1,"")</f>
        <v/>
      </c>
      <c r="P236" s="319">
        <f>IF(OR(ISNUMBER(SEARCH("수2",$H236)),ISNUMBER(SEARCH("수1.2",$H236))),1,"")</f>
        <v/>
      </c>
      <c r="Q236" s="319">
        <f>IF(OR(ISNUMBER(SEARCH("수3",$H236)),ISNUMBER(SEARCH("수1.3",$H236)),ISNUMBER(SEARCH("수2.3",$H236)),ISNUMBER(SEARCH("수1.2.3",$H236))),1,"")</f>
        <v/>
      </c>
      <c r="R236" s="319">
        <f>IF(ISNUMBER(SEARCH("목1",$H236)),1,"")</f>
        <v/>
      </c>
      <c r="S236" s="319">
        <f>IF(OR(ISNUMBER(SEARCH("목2",$H236)),ISNUMBER(SEARCH("목1.2",$H236))),1,"")</f>
        <v/>
      </c>
      <c r="T236" s="319">
        <f>IF(OR(ISNUMBER(SEARCH("목3",$H236)),ISNUMBER(SEARCH("목1.3",$H236)),ISNUMBER(SEARCH("목2.3",$H236)),ISNUMBER(SEARCH("목1.2.3",$H236))),1,"")</f>
        <v/>
      </c>
      <c r="U236" s="319">
        <f>IF(ISNUMBER(SEARCH("금1",$H236)),1,"")</f>
        <v/>
      </c>
      <c r="V236" s="319">
        <f>IF(OR(ISNUMBER(SEARCH("금2",$H236)),ISNUMBER(SEARCH("금1.2",$H236))),1,"")</f>
        <v/>
      </c>
      <c r="W236" s="319">
        <f>IF(OR(ISNUMBER(SEARCH("금3",$H236)),ISNUMBER(SEARCH("금1.3",$H236)),ISNUMBER(SEARCH("금2.3",$H236)),ISNUMBER(SEARCH("금1.2.3",$H236))),1,"")</f>
        <v/>
      </c>
      <c r="X236" s="319">
        <f>IF(ISNUMBER(SEARCH("토1",$H236)),1,"")</f>
        <v/>
      </c>
      <c r="Y236" s="319">
        <f>IF(OR(ISNUMBER(SEARCH("토2",$H236)),ISNUMBER(SEARCH("토1.2",$H236))),1,"")</f>
        <v/>
      </c>
      <c r="Z236" s="319">
        <f>IF(OR(ISNUMBER(SEARCH("토3",$H236)),ISNUMBER(SEARCH("토1.3",$H236)),ISNUMBER(SEARCH("토2.3",$H236)),ISNUMBER(SEARCH("토1.2.3",$H236))),1,"")</f>
        <v/>
      </c>
      <c r="AA236" s="319">
        <f>IF(ISNUMBER(SEARCH("일1",$H236)),1,"")</f>
        <v/>
      </c>
      <c r="AB236" s="319">
        <f>IF(OR(ISNUMBER(SEARCH("일2",$H236)),ISNUMBER(SEARCH("일1.2",$H236))),1,"")</f>
        <v/>
      </c>
      <c r="AC236" s="319">
        <f>IF(OR(ISNUMBER(SEARCH("일3",$H236)),ISNUMBER(SEARCH("일1.3",$H236)),ISNUMBER(SEARCH("일2.3",$H236)),ISNUMBER(SEARCH("일1.2.3",$H236))),1,"")</f>
        <v/>
      </c>
      <c r="AD236" s="319">
        <f>SUM(I236:AC236)</f>
        <v/>
      </c>
      <c r="AE236" s="323" t="n"/>
    </row>
    <row r="237" ht="24" customHeight="1">
      <c r="A237" s="168" t="n"/>
      <c r="B237" s="319" t="n"/>
      <c r="C237" s="319" t="n"/>
      <c r="D237" s="319" t="n"/>
      <c r="E237" s="341" t="n"/>
      <c r="F237" s="341" t="n"/>
      <c r="G237" s="342" t="n"/>
      <c r="H237" s="322" t="n"/>
      <c r="I237" s="319">
        <f>IF(ISNUMBER(SEARCH("월1",$H237)),1,"")</f>
        <v/>
      </c>
      <c r="J237" s="319">
        <f>IF(OR(ISNUMBER(SEARCH("월2",$H237)),ISNUMBER(SEARCH("월1.2",$H237))),1,"")</f>
        <v/>
      </c>
      <c r="K237" s="319">
        <f>IF(OR(ISNUMBER(SEARCH("월3",$H237)),ISNUMBER(SEARCH("월1.3",$H237)),ISNUMBER(SEARCH("월2.3",$H237)),ISNUMBER(SEARCH("월1.2.3",$H237))),1,"")</f>
        <v/>
      </c>
      <c r="L237" s="319">
        <f>IF(ISNUMBER(SEARCH("화1",$H237)),1,"")</f>
        <v/>
      </c>
      <c r="M237" s="319">
        <f>IF(OR(ISNUMBER(SEARCH("화2",$H237)),ISNUMBER(SEARCH("화1.2",$H237))),1,"")</f>
        <v/>
      </c>
      <c r="N237" s="319">
        <f>IF(OR(ISNUMBER(SEARCH("화3",$H237)),ISNUMBER(SEARCH("화1.3",$H237)),ISNUMBER(SEARCH("화2.3",$H237)),ISNUMBER(SEARCH("화1.2.3",$H237))),1,"")</f>
        <v/>
      </c>
      <c r="O237" s="319">
        <f>IF(ISNUMBER(SEARCH("수1",$H237)),1,"")</f>
        <v/>
      </c>
      <c r="P237" s="319">
        <f>IF(OR(ISNUMBER(SEARCH("수2",$H237)),ISNUMBER(SEARCH("수1.2",$H237))),1,"")</f>
        <v/>
      </c>
      <c r="Q237" s="319">
        <f>IF(OR(ISNUMBER(SEARCH("수3",$H237)),ISNUMBER(SEARCH("수1.3",$H237)),ISNUMBER(SEARCH("수2.3",$H237)),ISNUMBER(SEARCH("수1.2.3",$H237))),1,"")</f>
        <v/>
      </c>
      <c r="R237" s="319">
        <f>IF(ISNUMBER(SEARCH("목1",$H237)),1,"")</f>
        <v/>
      </c>
      <c r="S237" s="319">
        <f>IF(OR(ISNUMBER(SEARCH("목2",$H237)),ISNUMBER(SEARCH("목1.2",$H237))),1,"")</f>
        <v/>
      </c>
      <c r="T237" s="319">
        <f>IF(OR(ISNUMBER(SEARCH("목3",$H237)),ISNUMBER(SEARCH("목1.3",$H237)),ISNUMBER(SEARCH("목2.3",$H237)),ISNUMBER(SEARCH("목1.2.3",$H237))),1,"")</f>
        <v/>
      </c>
      <c r="U237" s="319">
        <f>IF(ISNUMBER(SEARCH("금1",$H237)),1,"")</f>
        <v/>
      </c>
      <c r="V237" s="319">
        <f>IF(OR(ISNUMBER(SEARCH("금2",$H237)),ISNUMBER(SEARCH("금1.2",$H237))),1,"")</f>
        <v/>
      </c>
      <c r="W237" s="319">
        <f>IF(OR(ISNUMBER(SEARCH("금3",$H237)),ISNUMBER(SEARCH("금1.3",$H237)),ISNUMBER(SEARCH("금2.3",$H237)),ISNUMBER(SEARCH("금1.2.3",$H237))),1,"")</f>
        <v/>
      </c>
      <c r="X237" s="319">
        <f>IF(ISNUMBER(SEARCH("토1",$H237)),1,"")</f>
        <v/>
      </c>
      <c r="Y237" s="319">
        <f>IF(OR(ISNUMBER(SEARCH("토2",$H237)),ISNUMBER(SEARCH("토1.2",$H237))),1,"")</f>
        <v/>
      </c>
      <c r="Z237" s="319">
        <f>IF(OR(ISNUMBER(SEARCH("토3",$H237)),ISNUMBER(SEARCH("토1.3",$H237)),ISNUMBER(SEARCH("토2.3",$H237)),ISNUMBER(SEARCH("토1.2.3",$H237))),1,"")</f>
        <v/>
      </c>
      <c r="AA237" s="319">
        <f>IF(ISNUMBER(SEARCH("일1",$H237)),1,"")</f>
        <v/>
      </c>
      <c r="AB237" s="319">
        <f>IF(OR(ISNUMBER(SEARCH("일2",$H237)),ISNUMBER(SEARCH("일1.2",$H237))),1,"")</f>
        <v/>
      </c>
      <c r="AC237" s="319">
        <f>IF(OR(ISNUMBER(SEARCH("일3",$H237)),ISNUMBER(SEARCH("일1.3",$H237)),ISNUMBER(SEARCH("일2.3",$H237)),ISNUMBER(SEARCH("일1.2.3",$H237))),1,"")</f>
        <v/>
      </c>
      <c r="AD237" s="319">
        <f>SUM(I237:AC237)</f>
        <v/>
      </c>
      <c r="AE237" s="323" t="n"/>
    </row>
    <row r="238" ht="24" customHeight="1">
      <c r="A238" s="168" t="n"/>
      <c r="B238" s="319" t="n"/>
      <c r="C238" s="319" t="n"/>
      <c r="D238" s="319" t="n"/>
      <c r="E238" s="341" t="n"/>
      <c r="F238" s="341" t="n"/>
      <c r="G238" s="342" t="n"/>
      <c r="H238" s="322" t="n"/>
      <c r="I238" s="319">
        <f>IF(ISNUMBER(SEARCH("월1",$H238)),1,"")</f>
        <v/>
      </c>
      <c r="J238" s="319">
        <f>IF(OR(ISNUMBER(SEARCH("월2",$H238)),ISNUMBER(SEARCH("월1.2",$H238))),1,"")</f>
        <v/>
      </c>
      <c r="K238" s="319">
        <f>IF(OR(ISNUMBER(SEARCH("월3",$H238)),ISNUMBER(SEARCH("월1.3",$H238)),ISNUMBER(SEARCH("월2.3",$H238)),ISNUMBER(SEARCH("월1.2.3",$H238))),1,"")</f>
        <v/>
      </c>
      <c r="L238" s="319">
        <f>IF(ISNUMBER(SEARCH("화1",$H238)),1,"")</f>
        <v/>
      </c>
      <c r="M238" s="319">
        <f>IF(OR(ISNUMBER(SEARCH("화2",$H238)),ISNUMBER(SEARCH("화1.2",$H238))),1,"")</f>
        <v/>
      </c>
      <c r="N238" s="319">
        <f>IF(OR(ISNUMBER(SEARCH("화3",$H238)),ISNUMBER(SEARCH("화1.3",$H238)),ISNUMBER(SEARCH("화2.3",$H238)),ISNUMBER(SEARCH("화1.2.3",$H238))),1,"")</f>
        <v/>
      </c>
      <c r="O238" s="319">
        <f>IF(ISNUMBER(SEARCH("수1",$H238)),1,"")</f>
        <v/>
      </c>
      <c r="P238" s="319">
        <f>IF(OR(ISNUMBER(SEARCH("수2",$H238)),ISNUMBER(SEARCH("수1.2",$H238))),1,"")</f>
        <v/>
      </c>
      <c r="Q238" s="319">
        <f>IF(OR(ISNUMBER(SEARCH("수3",$H238)),ISNUMBER(SEARCH("수1.3",$H238)),ISNUMBER(SEARCH("수2.3",$H238)),ISNUMBER(SEARCH("수1.2.3",$H238))),1,"")</f>
        <v/>
      </c>
      <c r="R238" s="319">
        <f>IF(ISNUMBER(SEARCH("목1",$H238)),1,"")</f>
        <v/>
      </c>
      <c r="S238" s="319">
        <f>IF(OR(ISNUMBER(SEARCH("목2",$H238)),ISNUMBER(SEARCH("목1.2",$H238))),1,"")</f>
        <v/>
      </c>
      <c r="T238" s="319">
        <f>IF(OR(ISNUMBER(SEARCH("목3",$H238)),ISNUMBER(SEARCH("목1.3",$H238)),ISNUMBER(SEARCH("목2.3",$H238)),ISNUMBER(SEARCH("목1.2.3",$H238))),1,"")</f>
        <v/>
      </c>
      <c r="U238" s="319">
        <f>IF(ISNUMBER(SEARCH("금1",$H238)),1,"")</f>
        <v/>
      </c>
      <c r="V238" s="319">
        <f>IF(OR(ISNUMBER(SEARCH("금2",$H238)),ISNUMBER(SEARCH("금1.2",$H238))),1,"")</f>
        <v/>
      </c>
      <c r="W238" s="319">
        <f>IF(OR(ISNUMBER(SEARCH("금3",$H238)),ISNUMBER(SEARCH("금1.3",$H238)),ISNUMBER(SEARCH("금2.3",$H238)),ISNUMBER(SEARCH("금1.2.3",$H238))),1,"")</f>
        <v/>
      </c>
      <c r="X238" s="319">
        <f>IF(ISNUMBER(SEARCH("토1",$H238)),1,"")</f>
        <v/>
      </c>
      <c r="Y238" s="319">
        <f>IF(OR(ISNUMBER(SEARCH("토2",$H238)),ISNUMBER(SEARCH("토1.2",$H238))),1,"")</f>
        <v/>
      </c>
      <c r="Z238" s="319">
        <f>IF(OR(ISNUMBER(SEARCH("토3",$H238)),ISNUMBER(SEARCH("토1.3",$H238)),ISNUMBER(SEARCH("토2.3",$H238)),ISNUMBER(SEARCH("토1.2.3",$H238))),1,"")</f>
        <v/>
      </c>
      <c r="AA238" s="319">
        <f>IF(ISNUMBER(SEARCH("일1",$H238)),1,"")</f>
        <v/>
      </c>
      <c r="AB238" s="319">
        <f>IF(OR(ISNUMBER(SEARCH("일2",$H238)),ISNUMBER(SEARCH("일1.2",$H238))),1,"")</f>
        <v/>
      </c>
      <c r="AC238" s="319">
        <f>IF(OR(ISNUMBER(SEARCH("일3",$H238)),ISNUMBER(SEARCH("일1.3",$H238)),ISNUMBER(SEARCH("일2.3",$H238)),ISNUMBER(SEARCH("일1.2.3",$H238))),1,"")</f>
        <v/>
      </c>
      <c r="AD238" s="319">
        <f>SUM(I238:AC238)</f>
        <v/>
      </c>
      <c r="AE238" s="323" t="n"/>
    </row>
    <row r="239" ht="24" customHeight="1">
      <c r="A239" s="168" t="n"/>
      <c r="B239" s="319" t="n"/>
      <c r="C239" s="319" t="n"/>
      <c r="D239" s="319" t="n"/>
      <c r="E239" s="341" t="n"/>
      <c r="F239" s="341" t="n"/>
      <c r="G239" s="342" t="n"/>
      <c r="H239" s="322" t="n"/>
      <c r="I239" s="319">
        <f>IF(ISNUMBER(SEARCH("월1",$H239)),1,"")</f>
        <v/>
      </c>
      <c r="J239" s="319">
        <f>IF(OR(ISNUMBER(SEARCH("월2",$H239)),ISNUMBER(SEARCH("월1.2",$H239))),1,"")</f>
        <v/>
      </c>
      <c r="K239" s="319">
        <f>IF(OR(ISNUMBER(SEARCH("월3",$H239)),ISNUMBER(SEARCH("월1.3",$H239)),ISNUMBER(SEARCH("월2.3",$H239)),ISNUMBER(SEARCH("월1.2.3",$H239))),1,"")</f>
        <v/>
      </c>
      <c r="L239" s="319">
        <f>IF(ISNUMBER(SEARCH("화1",$H239)),1,"")</f>
        <v/>
      </c>
      <c r="M239" s="319">
        <f>IF(OR(ISNUMBER(SEARCH("화2",$H239)),ISNUMBER(SEARCH("화1.2",$H239))),1,"")</f>
        <v/>
      </c>
      <c r="N239" s="319">
        <f>IF(OR(ISNUMBER(SEARCH("화3",$H239)),ISNUMBER(SEARCH("화1.3",$H239)),ISNUMBER(SEARCH("화2.3",$H239)),ISNUMBER(SEARCH("화1.2.3",$H239))),1,"")</f>
        <v/>
      </c>
      <c r="O239" s="319">
        <f>IF(ISNUMBER(SEARCH("수1",$H239)),1,"")</f>
        <v/>
      </c>
      <c r="P239" s="319">
        <f>IF(OR(ISNUMBER(SEARCH("수2",$H239)),ISNUMBER(SEARCH("수1.2",$H239))),1,"")</f>
        <v/>
      </c>
      <c r="Q239" s="319">
        <f>IF(OR(ISNUMBER(SEARCH("수3",$H239)),ISNUMBER(SEARCH("수1.3",$H239)),ISNUMBER(SEARCH("수2.3",$H239)),ISNUMBER(SEARCH("수1.2.3",$H239))),1,"")</f>
        <v/>
      </c>
      <c r="R239" s="319">
        <f>IF(ISNUMBER(SEARCH("목1",$H239)),1,"")</f>
        <v/>
      </c>
      <c r="S239" s="319">
        <f>IF(OR(ISNUMBER(SEARCH("목2",$H239)),ISNUMBER(SEARCH("목1.2",$H239))),1,"")</f>
        <v/>
      </c>
      <c r="T239" s="319">
        <f>IF(OR(ISNUMBER(SEARCH("목3",$H239)),ISNUMBER(SEARCH("목1.3",$H239)),ISNUMBER(SEARCH("목2.3",$H239)),ISNUMBER(SEARCH("목1.2.3",$H239))),1,"")</f>
        <v/>
      </c>
      <c r="U239" s="319">
        <f>IF(ISNUMBER(SEARCH("금1",$H239)),1,"")</f>
        <v/>
      </c>
      <c r="V239" s="319">
        <f>IF(OR(ISNUMBER(SEARCH("금2",$H239)),ISNUMBER(SEARCH("금1.2",$H239))),1,"")</f>
        <v/>
      </c>
      <c r="W239" s="319">
        <f>IF(OR(ISNUMBER(SEARCH("금3",$H239)),ISNUMBER(SEARCH("금1.3",$H239)),ISNUMBER(SEARCH("금2.3",$H239)),ISNUMBER(SEARCH("금1.2.3",$H239))),1,"")</f>
        <v/>
      </c>
      <c r="X239" s="319">
        <f>IF(ISNUMBER(SEARCH("토1",$H239)),1,"")</f>
        <v/>
      </c>
      <c r="Y239" s="319">
        <f>IF(OR(ISNUMBER(SEARCH("토2",$H239)),ISNUMBER(SEARCH("토1.2",$H239))),1,"")</f>
        <v/>
      </c>
      <c r="Z239" s="319">
        <f>IF(OR(ISNUMBER(SEARCH("토3",$H239)),ISNUMBER(SEARCH("토1.3",$H239)),ISNUMBER(SEARCH("토2.3",$H239)),ISNUMBER(SEARCH("토1.2.3",$H239))),1,"")</f>
        <v/>
      </c>
      <c r="AA239" s="319">
        <f>IF(ISNUMBER(SEARCH("일1",$H239)),1,"")</f>
        <v/>
      </c>
      <c r="AB239" s="319">
        <f>IF(OR(ISNUMBER(SEARCH("일2",$H239)),ISNUMBER(SEARCH("일1.2",$H239))),1,"")</f>
        <v/>
      </c>
      <c r="AC239" s="319">
        <f>IF(OR(ISNUMBER(SEARCH("일3",$H239)),ISNUMBER(SEARCH("일1.3",$H239)),ISNUMBER(SEARCH("일2.3",$H239)),ISNUMBER(SEARCH("일1.2.3",$H239))),1,"")</f>
        <v/>
      </c>
      <c r="AD239" s="319">
        <f>SUM(I239:AC239)</f>
        <v/>
      </c>
      <c r="AE239" s="323" t="n"/>
    </row>
    <row r="240" ht="24" customHeight="1">
      <c r="A240" s="168" t="n"/>
      <c r="B240" s="319" t="n"/>
      <c r="C240" s="319" t="n"/>
      <c r="D240" s="319" t="n"/>
      <c r="E240" s="341" t="n"/>
      <c r="F240" s="341" t="n"/>
      <c r="G240" s="342" t="n"/>
      <c r="H240" s="322" t="n"/>
      <c r="I240" s="319">
        <f>IF(ISNUMBER(SEARCH("월1",$H240)),1,"")</f>
        <v/>
      </c>
      <c r="J240" s="319">
        <f>IF(OR(ISNUMBER(SEARCH("월2",$H240)),ISNUMBER(SEARCH("월1.2",$H240))),1,"")</f>
        <v/>
      </c>
      <c r="K240" s="319">
        <f>IF(OR(ISNUMBER(SEARCH("월3",$H240)),ISNUMBER(SEARCH("월1.3",$H240)),ISNUMBER(SEARCH("월2.3",$H240)),ISNUMBER(SEARCH("월1.2.3",$H240))),1,"")</f>
        <v/>
      </c>
      <c r="L240" s="319">
        <f>IF(ISNUMBER(SEARCH("화1",$H240)),1,"")</f>
        <v/>
      </c>
      <c r="M240" s="319">
        <f>IF(OR(ISNUMBER(SEARCH("화2",$H240)),ISNUMBER(SEARCH("화1.2",$H240))),1,"")</f>
        <v/>
      </c>
      <c r="N240" s="319">
        <f>IF(OR(ISNUMBER(SEARCH("화3",$H240)),ISNUMBER(SEARCH("화1.3",$H240)),ISNUMBER(SEARCH("화2.3",$H240)),ISNUMBER(SEARCH("화1.2.3",$H240))),1,"")</f>
        <v/>
      </c>
      <c r="O240" s="319">
        <f>IF(ISNUMBER(SEARCH("수1",$H240)),1,"")</f>
        <v/>
      </c>
      <c r="P240" s="319">
        <f>IF(OR(ISNUMBER(SEARCH("수2",$H240)),ISNUMBER(SEARCH("수1.2",$H240))),1,"")</f>
        <v/>
      </c>
      <c r="Q240" s="319">
        <f>IF(OR(ISNUMBER(SEARCH("수3",$H240)),ISNUMBER(SEARCH("수1.3",$H240)),ISNUMBER(SEARCH("수2.3",$H240)),ISNUMBER(SEARCH("수1.2.3",$H240))),1,"")</f>
        <v/>
      </c>
      <c r="R240" s="319">
        <f>IF(ISNUMBER(SEARCH("목1",$H240)),1,"")</f>
        <v/>
      </c>
      <c r="S240" s="319">
        <f>IF(OR(ISNUMBER(SEARCH("목2",$H240)),ISNUMBER(SEARCH("목1.2",$H240))),1,"")</f>
        <v/>
      </c>
      <c r="T240" s="319">
        <f>IF(OR(ISNUMBER(SEARCH("목3",$H240)),ISNUMBER(SEARCH("목1.3",$H240)),ISNUMBER(SEARCH("목2.3",$H240)),ISNUMBER(SEARCH("목1.2.3",$H240))),1,"")</f>
        <v/>
      </c>
      <c r="U240" s="319">
        <f>IF(ISNUMBER(SEARCH("금1",$H240)),1,"")</f>
        <v/>
      </c>
      <c r="V240" s="319">
        <f>IF(OR(ISNUMBER(SEARCH("금2",$H240)),ISNUMBER(SEARCH("금1.2",$H240))),1,"")</f>
        <v/>
      </c>
      <c r="W240" s="319">
        <f>IF(OR(ISNUMBER(SEARCH("금3",$H240)),ISNUMBER(SEARCH("금1.3",$H240)),ISNUMBER(SEARCH("금2.3",$H240)),ISNUMBER(SEARCH("금1.2.3",$H240))),1,"")</f>
        <v/>
      </c>
      <c r="X240" s="319">
        <f>IF(ISNUMBER(SEARCH("토1",$H240)),1,"")</f>
        <v/>
      </c>
      <c r="Y240" s="319">
        <f>IF(OR(ISNUMBER(SEARCH("토2",$H240)),ISNUMBER(SEARCH("토1.2",$H240))),1,"")</f>
        <v/>
      </c>
      <c r="Z240" s="319">
        <f>IF(OR(ISNUMBER(SEARCH("토3",$H240)),ISNUMBER(SEARCH("토1.3",$H240)),ISNUMBER(SEARCH("토2.3",$H240)),ISNUMBER(SEARCH("토1.2.3",$H240))),1,"")</f>
        <v/>
      </c>
      <c r="AA240" s="319">
        <f>IF(ISNUMBER(SEARCH("일1",$H240)),1,"")</f>
        <v/>
      </c>
      <c r="AB240" s="319">
        <f>IF(OR(ISNUMBER(SEARCH("일2",$H240)),ISNUMBER(SEARCH("일1.2",$H240))),1,"")</f>
        <v/>
      </c>
      <c r="AC240" s="319">
        <f>IF(OR(ISNUMBER(SEARCH("일3",$H240)),ISNUMBER(SEARCH("일1.3",$H240)),ISNUMBER(SEARCH("일2.3",$H240)),ISNUMBER(SEARCH("일1.2.3",$H240))),1,"")</f>
        <v/>
      </c>
      <c r="AD240" s="319">
        <f>SUM(I240:AC240)</f>
        <v/>
      </c>
      <c r="AE240" s="323" t="n"/>
    </row>
    <row r="241" ht="24" customHeight="1">
      <c r="A241" s="168" t="n"/>
      <c r="B241" s="319" t="n"/>
      <c r="C241" s="319" t="n"/>
      <c r="D241" s="319" t="n"/>
      <c r="E241" s="341" t="n"/>
      <c r="F241" s="341" t="n"/>
      <c r="G241" s="342" t="n"/>
      <c r="H241" s="322" t="n"/>
      <c r="I241" s="319">
        <f>IF(ISNUMBER(SEARCH("월1",$H241)),1,"")</f>
        <v/>
      </c>
      <c r="J241" s="319">
        <f>IF(OR(ISNUMBER(SEARCH("월2",$H241)),ISNUMBER(SEARCH("월1.2",$H241))),1,"")</f>
        <v/>
      </c>
      <c r="K241" s="319">
        <f>IF(OR(ISNUMBER(SEARCH("월3",$H241)),ISNUMBER(SEARCH("월1.3",$H241)),ISNUMBER(SEARCH("월2.3",$H241)),ISNUMBER(SEARCH("월1.2.3",$H241))),1,"")</f>
        <v/>
      </c>
      <c r="L241" s="319">
        <f>IF(ISNUMBER(SEARCH("화1",$H241)),1,"")</f>
        <v/>
      </c>
      <c r="M241" s="319">
        <f>IF(OR(ISNUMBER(SEARCH("화2",$H241)),ISNUMBER(SEARCH("화1.2",$H241))),1,"")</f>
        <v/>
      </c>
      <c r="N241" s="319">
        <f>IF(OR(ISNUMBER(SEARCH("화3",$H241)),ISNUMBER(SEARCH("화1.3",$H241)),ISNUMBER(SEARCH("화2.3",$H241)),ISNUMBER(SEARCH("화1.2.3",$H241))),1,"")</f>
        <v/>
      </c>
      <c r="O241" s="319">
        <f>IF(ISNUMBER(SEARCH("수1",$H241)),1,"")</f>
        <v/>
      </c>
      <c r="P241" s="319">
        <f>IF(OR(ISNUMBER(SEARCH("수2",$H241)),ISNUMBER(SEARCH("수1.2",$H241))),1,"")</f>
        <v/>
      </c>
      <c r="Q241" s="319">
        <f>IF(OR(ISNUMBER(SEARCH("수3",$H241)),ISNUMBER(SEARCH("수1.3",$H241)),ISNUMBER(SEARCH("수2.3",$H241)),ISNUMBER(SEARCH("수1.2.3",$H241))),1,"")</f>
        <v/>
      </c>
      <c r="R241" s="319">
        <f>IF(ISNUMBER(SEARCH("목1",$H241)),1,"")</f>
        <v/>
      </c>
      <c r="S241" s="319">
        <f>IF(OR(ISNUMBER(SEARCH("목2",$H241)),ISNUMBER(SEARCH("목1.2",$H241))),1,"")</f>
        <v/>
      </c>
      <c r="T241" s="319">
        <f>IF(OR(ISNUMBER(SEARCH("목3",$H241)),ISNUMBER(SEARCH("목1.3",$H241)),ISNUMBER(SEARCH("목2.3",$H241)),ISNUMBER(SEARCH("목1.2.3",$H241))),1,"")</f>
        <v/>
      </c>
      <c r="U241" s="319">
        <f>IF(ISNUMBER(SEARCH("금1",$H241)),1,"")</f>
        <v/>
      </c>
      <c r="V241" s="319">
        <f>IF(OR(ISNUMBER(SEARCH("금2",$H241)),ISNUMBER(SEARCH("금1.2",$H241))),1,"")</f>
        <v/>
      </c>
      <c r="W241" s="319">
        <f>IF(OR(ISNUMBER(SEARCH("금3",$H241)),ISNUMBER(SEARCH("금1.3",$H241)),ISNUMBER(SEARCH("금2.3",$H241)),ISNUMBER(SEARCH("금1.2.3",$H241))),1,"")</f>
        <v/>
      </c>
      <c r="X241" s="319">
        <f>IF(ISNUMBER(SEARCH("토1",$H241)),1,"")</f>
        <v/>
      </c>
      <c r="Y241" s="319">
        <f>IF(OR(ISNUMBER(SEARCH("토2",$H241)),ISNUMBER(SEARCH("토1.2",$H241))),1,"")</f>
        <v/>
      </c>
      <c r="Z241" s="319">
        <f>IF(OR(ISNUMBER(SEARCH("토3",$H241)),ISNUMBER(SEARCH("토1.3",$H241)),ISNUMBER(SEARCH("토2.3",$H241)),ISNUMBER(SEARCH("토1.2.3",$H241))),1,"")</f>
        <v/>
      </c>
      <c r="AA241" s="319">
        <f>IF(ISNUMBER(SEARCH("일1",$H241)),1,"")</f>
        <v/>
      </c>
      <c r="AB241" s="319">
        <f>IF(OR(ISNUMBER(SEARCH("일2",$H241)),ISNUMBER(SEARCH("일1.2",$H241))),1,"")</f>
        <v/>
      </c>
      <c r="AC241" s="319">
        <f>IF(OR(ISNUMBER(SEARCH("일3",$H241)),ISNUMBER(SEARCH("일1.3",$H241)),ISNUMBER(SEARCH("일2.3",$H241)),ISNUMBER(SEARCH("일1.2.3",$H241))),1,"")</f>
        <v/>
      </c>
      <c r="AD241" s="319">
        <f>SUM(I241:AC241)</f>
        <v/>
      </c>
      <c r="AE241" s="323" t="n"/>
    </row>
    <row r="242" ht="24" customHeight="1">
      <c r="A242" s="168" t="n"/>
      <c r="B242" s="319" t="n"/>
      <c r="C242" s="319" t="n"/>
      <c r="D242" s="319" t="n"/>
      <c r="E242" s="341" t="n"/>
      <c r="F242" s="341" t="n"/>
      <c r="G242" s="342" t="n"/>
      <c r="H242" s="322" t="n"/>
      <c r="I242" s="319">
        <f>IF(ISNUMBER(SEARCH("월1",$H242)),1,"")</f>
        <v/>
      </c>
      <c r="J242" s="319">
        <f>IF(OR(ISNUMBER(SEARCH("월2",$H242)),ISNUMBER(SEARCH("월1.2",$H242))),1,"")</f>
        <v/>
      </c>
      <c r="K242" s="319">
        <f>IF(OR(ISNUMBER(SEARCH("월3",$H242)),ISNUMBER(SEARCH("월1.3",$H242)),ISNUMBER(SEARCH("월2.3",$H242)),ISNUMBER(SEARCH("월1.2.3",$H242))),1,"")</f>
        <v/>
      </c>
      <c r="L242" s="319">
        <f>IF(ISNUMBER(SEARCH("화1",$H242)),1,"")</f>
        <v/>
      </c>
      <c r="M242" s="319">
        <f>IF(OR(ISNUMBER(SEARCH("화2",$H242)),ISNUMBER(SEARCH("화1.2",$H242))),1,"")</f>
        <v/>
      </c>
      <c r="N242" s="319">
        <f>IF(OR(ISNUMBER(SEARCH("화3",$H242)),ISNUMBER(SEARCH("화1.3",$H242)),ISNUMBER(SEARCH("화2.3",$H242)),ISNUMBER(SEARCH("화1.2.3",$H242))),1,"")</f>
        <v/>
      </c>
      <c r="O242" s="319">
        <f>IF(ISNUMBER(SEARCH("수1",$H242)),1,"")</f>
        <v/>
      </c>
      <c r="P242" s="319">
        <f>IF(OR(ISNUMBER(SEARCH("수2",$H242)),ISNUMBER(SEARCH("수1.2",$H242))),1,"")</f>
        <v/>
      </c>
      <c r="Q242" s="319">
        <f>IF(OR(ISNUMBER(SEARCH("수3",$H242)),ISNUMBER(SEARCH("수1.3",$H242)),ISNUMBER(SEARCH("수2.3",$H242)),ISNUMBER(SEARCH("수1.2.3",$H242))),1,"")</f>
        <v/>
      </c>
      <c r="R242" s="319">
        <f>IF(ISNUMBER(SEARCH("목1",$H242)),1,"")</f>
        <v/>
      </c>
      <c r="S242" s="319">
        <f>IF(OR(ISNUMBER(SEARCH("목2",$H242)),ISNUMBER(SEARCH("목1.2",$H242))),1,"")</f>
        <v/>
      </c>
      <c r="T242" s="319">
        <f>IF(OR(ISNUMBER(SEARCH("목3",$H242)),ISNUMBER(SEARCH("목1.3",$H242)),ISNUMBER(SEARCH("목2.3",$H242)),ISNUMBER(SEARCH("목1.2.3",$H242))),1,"")</f>
        <v/>
      </c>
      <c r="U242" s="319">
        <f>IF(ISNUMBER(SEARCH("금1",$H242)),1,"")</f>
        <v/>
      </c>
      <c r="V242" s="319">
        <f>IF(OR(ISNUMBER(SEARCH("금2",$H242)),ISNUMBER(SEARCH("금1.2",$H242))),1,"")</f>
        <v/>
      </c>
      <c r="W242" s="319">
        <f>IF(OR(ISNUMBER(SEARCH("금3",$H242)),ISNUMBER(SEARCH("금1.3",$H242)),ISNUMBER(SEARCH("금2.3",$H242)),ISNUMBER(SEARCH("금1.2.3",$H242))),1,"")</f>
        <v/>
      </c>
      <c r="X242" s="319">
        <f>IF(ISNUMBER(SEARCH("토1",$H242)),1,"")</f>
        <v/>
      </c>
      <c r="Y242" s="319">
        <f>IF(OR(ISNUMBER(SEARCH("토2",$H242)),ISNUMBER(SEARCH("토1.2",$H242))),1,"")</f>
        <v/>
      </c>
      <c r="Z242" s="319">
        <f>IF(OR(ISNUMBER(SEARCH("토3",$H242)),ISNUMBER(SEARCH("토1.3",$H242)),ISNUMBER(SEARCH("토2.3",$H242)),ISNUMBER(SEARCH("토1.2.3",$H242))),1,"")</f>
        <v/>
      </c>
      <c r="AA242" s="319">
        <f>IF(ISNUMBER(SEARCH("일1",$H242)),1,"")</f>
        <v/>
      </c>
      <c r="AB242" s="319">
        <f>IF(OR(ISNUMBER(SEARCH("일2",$H242)),ISNUMBER(SEARCH("일1.2",$H242))),1,"")</f>
        <v/>
      </c>
      <c r="AC242" s="319">
        <f>IF(OR(ISNUMBER(SEARCH("일3",$H242)),ISNUMBER(SEARCH("일1.3",$H242)),ISNUMBER(SEARCH("일2.3",$H242)),ISNUMBER(SEARCH("일1.2.3",$H242))),1,"")</f>
        <v/>
      </c>
      <c r="AD242" s="319">
        <f>SUM(I242:AC242)</f>
        <v/>
      </c>
      <c r="AE242" s="323" t="n"/>
    </row>
    <row r="243" ht="24" customHeight="1">
      <c r="A243" s="168" t="n"/>
      <c r="B243" s="319" t="n"/>
      <c r="C243" s="319" t="n"/>
      <c r="D243" s="319" t="n"/>
      <c r="E243" s="341" t="n"/>
      <c r="F243" s="341" t="n"/>
      <c r="G243" s="342" t="n"/>
      <c r="H243" s="322" t="n"/>
      <c r="I243" s="319">
        <f>IF(ISNUMBER(SEARCH("월1",$H243)),1,"")</f>
        <v/>
      </c>
      <c r="J243" s="319">
        <f>IF(OR(ISNUMBER(SEARCH("월2",$H243)),ISNUMBER(SEARCH("월1.2",$H243))),1,"")</f>
        <v/>
      </c>
      <c r="K243" s="319">
        <f>IF(OR(ISNUMBER(SEARCH("월3",$H243)),ISNUMBER(SEARCH("월1.3",$H243)),ISNUMBER(SEARCH("월2.3",$H243)),ISNUMBER(SEARCH("월1.2.3",$H243))),1,"")</f>
        <v/>
      </c>
      <c r="L243" s="319">
        <f>IF(ISNUMBER(SEARCH("화1",$H243)),1,"")</f>
        <v/>
      </c>
      <c r="M243" s="319">
        <f>IF(OR(ISNUMBER(SEARCH("화2",$H243)),ISNUMBER(SEARCH("화1.2",$H243))),1,"")</f>
        <v/>
      </c>
      <c r="N243" s="319">
        <f>IF(OR(ISNUMBER(SEARCH("화3",$H243)),ISNUMBER(SEARCH("화1.3",$H243)),ISNUMBER(SEARCH("화2.3",$H243)),ISNUMBER(SEARCH("화1.2.3",$H243))),1,"")</f>
        <v/>
      </c>
      <c r="O243" s="319">
        <f>IF(ISNUMBER(SEARCH("수1",$H243)),1,"")</f>
        <v/>
      </c>
      <c r="P243" s="319">
        <f>IF(OR(ISNUMBER(SEARCH("수2",$H243)),ISNUMBER(SEARCH("수1.2",$H243))),1,"")</f>
        <v/>
      </c>
      <c r="Q243" s="319">
        <f>IF(OR(ISNUMBER(SEARCH("수3",$H243)),ISNUMBER(SEARCH("수1.3",$H243)),ISNUMBER(SEARCH("수2.3",$H243)),ISNUMBER(SEARCH("수1.2.3",$H243))),1,"")</f>
        <v/>
      </c>
      <c r="R243" s="319">
        <f>IF(ISNUMBER(SEARCH("목1",$H243)),1,"")</f>
        <v/>
      </c>
      <c r="S243" s="319">
        <f>IF(OR(ISNUMBER(SEARCH("목2",$H243)),ISNUMBER(SEARCH("목1.2",$H243))),1,"")</f>
        <v/>
      </c>
      <c r="T243" s="319">
        <f>IF(OR(ISNUMBER(SEARCH("목3",$H243)),ISNUMBER(SEARCH("목1.3",$H243)),ISNUMBER(SEARCH("목2.3",$H243)),ISNUMBER(SEARCH("목1.2.3",$H243))),1,"")</f>
        <v/>
      </c>
      <c r="U243" s="319">
        <f>IF(ISNUMBER(SEARCH("금1",$H243)),1,"")</f>
        <v/>
      </c>
      <c r="V243" s="319">
        <f>IF(OR(ISNUMBER(SEARCH("금2",$H243)),ISNUMBER(SEARCH("금1.2",$H243))),1,"")</f>
        <v/>
      </c>
      <c r="W243" s="319">
        <f>IF(OR(ISNUMBER(SEARCH("금3",$H243)),ISNUMBER(SEARCH("금1.3",$H243)),ISNUMBER(SEARCH("금2.3",$H243)),ISNUMBER(SEARCH("금1.2.3",$H243))),1,"")</f>
        <v/>
      </c>
      <c r="X243" s="319">
        <f>IF(ISNUMBER(SEARCH("토1",$H243)),1,"")</f>
        <v/>
      </c>
      <c r="Y243" s="319">
        <f>IF(OR(ISNUMBER(SEARCH("토2",$H243)),ISNUMBER(SEARCH("토1.2",$H243))),1,"")</f>
        <v/>
      </c>
      <c r="Z243" s="319">
        <f>IF(OR(ISNUMBER(SEARCH("토3",$H243)),ISNUMBER(SEARCH("토1.3",$H243)),ISNUMBER(SEARCH("토2.3",$H243)),ISNUMBER(SEARCH("토1.2.3",$H243))),1,"")</f>
        <v/>
      </c>
      <c r="AA243" s="319">
        <f>IF(ISNUMBER(SEARCH("일1",$H243)),1,"")</f>
        <v/>
      </c>
      <c r="AB243" s="319">
        <f>IF(OR(ISNUMBER(SEARCH("일2",$H243)),ISNUMBER(SEARCH("일1.2",$H243))),1,"")</f>
        <v/>
      </c>
      <c r="AC243" s="319">
        <f>IF(OR(ISNUMBER(SEARCH("일3",$H243)),ISNUMBER(SEARCH("일1.3",$H243)),ISNUMBER(SEARCH("일2.3",$H243)),ISNUMBER(SEARCH("일1.2.3",$H243))),1,"")</f>
        <v/>
      </c>
      <c r="AD243" s="319">
        <f>SUM(I243:AC243)</f>
        <v/>
      </c>
      <c r="AE243" s="323" t="n"/>
    </row>
    <row r="244" ht="24" customHeight="1">
      <c r="A244" s="168" t="n"/>
      <c r="B244" s="319" t="n"/>
      <c r="C244" s="319" t="n"/>
      <c r="D244" s="319" t="n"/>
      <c r="E244" s="341" t="n"/>
      <c r="F244" s="341" t="n"/>
      <c r="G244" s="342" t="n"/>
      <c r="H244" s="322" t="n"/>
      <c r="I244" s="319">
        <f>IF(ISNUMBER(SEARCH("월1",$H244)),1,"")</f>
        <v/>
      </c>
      <c r="J244" s="319">
        <f>IF(OR(ISNUMBER(SEARCH("월2",$H244)),ISNUMBER(SEARCH("월1.2",$H244))),1,"")</f>
        <v/>
      </c>
      <c r="K244" s="319">
        <f>IF(OR(ISNUMBER(SEARCH("월3",$H244)),ISNUMBER(SEARCH("월1.3",$H244)),ISNUMBER(SEARCH("월2.3",$H244)),ISNUMBER(SEARCH("월1.2.3",$H244))),1,"")</f>
        <v/>
      </c>
      <c r="L244" s="319">
        <f>IF(ISNUMBER(SEARCH("화1",$H244)),1,"")</f>
        <v/>
      </c>
      <c r="M244" s="319">
        <f>IF(OR(ISNUMBER(SEARCH("화2",$H244)),ISNUMBER(SEARCH("화1.2",$H244))),1,"")</f>
        <v/>
      </c>
      <c r="N244" s="319">
        <f>IF(OR(ISNUMBER(SEARCH("화3",$H244)),ISNUMBER(SEARCH("화1.3",$H244)),ISNUMBER(SEARCH("화2.3",$H244)),ISNUMBER(SEARCH("화1.2.3",$H244))),1,"")</f>
        <v/>
      </c>
      <c r="O244" s="319">
        <f>IF(ISNUMBER(SEARCH("수1",$H244)),1,"")</f>
        <v/>
      </c>
      <c r="P244" s="319">
        <f>IF(OR(ISNUMBER(SEARCH("수2",$H244)),ISNUMBER(SEARCH("수1.2",$H244))),1,"")</f>
        <v/>
      </c>
      <c r="Q244" s="319">
        <f>IF(OR(ISNUMBER(SEARCH("수3",$H244)),ISNUMBER(SEARCH("수1.3",$H244)),ISNUMBER(SEARCH("수2.3",$H244)),ISNUMBER(SEARCH("수1.2.3",$H244))),1,"")</f>
        <v/>
      </c>
      <c r="R244" s="319">
        <f>IF(ISNUMBER(SEARCH("목1",$H244)),1,"")</f>
        <v/>
      </c>
      <c r="S244" s="319">
        <f>IF(OR(ISNUMBER(SEARCH("목2",$H244)),ISNUMBER(SEARCH("목1.2",$H244))),1,"")</f>
        <v/>
      </c>
      <c r="T244" s="319">
        <f>IF(OR(ISNUMBER(SEARCH("목3",$H244)),ISNUMBER(SEARCH("목1.3",$H244)),ISNUMBER(SEARCH("목2.3",$H244)),ISNUMBER(SEARCH("목1.2.3",$H244))),1,"")</f>
        <v/>
      </c>
      <c r="U244" s="319">
        <f>IF(ISNUMBER(SEARCH("금1",$H244)),1,"")</f>
        <v/>
      </c>
      <c r="V244" s="319">
        <f>IF(OR(ISNUMBER(SEARCH("금2",$H244)),ISNUMBER(SEARCH("금1.2",$H244))),1,"")</f>
        <v/>
      </c>
      <c r="W244" s="319">
        <f>IF(OR(ISNUMBER(SEARCH("금3",$H244)),ISNUMBER(SEARCH("금1.3",$H244)),ISNUMBER(SEARCH("금2.3",$H244)),ISNUMBER(SEARCH("금1.2.3",$H244))),1,"")</f>
        <v/>
      </c>
      <c r="X244" s="319">
        <f>IF(ISNUMBER(SEARCH("토1",$H244)),1,"")</f>
        <v/>
      </c>
      <c r="Y244" s="319">
        <f>IF(OR(ISNUMBER(SEARCH("토2",$H244)),ISNUMBER(SEARCH("토1.2",$H244))),1,"")</f>
        <v/>
      </c>
      <c r="Z244" s="319">
        <f>IF(OR(ISNUMBER(SEARCH("토3",$H244)),ISNUMBER(SEARCH("토1.3",$H244)),ISNUMBER(SEARCH("토2.3",$H244)),ISNUMBER(SEARCH("토1.2.3",$H244))),1,"")</f>
        <v/>
      </c>
      <c r="AA244" s="319">
        <f>IF(ISNUMBER(SEARCH("일1",$H244)),1,"")</f>
        <v/>
      </c>
      <c r="AB244" s="319">
        <f>IF(OR(ISNUMBER(SEARCH("일2",$H244)),ISNUMBER(SEARCH("일1.2",$H244))),1,"")</f>
        <v/>
      </c>
      <c r="AC244" s="319">
        <f>IF(OR(ISNUMBER(SEARCH("일3",$H244)),ISNUMBER(SEARCH("일1.3",$H244)),ISNUMBER(SEARCH("일2.3",$H244)),ISNUMBER(SEARCH("일1.2.3",$H244))),1,"")</f>
        <v/>
      </c>
      <c r="AD244" s="319">
        <f>SUM(I244:AC244)</f>
        <v/>
      </c>
      <c r="AE244" s="323" t="n"/>
    </row>
    <row r="245" ht="24" customHeight="1">
      <c r="A245" s="168" t="n"/>
      <c r="B245" s="319" t="n"/>
      <c r="C245" s="319" t="n"/>
      <c r="D245" s="319" t="n"/>
      <c r="E245" s="341" t="n"/>
      <c r="F245" s="341" t="n"/>
      <c r="G245" s="342" t="n"/>
      <c r="H245" s="322" t="n"/>
      <c r="I245" s="319">
        <f>IF(ISNUMBER(SEARCH("월1",$H245)),1,"")</f>
        <v/>
      </c>
      <c r="J245" s="319">
        <f>IF(OR(ISNUMBER(SEARCH("월2",$H245)),ISNUMBER(SEARCH("월1.2",$H245))),1,"")</f>
        <v/>
      </c>
      <c r="K245" s="319">
        <f>IF(OR(ISNUMBER(SEARCH("월3",$H245)),ISNUMBER(SEARCH("월1.3",$H245)),ISNUMBER(SEARCH("월2.3",$H245)),ISNUMBER(SEARCH("월1.2.3",$H245))),1,"")</f>
        <v/>
      </c>
      <c r="L245" s="319">
        <f>IF(ISNUMBER(SEARCH("화1",$H245)),1,"")</f>
        <v/>
      </c>
      <c r="M245" s="319">
        <f>IF(OR(ISNUMBER(SEARCH("화2",$H245)),ISNUMBER(SEARCH("화1.2",$H245))),1,"")</f>
        <v/>
      </c>
      <c r="N245" s="319">
        <f>IF(OR(ISNUMBER(SEARCH("화3",$H245)),ISNUMBER(SEARCH("화1.3",$H245)),ISNUMBER(SEARCH("화2.3",$H245)),ISNUMBER(SEARCH("화1.2.3",$H245))),1,"")</f>
        <v/>
      </c>
      <c r="O245" s="319">
        <f>IF(ISNUMBER(SEARCH("수1",$H245)),1,"")</f>
        <v/>
      </c>
      <c r="P245" s="319">
        <f>IF(OR(ISNUMBER(SEARCH("수2",$H245)),ISNUMBER(SEARCH("수1.2",$H245))),1,"")</f>
        <v/>
      </c>
      <c r="Q245" s="319">
        <f>IF(OR(ISNUMBER(SEARCH("수3",$H245)),ISNUMBER(SEARCH("수1.3",$H245)),ISNUMBER(SEARCH("수2.3",$H245)),ISNUMBER(SEARCH("수1.2.3",$H245))),1,"")</f>
        <v/>
      </c>
      <c r="R245" s="319">
        <f>IF(ISNUMBER(SEARCH("목1",$H245)),1,"")</f>
        <v/>
      </c>
      <c r="S245" s="319">
        <f>IF(OR(ISNUMBER(SEARCH("목2",$H245)),ISNUMBER(SEARCH("목1.2",$H245))),1,"")</f>
        <v/>
      </c>
      <c r="T245" s="319">
        <f>IF(OR(ISNUMBER(SEARCH("목3",$H245)),ISNUMBER(SEARCH("목1.3",$H245)),ISNUMBER(SEARCH("목2.3",$H245)),ISNUMBER(SEARCH("목1.2.3",$H245))),1,"")</f>
        <v/>
      </c>
      <c r="U245" s="319">
        <f>IF(ISNUMBER(SEARCH("금1",$H245)),1,"")</f>
        <v/>
      </c>
      <c r="V245" s="319">
        <f>IF(OR(ISNUMBER(SEARCH("금2",$H245)),ISNUMBER(SEARCH("금1.2",$H245))),1,"")</f>
        <v/>
      </c>
      <c r="W245" s="319">
        <f>IF(OR(ISNUMBER(SEARCH("금3",$H245)),ISNUMBER(SEARCH("금1.3",$H245)),ISNUMBER(SEARCH("금2.3",$H245)),ISNUMBER(SEARCH("금1.2.3",$H245))),1,"")</f>
        <v/>
      </c>
      <c r="X245" s="319">
        <f>IF(ISNUMBER(SEARCH("토1",$H245)),1,"")</f>
        <v/>
      </c>
      <c r="Y245" s="319">
        <f>IF(OR(ISNUMBER(SEARCH("토2",$H245)),ISNUMBER(SEARCH("토1.2",$H245))),1,"")</f>
        <v/>
      </c>
      <c r="Z245" s="319">
        <f>IF(OR(ISNUMBER(SEARCH("토3",$H245)),ISNUMBER(SEARCH("토1.3",$H245)),ISNUMBER(SEARCH("토2.3",$H245)),ISNUMBER(SEARCH("토1.2.3",$H245))),1,"")</f>
        <v/>
      </c>
      <c r="AA245" s="319">
        <f>IF(ISNUMBER(SEARCH("일1",$H245)),1,"")</f>
        <v/>
      </c>
      <c r="AB245" s="319">
        <f>IF(OR(ISNUMBER(SEARCH("일2",$H245)),ISNUMBER(SEARCH("일1.2",$H245))),1,"")</f>
        <v/>
      </c>
      <c r="AC245" s="319">
        <f>IF(OR(ISNUMBER(SEARCH("일3",$H245)),ISNUMBER(SEARCH("일1.3",$H245)),ISNUMBER(SEARCH("일2.3",$H245)),ISNUMBER(SEARCH("일1.2.3",$H245))),1,"")</f>
        <v/>
      </c>
      <c r="AD245" s="319">
        <f>SUM(I245:AC245)</f>
        <v/>
      </c>
      <c r="AE245" s="323" t="n"/>
    </row>
    <row r="246" ht="24" customHeight="1">
      <c r="A246" s="168" t="n"/>
      <c r="B246" s="319" t="n"/>
      <c r="C246" s="319" t="n"/>
      <c r="D246" s="319" t="n"/>
      <c r="E246" s="341" t="n"/>
      <c r="F246" s="341" t="n"/>
      <c r="G246" s="342" t="n"/>
      <c r="H246" s="322" t="n"/>
      <c r="I246" s="319">
        <f>IF(ISNUMBER(SEARCH("월1",$H246)),1,"")</f>
        <v/>
      </c>
      <c r="J246" s="319">
        <f>IF(OR(ISNUMBER(SEARCH("월2",$H246)),ISNUMBER(SEARCH("월1.2",$H246))),1,"")</f>
        <v/>
      </c>
      <c r="K246" s="319">
        <f>IF(OR(ISNUMBER(SEARCH("월3",$H246)),ISNUMBER(SEARCH("월1.3",$H246)),ISNUMBER(SEARCH("월2.3",$H246)),ISNUMBER(SEARCH("월1.2.3",$H246))),1,"")</f>
        <v/>
      </c>
      <c r="L246" s="319">
        <f>IF(ISNUMBER(SEARCH("화1",$H246)),1,"")</f>
        <v/>
      </c>
      <c r="M246" s="319">
        <f>IF(OR(ISNUMBER(SEARCH("화2",$H246)),ISNUMBER(SEARCH("화1.2",$H246))),1,"")</f>
        <v/>
      </c>
      <c r="N246" s="319">
        <f>IF(OR(ISNUMBER(SEARCH("화3",$H246)),ISNUMBER(SEARCH("화1.3",$H246)),ISNUMBER(SEARCH("화2.3",$H246)),ISNUMBER(SEARCH("화1.2.3",$H246))),1,"")</f>
        <v/>
      </c>
      <c r="O246" s="319">
        <f>IF(ISNUMBER(SEARCH("수1",$H246)),1,"")</f>
        <v/>
      </c>
      <c r="P246" s="319">
        <f>IF(OR(ISNUMBER(SEARCH("수2",$H246)),ISNUMBER(SEARCH("수1.2",$H246))),1,"")</f>
        <v/>
      </c>
      <c r="Q246" s="319">
        <f>IF(OR(ISNUMBER(SEARCH("수3",$H246)),ISNUMBER(SEARCH("수1.3",$H246)),ISNUMBER(SEARCH("수2.3",$H246)),ISNUMBER(SEARCH("수1.2.3",$H246))),1,"")</f>
        <v/>
      </c>
      <c r="R246" s="319">
        <f>IF(ISNUMBER(SEARCH("목1",$H246)),1,"")</f>
        <v/>
      </c>
      <c r="S246" s="319">
        <f>IF(OR(ISNUMBER(SEARCH("목2",$H246)),ISNUMBER(SEARCH("목1.2",$H246))),1,"")</f>
        <v/>
      </c>
      <c r="T246" s="319">
        <f>IF(OR(ISNUMBER(SEARCH("목3",$H246)),ISNUMBER(SEARCH("목1.3",$H246)),ISNUMBER(SEARCH("목2.3",$H246)),ISNUMBER(SEARCH("목1.2.3",$H246))),1,"")</f>
        <v/>
      </c>
      <c r="U246" s="319">
        <f>IF(ISNUMBER(SEARCH("금1",$H246)),1,"")</f>
        <v/>
      </c>
      <c r="V246" s="319">
        <f>IF(OR(ISNUMBER(SEARCH("금2",$H246)),ISNUMBER(SEARCH("금1.2",$H246))),1,"")</f>
        <v/>
      </c>
      <c r="W246" s="319">
        <f>IF(OR(ISNUMBER(SEARCH("금3",$H246)),ISNUMBER(SEARCH("금1.3",$H246)),ISNUMBER(SEARCH("금2.3",$H246)),ISNUMBER(SEARCH("금1.2.3",$H246))),1,"")</f>
        <v/>
      </c>
      <c r="X246" s="319">
        <f>IF(ISNUMBER(SEARCH("토1",$H246)),1,"")</f>
        <v/>
      </c>
      <c r="Y246" s="319">
        <f>IF(OR(ISNUMBER(SEARCH("토2",$H246)),ISNUMBER(SEARCH("토1.2",$H246))),1,"")</f>
        <v/>
      </c>
      <c r="Z246" s="319">
        <f>IF(OR(ISNUMBER(SEARCH("토3",$H246)),ISNUMBER(SEARCH("토1.3",$H246)),ISNUMBER(SEARCH("토2.3",$H246)),ISNUMBER(SEARCH("토1.2.3",$H246))),1,"")</f>
        <v/>
      </c>
      <c r="AA246" s="319">
        <f>IF(ISNUMBER(SEARCH("일1",$H246)),1,"")</f>
        <v/>
      </c>
      <c r="AB246" s="319">
        <f>IF(OR(ISNUMBER(SEARCH("일2",$H246)),ISNUMBER(SEARCH("일1.2",$H246))),1,"")</f>
        <v/>
      </c>
      <c r="AC246" s="319">
        <f>IF(OR(ISNUMBER(SEARCH("일3",$H246)),ISNUMBER(SEARCH("일1.3",$H246)),ISNUMBER(SEARCH("일2.3",$H246)),ISNUMBER(SEARCH("일1.2.3",$H246))),1,"")</f>
        <v/>
      </c>
      <c r="AD246" s="319">
        <f>SUM(I246:AC246)</f>
        <v/>
      </c>
      <c r="AE246" s="323" t="n"/>
    </row>
    <row r="247" ht="24" customHeight="1">
      <c r="A247" s="168" t="n"/>
      <c r="B247" s="319" t="n"/>
      <c r="C247" s="319" t="n"/>
      <c r="D247" s="319" t="n"/>
      <c r="E247" s="341" t="n"/>
      <c r="F247" s="341" t="n"/>
      <c r="G247" s="342" t="n"/>
      <c r="H247" s="322" t="n"/>
      <c r="I247" s="319">
        <f>IF(ISNUMBER(SEARCH("월1",$H247)),1,"")</f>
        <v/>
      </c>
      <c r="J247" s="319">
        <f>IF(OR(ISNUMBER(SEARCH("월2",$H247)),ISNUMBER(SEARCH("월1.2",$H247))),1,"")</f>
        <v/>
      </c>
      <c r="K247" s="319">
        <f>IF(OR(ISNUMBER(SEARCH("월3",$H247)),ISNUMBER(SEARCH("월1.3",$H247)),ISNUMBER(SEARCH("월2.3",$H247)),ISNUMBER(SEARCH("월1.2.3",$H247))),1,"")</f>
        <v/>
      </c>
      <c r="L247" s="319">
        <f>IF(ISNUMBER(SEARCH("화1",$H247)),1,"")</f>
        <v/>
      </c>
      <c r="M247" s="319">
        <f>IF(OR(ISNUMBER(SEARCH("화2",$H247)),ISNUMBER(SEARCH("화1.2",$H247))),1,"")</f>
        <v/>
      </c>
      <c r="N247" s="319">
        <f>IF(OR(ISNUMBER(SEARCH("화3",$H247)),ISNUMBER(SEARCH("화1.3",$H247)),ISNUMBER(SEARCH("화2.3",$H247)),ISNUMBER(SEARCH("화1.2.3",$H247))),1,"")</f>
        <v/>
      </c>
      <c r="O247" s="319">
        <f>IF(ISNUMBER(SEARCH("수1",$H247)),1,"")</f>
        <v/>
      </c>
      <c r="P247" s="319">
        <f>IF(OR(ISNUMBER(SEARCH("수2",$H247)),ISNUMBER(SEARCH("수1.2",$H247))),1,"")</f>
        <v/>
      </c>
      <c r="Q247" s="319">
        <f>IF(OR(ISNUMBER(SEARCH("수3",$H247)),ISNUMBER(SEARCH("수1.3",$H247)),ISNUMBER(SEARCH("수2.3",$H247)),ISNUMBER(SEARCH("수1.2.3",$H247))),1,"")</f>
        <v/>
      </c>
      <c r="R247" s="319">
        <f>IF(ISNUMBER(SEARCH("목1",$H247)),1,"")</f>
        <v/>
      </c>
      <c r="S247" s="319">
        <f>IF(OR(ISNUMBER(SEARCH("목2",$H247)),ISNUMBER(SEARCH("목1.2",$H247))),1,"")</f>
        <v/>
      </c>
      <c r="T247" s="319">
        <f>IF(OR(ISNUMBER(SEARCH("목3",$H247)),ISNUMBER(SEARCH("목1.3",$H247)),ISNUMBER(SEARCH("목2.3",$H247)),ISNUMBER(SEARCH("목1.2.3",$H247))),1,"")</f>
        <v/>
      </c>
      <c r="U247" s="319">
        <f>IF(ISNUMBER(SEARCH("금1",$H247)),1,"")</f>
        <v/>
      </c>
      <c r="V247" s="319">
        <f>IF(OR(ISNUMBER(SEARCH("금2",$H247)),ISNUMBER(SEARCH("금1.2",$H247))),1,"")</f>
        <v/>
      </c>
      <c r="W247" s="319">
        <f>IF(OR(ISNUMBER(SEARCH("금3",$H247)),ISNUMBER(SEARCH("금1.3",$H247)),ISNUMBER(SEARCH("금2.3",$H247)),ISNUMBER(SEARCH("금1.2.3",$H247))),1,"")</f>
        <v/>
      </c>
      <c r="X247" s="319">
        <f>IF(ISNUMBER(SEARCH("토1",$H247)),1,"")</f>
        <v/>
      </c>
      <c r="Y247" s="319">
        <f>IF(OR(ISNUMBER(SEARCH("토2",$H247)),ISNUMBER(SEARCH("토1.2",$H247))),1,"")</f>
        <v/>
      </c>
      <c r="Z247" s="319">
        <f>IF(OR(ISNUMBER(SEARCH("토3",$H247)),ISNUMBER(SEARCH("토1.3",$H247)),ISNUMBER(SEARCH("토2.3",$H247)),ISNUMBER(SEARCH("토1.2.3",$H247))),1,"")</f>
        <v/>
      </c>
      <c r="AA247" s="319">
        <f>IF(ISNUMBER(SEARCH("일1",$H247)),1,"")</f>
        <v/>
      </c>
      <c r="AB247" s="319">
        <f>IF(OR(ISNUMBER(SEARCH("일2",$H247)),ISNUMBER(SEARCH("일1.2",$H247))),1,"")</f>
        <v/>
      </c>
      <c r="AC247" s="319">
        <f>IF(OR(ISNUMBER(SEARCH("일3",$H247)),ISNUMBER(SEARCH("일1.3",$H247)),ISNUMBER(SEARCH("일2.3",$H247)),ISNUMBER(SEARCH("일1.2.3",$H247))),1,"")</f>
        <v/>
      </c>
      <c r="AD247" s="319">
        <f>SUM(I247:AC247)</f>
        <v/>
      </c>
      <c r="AE247" s="323" t="n"/>
    </row>
    <row r="248" ht="24" customHeight="1">
      <c r="A248" s="168" t="n"/>
      <c r="B248" s="319" t="n"/>
      <c r="C248" s="319" t="n"/>
      <c r="D248" s="319" t="n"/>
      <c r="E248" s="341" t="n"/>
      <c r="F248" s="341" t="n"/>
      <c r="G248" s="342" t="n"/>
      <c r="H248" s="322" t="n"/>
      <c r="I248" s="319">
        <f>IF(ISNUMBER(SEARCH("월1",$H248)),1,"")</f>
        <v/>
      </c>
      <c r="J248" s="319">
        <f>IF(OR(ISNUMBER(SEARCH("월2",$H248)),ISNUMBER(SEARCH("월1.2",$H248))),1,"")</f>
        <v/>
      </c>
      <c r="K248" s="319">
        <f>IF(OR(ISNUMBER(SEARCH("월3",$H248)),ISNUMBER(SEARCH("월1.3",$H248)),ISNUMBER(SEARCH("월2.3",$H248)),ISNUMBER(SEARCH("월1.2.3",$H248))),1,"")</f>
        <v/>
      </c>
      <c r="L248" s="319">
        <f>IF(ISNUMBER(SEARCH("화1",$H248)),1,"")</f>
        <v/>
      </c>
      <c r="M248" s="319">
        <f>IF(OR(ISNUMBER(SEARCH("화2",$H248)),ISNUMBER(SEARCH("화1.2",$H248))),1,"")</f>
        <v/>
      </c>
      <c r="N248" s="319">
        <f>IF(OR(ISNUMBER(SEARCH("화3",$H248)),ISNUMBER(SEARCH("화1.3",$H248)),ISNUMBER(SEARCH("화2.3",$H248)),ISNUMBER(SEARCH("화1.2.3",$H248))),1,"")</f>
        <v/>
      </c>
      <c r="O248" s="319">
        <f>IF(ISNUMBER(SEARCH("수1",$H248)),1,"")</f>
        <v/>
      </c>
      <c r="P248" s="319">
        <f>IF(OR(ISNUMBER(SEARCH("수2",$H248)),ISNUMBER(SEARCH("수1.2",$H248))),1,"")</f>
        <v/>
      </c>
      <c r="Q248" s="319">
        <f>IF(OR(ISNUMBER(SEARCH("수3",$H248)),ISNUMBER(SEARCH("수1.3",$H248)),ISNUMBER(SEARCH("수2.3",$H248)),ISNUMBER(SEARCH("수1.2.3",$H248))),1,"")</f>
        <v/>
      </c>
      <c r="R248" s="319">
        <f>IF(ISNUMBER(SEARCH("목1",$H248)),1,"")</f>
        <v/>
      </c>
      <c r="S248" s="319">
        <f>IF(OR(ISNUMBER(SEARCH("목2",$H248)),ISNUMBER(SEARCH("목1.2",$H248))),1,"")</f>
        <v/>
      </c>
      <c r="T248" s="319">
        <f>IF(OR(ISNUMBER(SEARCH("목3",$H248)),ISNUMBER(SEARCH("목1.3",$H248)),ISNUMBER(SEARCH("목2.3",$H248)),ISNUMBER(SEARCH("목1.2.3",$H248))),1,"")</f>
        <v/>
      </c>
      <c r="U248" s="319">
        <f>IF(ISNUMBER(SEARCH("금1",$H248)),1,"")</f>
        <v/>
      </c>
      <c r="V248" s="319">
        <f>IF(OR(ISNUMBER(SEARCH("금2",$H248)),ISNUMBER(SEARCH("금1.2",$H248))),1,"")</f>
        <v/>
      </c>
      <c r="W248" s="319">
        <f>IF(OR(ISNUMBER(SEARCH("금3",$H248)),ISNUMBER(SEARCH("금1.3",$H248)),ISNUMBER(SEARCH("금2.3",$H248)),ISNUMBER(SEARCH("금1.2.3",$H248))),1,"")</f>
        <v/>
      </c>
      <c r="X248" s="319">
        <f>IF(ISNUMBER(SEARCH("토1",$H248)),1,"")</f>
        <v/>
      </c>
      <c r="Y248" s="319">
        <f>IF(OR(ISNUMBER(SEARCH("토2",$H248)),ISNUMBER(SEARCH("토1.2",$H248))),1,"")</f>
        <v/>
      </c>
      <c r="Z248" s="319">
        <f>IF(OR(ISNUMBER(SEARCH("토3",$H248)),ISNUMBER(SEARCH("토1.3",$H248)),ISNUMBER(SEARCH("토2.3",$H248)),ISNUMBER(SEARCH("토1.2.3",$H248))),1,"")</f>
        <v/>
      </c>
      <c r="AA248" s="319">
        <f>IF(ISNUMBER(SEARCH("일1",$H248)),1,"")</f>
        <v/>
      </c>
      <c r="AB248" s="319">
        <f>IF(OR(ISNUMBER(SEARCH("일2",$H248)),ISNUMBER(SEARCH("일1.2",$H248))),1,"")</f>
        <v/>
      </c>
      <c r="AC248" s="319">
        <f>IF(OR(ISNUMBER(SEARCH("일3",$H248)),ISNUMBER(SEARCH("일1.3",$H248)),ISNUMBER(SEARCH("일2.3",$H248)),ISNUMBER(SEARCH("일1.2.3",$H248))),1,"")</f>
        <v/>
      </c>
      <c r="AD248" s="319">
        <f>SUM(I248:AC248)</f>
        <v/>
      </c>
      <c r="AE248" s="323" t="n"/>
    </row>
    <row r="249" ht="24" customHeight="1">
      <c r="A249" s="168" t="n"/>
      <c r="B249" s="319" t="n"/>
      <c r="C249" s="319" t="n"/>
      <c r="D249" s="319" t="n"/>
      <c r="E249" s="341" t="n"/>
      <c r="F249" s="341" t="n"/>
      <c r="G249" s="342" t="n"/>
      <c r="H249" s="322" t="n"/>
      <c r="I249" s="319">
        <f>IF(ISNUMBER(SEARCH("월1",$H249)),1,"")</f>
        <v/>
      </c>
      <c r="J249" s="319">
        <f>IF(OR(ISNUMBER(SEARCH("월2",$H249)),ISNUMBER(SEARCH("월1.2",$H249))),1,"")</f>
        <v/>
      </c>
      <c r="K249" s="319">
        <f>IF(OR(ISNUMBER(SEARCH("월3",$H249)),ISNUMBER(SEARCH("월1.3",$H249)),ISNUMBER(SEARCH("월2.3",$H249)),ISNUMBER(SEARCH("월1.2.3",$H249))),1,"")</f>
        <v/>
      </c>
      <c r="L249" s="319">
        <f>IF(ISNUMBER(SEARCH("화1",$H249)),1,"")</f>
        <v/>
      </c>
      <c r="M249" s="319">
        <f>IF(OR(ISNUMBER(SEARCH("화2",$H249)),ISNUMBER(SEARCH("화1.2",$H249))),1,"")</f>
        <v/>
      </c>
      <c r="N249" s="319">
        <f>IF(OR(ISNUMBER(SEARCH("화3",$H249)),ISNUMBER(SEARCH("화1.3",$H249)),ISNUMBER(SEARCH("화2.3",$H249)),ISNUMBER(SEARCH("화1.2.3",$H249))),1,"")</f>
        <v/>
      </c>
      <c r="O249" s="319">
        <f>IF(ISNUMBER(SEARCH("수1",$H249)),1,"")</f>
        <v/>
      </c>
      <c r="P249" s="319">
        <f>IF(OR(ISNUMBER(SEARCH("수2",$H249)),ISNUMBER(SEARCH("수1.2",$H249))),1,"")</f>
        <v/>
      </c>
      <c r="Q249" s="319">
        <f>IF(OR(ISNUMBER(SEARCH("수3",$H249)),ISNUMBER(SEARCH("수1.3",$H249)),ISNUMBER(SEARCH("수2.3",$H249)),ISNUMBER(SEARCH("수1.2.3",$H249))),1,"")</f>
        <v/>
      </c>
      <c r="R249" s="319">
        <f>IF(ISNUMBER(SEARCH("목1",$H249)),1,"")</f>
        <v/>
      </c>
      <c r="S249" s="319">
        <f>IF(OR(ISNUMBER(SEARCH("목2",$H249)),ISNUMBER(SEARCH("목1.2",$H249))),1,"")</f>
        <v/>
      </c>
      <c r="T249" s="319">
        <f>IF(OR(ISNUMBER(SEARCH("목3",$H249)),ISNUMBER(SEARCH("목1.3",$H249)),ISNUMBER(SEARCH("목2.3",$H249)),ISNUMBER(SEARCH("목1.2.3",$H249))),1,"")</f>
        <v/>
      </c>
      <c r="U249" s="319">
        <f>IF(ISNUMBER(SEARCH("금1",$H249)),1,"")</f>
        <v/>
      </c>
      <c r="V249" s="319">
        <f>IF(OR(ISNUMBER(SEARCH("금2",$H249)),ISNUMBER(SEARCH("금1.2",$H249))),1,"")</f>
        <v/>
      </c>
      <c r="W249" s="319">
        <f>IF(OR(ISNUMBER(SEARCH("금3",$H249)),ISNUMBER(SEARCH("금1.3",$H249)),ISNUMBER(SEARCH("금2.3",$H249)),ISNUMBER(SEARCH("금1.2.3",$H249))),1,"")</f>
        <v/>
      </c>
      <c r="X249" s="319">
        <f>IF(ISNUMBER(SEARCH("토1",$H249)),1,"")</f>
        <v/>
      </c>
      <c r="Y249" s="319">
        <f>IF(OR(ISNUMBER(SEARCH("토2",$H249)),ISNUMBER(SEARCH("토1.2",$H249))),1,"")</f>
        <v/>
      </c>
      <c r="Z249" s="319">
        <f>IF(OR(ISNUMBER(SEARCH("토3",$H249)),ISNUMBER(SEARCH("토1.3",$H249)),ISNUMBER(SEARCH("토2.3",$H249)),ISNUMBER(SEARCH("토1.2.3",$H249))),1,"")</f>
        <v/>
      </c>
      <c r="AA249" s="319">
        <f>IF(ISNUMBER(SEARCH("일1",$H249)),1,"")</f>
        <v/>
      </c>
      <c r="AB249" s="319">
        <f>IF(OR(ISNUMBER(SEARCH("일2",$H249)),ISNUMBER(SEARCH("일1.2",$H249))),1,"")</f>
        <v/>
      </c>
      <c r="AC249" s="319">
        <f>IF(OR(ISNUMBER(SEARCH("일3",$H249)),ISNUMBER(SEARCH("일1.3",$H249)),ISNUMBER(SEARCH("일2.3",$H249)),ISNUMBER(SEARCH("일1.2.3",$H249))),1,"")</f>
        <v/>
      </c>
      <c r="AD249" s="319">
        <f>SUM(I249:AC249)</f>
        <v/>
      </c>
      <c r="AE249" s="323" t="n"/>
    </row>
    <row r="250" ht="24" customHeight="1">
      <c r="A250" s="168" t="n"/>
      <c r="B250" s="319" t="n"/>
      <c r="C250" s="319" t="n"/>
      <c r="D250" s="319" t="n"/>
      <c r="E250" s="341" t="n"/>
      <c r="F250" s="341" t="n"/>
      <c r="G250" s="342" t="n"/>
      <c r="H250" s="322" t="n"/>
      <c r="I250" s="319">
        <f>IF(ISNUMBER(SEARCH("월1",$H250)),1,"")</f>
        <v/>
      </c>
      <c r="J250" s="319">
        <f>IF(OR(ISNUMBER(SEARCH("월2",$H250)),ISNUMBER(SEARCH("월1.2",$H250))),1,"")</f>
        <v/>
      </c>
      <c r="K250" s="319">
        <f>IF(OR(ISNUMBER(SEARCH("월3",$H250)),ISNUMBER(SEARCH("월1.3",$H250)),ISNUMBER(SEARCH("월2.3",$H250)),ISNUMBER(SEARCH("월1.2.3",$H250))),1,"")</f>
        <v/>
      </c>
      <c r="L250" s="319">
        <f>IF(ISNUMBER(SEARCH("화1",$H250)),1,"")</f>
        <v/>
      </c>
      <c r="M250" s="319">
        <f>IF(OR(ISNUMBER(SEARCH("화2",$H250)),ISNUMBER(SEARCH("화1.2",$H250))),1,"")</f>
        <v/>
      </c>
      <c r="N250" s="319">
        <f>IF(OR(ISNUMBER(SEARCH("화3",$H250)),ISNUMBER(SEARCH("화1.3",$H250)),ISNUMBER(SEARCH("화2.3",$H250)),ISNUMBER(SEARCH("화1.2.3",$H250))),1,"")</f>
        <v/>
      </c>
      <c r="O250" s="319">
        <f>IF(ISNUMBER(SEARCH("수1",$H250)),1,"")</f>
        <v/>
      </c>
      <c r="P250" s="319">
        <f>IF(OR(ISNUMBER(SEARCH("수2",$H250)),ISNUMBER(SEARCH("수1.2",$H250))),1,"")</f>
        <v/>
      </c>
      <c r="Q250" s="319">
        <f>IF(OR(ISNUMBER(SEARCH("수3",$H250)),ISNUMBER(SEARCH("수1.3",$H250)),ISNUMBER(SEARCH("수2.3",$H250)),ISNUMBER(SEARCH("수1.2.3",$H250))),1,"")</f>
        <v/>
      </c>
      <c r="R250" s="319">
        <f>IF(ISNUMBER(SEARCH("목1",$H250)),1,"")</f>
        <v/>
      </c>
      <c r="S250" s="319">
        <f>IF(OR(ISNUMBER(SEARCH("목2",$H250)),ISNUMBER(SEARCH("목1.2",$H250))),1,"")</f>
        <v/>
      </c>
      <c r="T250" s="319">
        <f>IF(OR(ISNUMBER(SEARCH("목3",$H250)),ISNUMBER(SEARCH("목1.3",$H250)),ISNUMBER(SEARCH("목2.3",$H250)),ISNUMBER(SEARCH("목1.2.3",$H250))),1,"")</f>
        <v/>
      </c>
      <c r="U250" s="319">
        <f>IF(ISNUMBER(SEARCH("금1",$H250)),1,"")</f>
        <v/>
      </c>
      <c r="V250" s="319">
        <f>IF(OR(ISNUMBER(SEARCH("금2",$H250)),ISNUMBER(SEARCH("금1.2",$H250))),1,"")</f>
        <v/>
      </c>
      <c r="W250" s="319">
        <f>IF(OR(ISNUMBER(SEARCH("금3",$H250)),ISNUMBER(SEARCH("금1.3",$H250)),ISNUMBER(SEARCH("금2.3",$H250)),ISNUMBER(SEARCH("금1.2.3",$H250))),1,"")</f>
        <v/>
      </c>
      <c r="X250" s="319">
        <f>IF(ISNUMBER(SEARCH("토1",$H250)),1,"")</f>
        <v/>
      </c>
      <c r="Y250" s="319">
        <f>IF(OR(ISNUMBER(SEARCH("토2",$H250)),ISNUMBER(SEARCH("토1.2",$H250))),1,"")</f>
        <v/>
      </c>
      <c r="Z250" s="319">
        <f>IF(OR(ISNUMBER(SEARCH("토3",$H250)),ISNUMBER(SEARCH("토1.3",$H250)),ISNUMBER(SEARCH("토2.3",$H250)),ISNUMBER(SEARCH("토1.2.3",$H250))),1,"")</f>
        <v/>
      </c>
      <c r="AA250" s="319">
        <f>IF(ISNUMBER(SEARCH("일1",$H250)),1,"")</f>
        <v/>
      </c>
      <c r="AB250" s="319">
        <f>IF(OR(ISNUMBER(SEARCH("일2",$H250)),ISNUMBER(SEARCH("일1.2",$H250))),1,"")</f>
        <v/>
      </c>
      <c r="AC250" s="319">
        <f>IF(OR(ISNUMBER(SEARCH("일3",$H250)),ISNUMBER(SEARCH("일1.3",$H250)),ISNUMBER(SEARCH("일2.3",$H250)),ISNUMBER(SEARCH("일1.2.3",$H250))),1,"")</f>
        <v/>
      </c>
      <c r="AD250" s="319">
        <f>SUM(I250:AC250)</f>
        <v/>
      </c>
      <c r="AE250" s="323" t="n"/>
    </row>
    <row r="251" ht="24" customHeight="1">
      <c r="A251" s="168" t="n"/>
      <c r="B251" s="319" t="n"/>
      <c r="C251" s="319" t="n"/>
      <c r="D251" s="319" t="n"/>
      <c r="E251" s="341" t="n"/>
      <c r="F251" s="341" t="n"/>
      <c r="G251" s="342" t="n"/>
      <c r="H251" s="322" t="n"/>
      <c r="I251" s="319">
        <f>IF(ISNUMBER(SEARCH("월1",$H251)),1,"")</f>
        <v/>
      </c>
      <c r="J251" s="319">
        <f>IF(OR(ISNUMBER(SEARCH("월2",$H251)),ISNUMBER(SEARCH("월1.2",$H251))),1,"")</f>
        <v/>
      </c>
      <c r="K251" s="319">
        <f>IF(OR(ISNUMBER(SEARCH("월3",$H251)),ISNUMBER(SEARCH("월1.3",$H251)),ISNUMBER(SEARCH("월2.3",$H251)),ISNUMBER(SEARCH("월1.2.3",$H251))),1,"")</f>
        <v/>
      </c>
      <c r="L251" s="319">
        <f>IF(ISNUMBER(SEARCH("화1",$H251)),1,"")</f>
        <v/>
      </c>
      <c r="M251" s="319">
        <f>IF(OR(ISNUMBER(SEARCH("화2",$H251)),ISNUMBER(SEARCH("화1.2",$H251))),1,"")</f>
        <v/>
      </c>
      <c r="N251" s="319">
        <f>IF(OR(ISNUMBER(SEARCH("화3",$H251)),ISNUMBER(SEARCH("화1.3",$H251)),ISNUMBER(SEARCH("화2.3",$H251)),ISNUMBER(SEARCH("화1.2.3",$H251))),1,"")</f>
        <v/>
      </c>
      <c r="O251" s="319">
        <f>IF(ISNUMBER(SEARCH("수1",$H251)),1,"")</f>
        <v/>
      </c>
      <c r="P251" s="319">
        <f>IF(OR(ISNUMBER(SEARCH("수2",$H251)),ISNUMBER(SEARCH("수1.2",$H251))),1,"")</f>
        <v/>
      </c>
      <c r="Q251" s="319">
        <f>IF(OR(ISNUMBER(SEARCH("수3",$H251)),ISNUMBER(SEARCH("수1.3",$H251)),ISNUMBER(SEARCH("수2.3",$H251)),ISNUMBER(SEARCH("수1.2.3",$H251))),1,"")</f>
        <v/>
      </c>
      <c r="R251" s="319">
        <f>IF(ISNUMBER(SEARCH("목1",$H251)),1,"")</f>
        <v/>
      </c>
      <c r="S251" s="319">
        <f>IF(OR(ISNUMBER(SEARCH("목2",$H251)),ISNUMBER(SEARCH("목1.2",$H251))),1,"")</f>
        <v/>
      </c>
      <c r="T251" s="319">
        <f>IF(OR(ISNUMBER(SEARCH("목3",$H251)),ISNUMBER(SEARCH("목1.3",$H251)),ISNUMBER(SEARCH("목2.3",$H251)),ISNUMBER(SEARCH("목1.2.3",$H251))),1,"")</f>
        <v/>
      </c>
      <c r="U251" s="319">
        <f>IF(ISNUMBER(SEARCH("금1",$H251)),1,"")</f>
        <v/>
      </c>
      <c r="V251" s="319">
        <f>IF(OR(ISNUMBER(SEARCH("금2",$H251)),ISNUMBER(SEARCH("금1.2",$H251))),1,"")</f>
        <v/>
      </c>
      <c r="W251" s="319">
        <f>IF(OR(ISNUMBER(SEARCH("금3",$H251)),ISNUMBER(SEARCH("금1.3",$H251)),ISNUMBER(SEARCH("금2.3",$H251)),ISNUMBER(SEARCH("금1.2.3",$H251))),1,"")</f>
        <v/>
      </c>
      <c r="X251" s="319">
        <f>IF(ISNUMBER(SEARCH("토1",$H251)),1,"")</f>
        <v/>
      </c>
      <c r="Y251" s="319">
        <f>IF(OR(ISNUMBER(SEARCH("토2",$H251)),ISNUMBER(SEARCH("토1.2",$H251))),1,"")</f>
        <v/>
      </c>
      <c r="Z251" s="319">
        <f>IF(OR(ISNUMBER(SEARCH("토3",$H251)),ISNUMBER(SEARCH("토1.3",$H251)),ISNUMBER(SEARCH("토2.3",$H251)),ISNUMBER(SEARCH("토1.2.3",$H251))),1,"")</f>
        <v/>
      </c>
      <c r="AA251" s="319">
        <f>IF(ISNUMBER(SEARCH("일1",$H251)),1,"")</f>
        <v/>
      </c>
      <c r="AB251" s="319">
        <f>IF(OR(ISNUMBER(SEARCH("일2",$H251)),ISNUMBER(SEARCH("일1.2",$H251))),1,"")</f>
        <v/>
      </c>
      <c r="AC251" s="319">
        <f>IF(OR(ISNUMBER(SEARCH("일3",$H251)),ISNUMBER(SEARCH("일1.3",$H251)),ISNUMBER(SEARCH("일2.3",$H251)),ISNUMBER(SEARCH("일1.2.3",$H251))),1,"")</f>
        <v/>
      </c>
      <c r="AD251" s="319">
        <f>SUM(I251:AC251)</f>
        <v/>
      </c>
      <c r="AE251" s="323" t="n"/>
    </row>
    <row r="252" ht="24" customHeight="1">
      <c r="A252" s="168" t="n"/>
      <c r="B252" s="319" t="n"/>
      <c r="C252" s="319" t="n"/>
      <c r="D252" s="319" t="n"/>
      <c r="E252" s="341" t="n"/>
      <c r="F252" s="341" t="n"/>
      <c r="G252" s="342" t="n"/>
      <c r="H252" s="322" t="n"/>
      <c r="I252" s="319">
        <f>IF(ISNUMBER(SEARCH("월1",$H252)),1,"")</f>
        <v/>
      </c>
      <c r="J252" s="319">
        <f>IF(OR(ISNUMBER(SEARCH("월2",$H252)),ISNUMBER(SEARCH("월1.2",$H252))),1,"")</f>
        <v/>
      </c>
      <c r="K252" s="319">
        <f>IF(OR(ISNUMBER(SEARCH("월3",$H252)),ISNUMBER(SEARCH("월1.3",$H252)),ISNUMBER(SEARCH("월2.3",$H252)),ISNUMBER(SEARCH("월1.2.3",$H252))),1,"")</f>
        <v/>
      </c>
      <c r="L252" s="319">
        <f>IF(ISNUMBER(SEARCH("화1",$H252)),1,"")</f>
        <v/>
      </c>
      <c r="M252" s="319">
        <f>IF(OR(ISNUMBER(SEARCH("화2",$H252)),ISNUMBER(SEARCH("화1.2",$H252))),1,"")</f>
        <v/>
      </c>
      <c r="N252" s="319">
        <f>IF(OR(ISNUMBER(SEARCH("화3",$H252)),ISNUMBER(SEARCH("화1.3",$H252)),ISNUMBER(SEARCH("화2.3",$H252)),ISNUMBER(SEARCH("화1.2.3",$H252))),1,"")</f>
        <v/>
      </c>
      <c r="O252" s="319">
        <f>IF(ISNUMBER(SEARCH("수1",$H252)),1,"")</f>
        <v/>
      </c>
      <c r="P252" s="319">
        <f>IF(OR(ISNUMBER(SEARCH("수2",$H252)),ISNUMBER(SEARCH("수1.2",$H252))),1,"")</f>
        <v/>
      </c>
      <c r="Q252" s="319">
        <f>IF(OR(ISNUMBER(SEARCH("수3",$H252)),ISNUMBER(SEARCH("수1.3",$H252)),ISNUMBER(SEARCH("수2.3",$H252)),ISNUMBER(SEARCH("수1.2.3",$H252))),1,"")</f>
        <v/>
      </c>
      <c r="R252" s="319">
        <f>IF(ISNUMBER(SEARCH("목1",$H252)),1,"")</f>
        <v/>
      </c>
      <c r="S252" s="319">
        <f>IF(OR(ISNUMBER(SEARCH("목2",$H252)),ISNUMBER(SEARCH("목1.2",$H252))),1,"")</f>
        <v/>
      </c>
      <c r="T252" s="319">
        <f>IF(OR(ISNUMBER(SEARCH("목3",$H252)),ISNUMBER(SEARCH("목1.3",$H252)),ISNUMBER(SEARCH("목2.3",$H252)),ISNUMBER(SEARCH("목1.2.3",$H252))),1,"")</f>
        <v/>
      </c>
      <c r="U252" s="319">
        <f>IF(ISNUMBER(SEARCH("금1",$H252)),1,"")</f>
        <v/>
      </c>
      <c r="V252" s="319">
        <f>IF(OR(ISNUMBER(SEARCH("금2",$H252)),ISNUMBER(SEARCH("금1.2",$H252))),1,"")</f>
        <v/>
      </c>
      <c r="W252" s="319">
        <f>IF(OR(ISNUMBER(SEARCH("금3",$H252)),ISNUMBER(SEARCH("금1.3",$H252)),ISNUMBER(SEARCH("금2.3",$H252)),ISNUMBER(SEARCH("금1.2.3",$H252))),1,"")</f>
        <v/>
      </c>
      <c r="X252" s="319">
        <f>IF(ISNUMBER(SEARCH("토1",$H252)),1,"")</f>
        <v/>
      </c>
      <c r="Y252" s="319">
        <f>IF(OR(ISNUMBER(SEARCH("토2",$H252)),ISNUMBER(SEARCH("토1.2",$H252))),1,"")</f>
        <v/>
      </c>
      <c r="Z252" s="319">
        <f>IF(OR(ISNUMBER(SEARCH("토3",$H252)),ISNUMBER(SEARCH("토1.3",$H252)),ISNUMBER(SEARCH("토2.3",$H252)),ISNUMBER(SEARCH("토1.2.3",$H252))),1,"")</f>
        <v/>
      </c>
      <c r="AA252" s="319">
        <f>IF(ISNUMBER(SEARCH("일1",$H252)),1,"")</f>
        <v/>
      </c>
      <c r="AB252" s="319">
        <f>IF(OR(ISNUMBER(SEARCH("일2",$H252)),ISNUMBER(SEARCH("일1.2",$H252))),1,"")</f>
        <v/>
      </c>
      <c r="AC252" s="319">
        <f>IF(OR(ISNUMBER(SEARCH("일3",$H252)),ISNUMBER(SEARCH("일1.3",$H252)),ISNUMBER(SEARCH("일2.3",$H252)),ISNUMBER(SEARCH("일1.2.3",$H252))),1,"")</f>
        <v/>
      </c>
      <c r="AD252" s="319">
        <f>SUM(I252:AC252)</f>
        <v/>
      </c>
      <c r="AE252" s="323" t="n"/>
    </row>
    <row r="253" ht="24" customHeight="1">
      <c r="A253" s="168" t="n"/>
      <c r="B253" s="319" t="n"/>
      <c r="C253" s="319" t="n"/>
      <c r="D253" s="319" t="n"/>
      <c r="E253" s="341" t="n"/>
      <c r="F253" s="341" t="n"/>
      <c r="G253" s="342" t="n"/>
      <c r="H253" s="322" t="n"/>
      <c r="I253" s="319">
        <f>IF(ISNUMBER(SEARCH("월1",$H253)),1,"")</f>
        <v/>
      </c>
      <c r="J253" s="319">
        <f>IF(OR(ISNUMBER(SEARCH("월2",$H253)),ISNUMBER(SEARCH("월1.2",$H253))),1,"")</f>
        <v/>
      </c>
      <c r="K253" s="319">
        <f>IF(OR(ISNUMBER(SEARCH("월3",$H253)),ISNUMBER(SEARCH("월1.3",$H253)),ISNUMBER(SEARCH("월2.3",$H253)),ISNUMBER(SEARCH("월1.2.3",$H253))),1,"")</f>
        <v/>
      </c>
      <c r="L253" s="319">
        <f>IF(ISNUMBER(SEARCH("화1",$H253)),1,"")</f>
        <v/>
      </c>
      <c r="M253" s="319">
        <f>IF(OR(ISNUMBER(SEARCH("화2",$H253)),ISNUMBER(SEARCH("화1.2",$H253))),1,"")</f>
        <v/>
      </c>
      <c r="N253" s="319">
        <f>IF(OR(ISNUMBER(SEARCH("화3",$H253)),ISNUMBER(SEARCH("화1.3",$H253)),ISNUMBER(SEARCH("화2.3",$H253)),ISNUMBER(SEARCH("화1.2.3",$H253))),1,"")</f>
        <v/>
      </c>
      <c r="O253" s="319">
        <f>IF(ISNUMBER(SEARCH("수1",$H253)),1,"")</f>
        <v/>
      </c>
      <c r="P253" s="319">
        <f>IF(OR(ISNUMBER(SEARCH("수2",$H253)),ISNUMBER(SEARCH("수1.2",$H253))),1,"")</f>
        <v/>
      </c>
      <c r="Q253" s="319">
        <f>IF(OR(ISNUMBER(SEARCH("수3",$H253)),ISNUMBER(SEARCH("수1.3",$H253)),ISNUMBER(SEARCH("수2.3",$H253)),ISNUMBER(SEARCH("수1.2.3",$H253))),1,"")</f>
        <v/>
      </c>
      <c r="R253" s="319">
        <f>IF(ISNUMBER(SEARCH("목1",$H253)),1,"")</f>
        <v/>
      </c>
      <c r="S253" s="319">
        <f>IF(OR(ISNUMBER(SEARCH("목2",$H253)),ISNUMBER(SEARCH("목1.2",$H253))),1,"")</f>
        <v/>
      </c>
      <c r="T253" s="319">
        <f>IF(OR(ISNUMBER(SEARCH("목3",$H253)),ISNUMBER(SEARCH("목1.3",$H253)),ISNUMBER(SEARCH("목2.3",$H253)),ISNUMBER(SEARCH("목1.2.3",$H253))),1,"")</f>
        <v/>
      </c>
      <c r="U253" s="319">
        <f>IF(ISNUMBER(SEARCH("금1",$H253)),1,"")</f>
        <v/>
      </c>
      <c r="V253" s="319">
        <f>IF(OR(ISNUMBER(SEARCH("금2",$H253)),ISNUMBER(SEARCH("금1.2",$H253))),1,"")</f>
        <v/>
      </c>
      <c r="W253" s="319">
        <f>IF(OR(ISNUMBER(SEARCH("금3",$H253)),ISNUMBER(SEARCH("금1.3",$H253)),ISNUMBER(SEARCH("금2.3",$H253)),ISNUMBER(SEARCH("금1.2.3",$H253))),1,"")</f>
        <v/>
      </c>
      <c r="X253" s="319">
        <f>IF(ISNUMBER(SEARCH("토1",$H253)),1,"")</f>
        <v/>
      </c>
      <c r="Y253" s="319">
        <f>IF(OR(ISNUMBER(SEARCH("토2",$H253)),ISNUMBER(SEARCH("토1.2",$H253))),1,"")</f>
        <v/>
      </c>
      <c r="Z253" s="319">
        <f>IF(OR(ISNUMBER(SEARCH("토3",$H253)),ISNUMBER(SEARCH("토1.3",$H253)),ISNUMBER(SEARCH("토2.3",$H253)),ISNUMBER(SEARCH("토1.2.3",$H253))),1,"")</f>
        <v/>
      </c>
      <c r="AA253" s="319">
        <f>IF(ISNUMBER(SEARCH("일1",$H253)),1,"")</f>
        <v/>
      </c>
      <c r="AB253" s="319">
        <f>IF(OR(ISNUMBER(SEARCH("일2",$H253)),ISNUMBER(SEARCH("일1.2",$H253))),1,"")</f>
        <v/>
      </c>
      <c r="AC253" s="319">
        <f>IF(OR(ISNUMBER(SEARCH("일3",$H253)),ISNUMBER(SEARCH("일1.3",$H253)),ISNUMBER(SEARCH("일2.3",$H253)),ISNUMBER(SEARCH("일1.2.3",$H253))),1,"")</f>
        <v/>
      </c>
      <c r="AD253" s="319">
        <f>SUM(I253:AC253)</f>
        <v/>
      </c>
      <c r="AE253" s="323" t="n"/>
    </row>
    <row r="254" ht="24" customHeight="1">
      <c r="A254" s="168" t="n"/>
      <c r="B254" s="319" t="n"/>
      <c r="C254" s="319" t="n"/>
      <c r="D254" s="319" t="n"/>
      <c r="E254" s="341" t="n"/>
      <c r="F254" s="341" t="n"/>
      <c r="G254" s="342" t="n"/>
      <c r="H254" s="322" t="n"/>
      <c r="I254" s="319">
        <f>IF(ISNUMBER(SEARCH("월1",$H254)),1,"")</f>
        <v/>
      </c>
      <c r="J254" s="319">
        <f>IF(OR(ISNUMBER(SEARCH("월2",$H254)),ISNUMBER(SEARCH("월1.2",$H254))),1,"")</f>
        <v/>
      </c>
      <c r="K254" s="319">
        <f>IF(OR(ISNUMBER(SEARCH("월3",$H254)),ISNUMBER(SEARCH("월1.3",$H254)),ISNUMBER(SEARCH("월2.3",$H254)),ISNUMBER(SEARCH("월1.2.3",$H254))),1,"")</f>
        <v/>
      </c>
      <c r="L254" s="319">
        <f>IF(ISNUMBER(SEARCH("화1",$H254)),1,"")</f>
        <v/>
      </c>
      <c r="M254" s="319">
        <f>IF(OR(ISNUMBER(SEARCH("화2",$H254)),ISNUMBER(SEARCH("화1.2",$H254))),1,"")</f>
        <v/>
      </c>
      <c r="N254" s="319">
        <f>IF(OR(ISNUMBER(SEARCH("화3",$H254)),ISNUMBER(SEARCH("화1.3",$H254)),ISNUMBER(SEARCH("화2.3",$H254)),ISNUMBER(SEARCH("화1.2.3",$H254))),1,"")</f>
        <v/>
      </c>
      <c r="O254" s="319">
        <f>IF(ISNUMBER(SEARCH("수1",$H254)),1,"")</f>
        <v/>
      </c>
      <c r="P254" s="319">
        <f>IF(OR(ISNUMBER(SEARCH("수2",$H254)),ISNUMBER(SEARCH("수1.2",$H254))),1,"")</f>
        <v/>
      </c>
      <c r="Q254" s="319">
        <f>IF(OR(ISNUMBER(SEARCH("수3",$H254)),ISNUMBER(SEARCH("수1.3",$H254)),ISNUMBER(SEARCH("수2.3",$H254)),ISNUMBER(SEARCH("수1.2.3",$H254))),1,"")</f>
        <v/>
      </c>
      <c r="R254" s="319">
        <f>IF(ISNUMBER(SEARCH("목1",$H254)),1,"")</f>
        <v/>
      </c>
      <c r="S254" s="319">
        <f>IF(OR(ISNUMBER(SEARCH("목2",$H254)),ISNUMBER(SEARCH("목1.2",$H254))),1,"")</f>
        <v/>
      </c>
      <c r="T254" s="319">
        <f>IF(OR(ISNUMBER(SEARCH("목3",$H254)),ISNUMBER(SEARCH("목1.3",$H254)),ISNUMBER(SEARCH("목2.3",$H254)),ISNUMBER(SEARCH("목1.2.3",$H254))),1,"")</f>
        <v/>
      </c>
      <c r="U254" s="319">
        <f>IF(ISNUMBER(SEARCH("금1",$H254)),1,"")</f>
        <v/>
      </c>
      <c r="V254" s="319">
        <f>IF(OR(ISNUMBER(SEARCH("금2",$H254)),ISNUMBER(SEARCH("금1.2",$H254))),1,"")</f>
        <v/>
      </c>
      <c r="W254" s="319">
        <f>IF(OR(ISNUMBER(SEARCH("금3",$H254)),ISNUMBER(SEARCH("금1.3",$H254)),ISNUMBER(SEARCH("금2.3",$H254)),ISNUMBER(SEARCH("금1.2.3",$H254))),1,"")</f>
        <v/>
      </c>
      <c r="X254" s="319">
        <f>IF(ISNUMBER(SEARCH("토1",$H254)),1,"")</f>
        <v/>
      </c>
      <c r="Y254" s="319">
        <f>IF(OR(ISNUMBER(SEARCH("토2",$H254)),ISNUMBER(SEARCH("토1.2",$H254))),1,"")</f>
        <v/>
      </c>
      <c r="Z254" s="319">
        <f>IF(OR(ISNUMBER(SEARCH("토3",$H254)),ISNUMBER(SEARCH("토1.3",$H254)),ISNUMBER(SEARCH("토2.3",$H254)),ISNUMBER(SEARCH("토1.2.3",$H254))),1,"")</f>
        <v/>
      </c>
      <c r="AA254" s="319">
        <f>IF(ISNUMBER(SEARCH("일1",$H254)),1,"")</f>
        <v/>
      </c>
      <c r="AB254" s="319">
        <f>IF(OR(ISNUMBER(SEARCH("일2",$H254)),ISNUMBER(SEARCH("일1.2",$H254))),1,"")</f>
        <v/>
      </c>
      <c r="AC254" s="319">
        <f>IF(OR(ISNUMBER(SEARCH("일3",$H254)),ISNUMBER(SEARCH("일1.3",$H254)),ISNUMBER(SEARCH("일2.3",$H254)),ISNUMBER(SEARCH("일1.2.3",$H254))),1,"")</f>
        <v/>
      </c>
      <c r="AD254" s="319">
        <f>SUM(I254:AC254)</f>
        <v/>
      </c>
      <c r="AE254" s="323" t="n"/>
    </row>
    <row r="255" ht="24" customHeight="1">
      <c r="A255" s="168" t="n"/>
      <c r="B255" s="319" t="n"/>
      <c r="C255" s="319" t="n"/>
      <c r="D255" s="319" t="n"/>
      <c r="E255" s="341" t="n"/>
      <c r="F255" s="341" t="n"/>
      <c r="G255" s="342" t="n"/>
      <c r="H255" s="322" t="n"/>
      <c r="I255" s="319">
        <f>IF(ISNUMBER(SEARCH("월1",$H255)),1,"")</f>
        <v/>
      </c>
      <c r="J255" s="319">
        <f>IF(OR(ISNUMBER(SEARCH("월2",$H255)),ISNUMBER(SEARCH("월1.2",$H255))),1,"")</f>
        <v/>
      </c>
      <c r="K255" s="319">
        <f>IF(OR(ISNUMBER(SEARCH("월3",$H255)),ISNUMBER(SEARCH("월1.3",$H255)),ISNUMBER(SEARCH("월2.3",$H255)),ISNUMBER(SEARCH("월1.2.3",$H255))),1,"")</f>
        <v/>
      </c>
      <c r="L255" s="319">
        <f>IF(ISNUMBER(SEARCH("화1",$H255)),1,"")</f>
        <v/>
      </c>
      <c r="M255" s="319">
        <f>IF(OR(ISNUMBER(SEARCH("화2",$H255)),ISNUMBER(SEARCH("화1.2",$H255))),1,"")</f>
        <v/>
      </c>
      <c r="N255" s="319">
        <f>IF(OR(ISNUMBER(SEARCH("화3",$H255)),ISNUMBER(SEARCH("화1.3",$H255)),ISNUMBER(SEARCH("화2.3",$H255)),ISNUMBER(SEARCH("화1.2.3",$H255))),1,"")</f>
        <v/>
      </c>
      <c r="O255" s="319">
        <f>IF(ISNUMBER(SEARCH("수1",$H255)),1,"")</f>
        <v/>
      </c>
      <c r="P255" s="319">
        <f>IF(OR(ISNUMBER(SEARCH("수2",$H255)),ISNUMBER(SEARCH("수1.2",$H255))),1,"")</f>
        <v/>
      </c>
      <c r="Q255" s="319">
        <f>IF(OR(ISNUMBER(SEARCH("수3",$H255)),ISNUMBER(SEARCH("수1.3",$H255)),ISNUMBER(SEARCH("수2.3",$H255)),ISNUMBER(SEARCH("수1.2.3",$H255))),1,"")</f>
        <v/>
      </c>
      <c r="R255" s="319">
        <f>IF(ISNUMBER(SEARCH("목1",$H255)),1,"")</f>
        <v/>
      </c>
      <c r="S255" s="319">
        <f>IF(OR(ISNUMBER(SEARCH("목2",$H255)),ISNUMBER(SEARCH("목1.2",$H255))),1,"")</f>
        <v/>
      </c>
      <c r="T255" s="319">
        <f>IF(OR(ISNUMBER(SEARCH("목3",$H255)),ISNUMBER(SEARCH("목1.3",$H255)),ISNUMBER(SEARCH("목2.3",$H255)),ISNUMBER(SEARCH("목1.2.3",$H255))),1,"")</f>
        <v/>
      </c>
      <c r="U255" s="319">
        <f>IF(ISNUMBER(SEARCH("금1",$H255)),1,"")</f>
        <v/>
      </c>
      <c r="V255" s="319">
        <f>IF(OR(ISNUMBER(SEARCH("금2",$H255)),ISNUMBER(SEARCH("금1.2",$H255))),1,"")</f>
        <v/>
      </c>
      <c r="W255" s="319">
        <f>IF(OR(ISNUMBER(SEARCH("금3",$H255)),ISNUMBER(SEARCH("금1.3",$H255)),ISNUMBER(SEARCH("금2.3",$H255)),ISNUMBER(SEARCH("금1.2.3",$H255))),1,"")</f>
        <v/>
      </c>
      <c r="X255" s="319">
        <f>IF(ISNUMBER(SEARCH("토1",$H255)),1,"")</f>
        <v/>
      </c>
      <c r="Y255" s="319">
        <f>IF(OR(ISNUMBER(SEARCH("토2",$H255)),ISNUMBER(SEARCH("토1.2",$H255))),1,"")</f>
        <v/>
      </c>
      <c r="Z255" s="319">
        <f>IF(OR(ISNUMBER(SEARCH("토3",$H255)),ISNUMBER(SEARCH("토1.3",$H255)),ISNUMBER(SEARCH("토2.3",$H255)),ISNUMBER(SEARCH("토1.2.3",$H255))),1,"")</f>
        <v/>
      </c>
      <c r="AA255" s="319">
        <f>IF(ISNUMBER(SEARCH("일1",$H255)),1,"")</f>
        <v/>
      </c>
      <c r="AB255" s="319">
        <f>IF(OR(ISNUMBER(SEARCH("일2",$H255)),ISNUMBER(SEARCH("일1.2",$H255))),1,"")</f>
        <v/>
      </c>
      <c r="AC255" s="319">
        <f>IF(OR(ISNUMBER(SEARCH("일3",$H255)),ISNUMBER(SEARCH("일1.3",$H255)),ISNUMBER(SEARCH("일2.3",$H255)),ISNUMBER(SEARCH("일1.2.3",$H255))),1,"")</f>
        <v/>
      </c>
      <c r="AD255" s="319">
        <f>SUM(I255:AC255)</f>
        <v/>
      </c>
      <c r="AE255" s="323" t="n"/>
    </row>
    <row r="256" ht="24" customHeight="1">
      <c r="A256" s="168" t="n"/>
      <c r="B256" s="319" t="n"/>
      <c r="C256" s="319" t="n"/>
      <c r="D256" s="319" t="n"/>
      <c r="E256" s="341" t="n"/>
      <c r="F256" s="341" t="n"/>
      <c r="G256" s="342" t="n"/>
      <c r="H256" s="322" t="n"/>
      <c r="I256" s="319">
        <f>IF(ISNUMBER(SEARCH("월1",$H256)),1,"")</f>
        <v/>
      </c>
      <c r="J256" s="319">
        <f>IF(OR(ISNUMBER(SEARCH("월2",$H256)),ISNUMBER(SEARCH("월1.2",$H256))),1,"")</f>
        <v/>
      </c>
      <c r="K256" s="319">
        <f>IF(OR(ISNUMBER(SEARCH("월3",$H256)),ISNUMBER(SEARCH("월1.3",$H256)),ISNUMBER(SEARCH("월2.3",$H256)),ISNUMBER(SEARCH("월1.2.3",$H256))),1,"")</f>
        <v/>
      </c>
      <c r="L256" s="319">
        <f>IF(ISNUMBER(SEARCH("화1",$H256)),1,"")</f>
        <v/>
      </c>
      <c r="M256" s="319">
        <f>IF(OR(ISNUMBER(SEARCH("화2",$H256)),ISNUMBER(SEARCH("화1.2",$H256))),1,"")</f>
        <v/>
      </c>
      <c r="N256" s="319">
        <f>IF(OR(ISNUMBER(SEARCH("화3",$H256)),ISNUMBER(SEARCH("화1.3",$H256)),ISNUMBER(SEARCH("화2.3",$H256)),ISNUMBER(SEARCH("화1.2.3",$H256))),1,"")</f>
        <v/>
      </c>
      <c r="O256" s="319">
        <f>IF(ISNUMBER(SEARCH("수1",$H256)),1,"")</f>
        <v/>
      </c>
      <c r="P256" s="319">
        <f>IF(OR(ISNUMBER(SEARCH("수2",$H256)),ISNUMBER(SEARCH("수1.2",$H256))),1,"")</f>
        <v/>
      </c>
      <c r="Q256" s="319">
        <f>IF(OR(ISNUMBER(SEARCH("수3",$H256)),ISNUMBER(SEARCH("수1.3",$H256)),ISNUMBER(SEARCH("수2.3",$H256)),ISNUMBER(SEARCH("수1.2.3",$H256))),1,"")</f>
        <v/>
      </c>
      <c r="R256" s="319">
        <f>IF(ISNUMBER(SEARCH("목1",$H256)),1,"")</f>
        <v/>
      </c>
      <c r="S256" s="319">
        <f>IF(OR(ISNUMBER(SEARCH("목2",$H256)),ISNUMBER(SEARCH("목1.2",$H256))),1,"")</f>
        <v/>
      </c>
      <c r="T256" s="319">
        <f>IF(OR(ISNUMBER(SEARCH("목3",$H256)),ISNUMBER(SEARCH("목1.3",$H256)),ISNUMBER(SEARCH("목2.3",$H256)),ISNUMBER(SEARCH("목1.2.3",$H256))),1,"")</f>
        <v/>
      </c>
      <c r="U256" s="319">
        <f>IF(ISNUMBER(SEARCH("금1",$H256)),1,"")</f>
        <v/>
      </c>
      <c r="V256" s="319">
        <f>IF(OR(ISNUMBER(SEARCH("금2",$H256)),ISNUMBER(SEARCH("금1.2",$H256))),1,"")</f>
        <v/>
      </c>
      <c r="W256" s="319">
        <f>IF(OR(ISNUMBER(SEARCH("금3",$H256)),ISNUMBER(SEARCH("금1.3",$H256)),ISNUMBER(SEARCH("금2.3",$H256)),ISNUMBER(SEARCH("금1.2.3",$H256))),1,"")</f>
        <v/>
      </c>
      <c r="X256" s="319">
        <f>IF(ISNUMBER(SEARCH("토1",$H256)),1,"")</f>
        <v/>
      </c>
      <c r="Y256" s="319">
        <f>IF(OR(ISNUMBER(SEARCH("토2",$H256)),ISNUMBER(SEARCH("토1.2",$H256))),1,"")</f>
        <v/>
      </c>
      <c r="Z256" s="319">
        <f>IF(OR(ISNUMBER(SEARCH("토3",$H256)),ISNUMBER(SEARCH("토1.3",$H256)),ISNUMBER(SEARCH("토2.3",$H256)),ISNUMBER(SEARCH("토1.2.3",$H256))),1,"")</f>
        <v/>
      </c>
      <c r="AA256" s="319">
        <f>IF(ISNUMBER(SEARCH("일1",$H256)),1,"")</f>
        <v/>
      </c>
      <c r="AB256" s="319">
        <f>IF(OR(ISNUMBER(SEARCH("일2",$H256)),ISNUMBER(SEARCH("일1.2",$H256))),1,"")</f>
        <v/>
      </c>
      <c r="AC256" s="319">
        <f>IF(OR(ISNUMBER(SEARCH("일3",$H256)),ISNUMBER(SEARCH("일1.3",$H256)),ISNUMBER(SEARCH("일2.3",$H256)),ISNUMBER(SEARCH("일1.2.3",$H256))),1,"")</f>
        <v/>
      </c>
      <c r="AD256" s="319">
        <f>SUM(I256:AC256)</f>
        <v/>
      </c>
      <c r="AE256" s="323" t="n"/>
    </row>
    <row r="257" ht="24" customHeight="1">
      <c r="A257" s="168" t="n"/>
      <c r="B257" s="319" t="n"/>
      <c r="C257" s="319" t="n"/>
      <c r="D257" s="319" t="n"/>
      <c r="E257" s="341" t="n"/>
      <c r="F257" s="341" t="n"/>
      <c r="G257" s="342" t="n"/>
      <c r="H257" s="322" t="n"/>
      <c r="I257" s="319">
        <f>IF(ISNUMBER(SEARCH("월1",$H257)),1,"")</f>
        <v/>
      </c>
      <c r="J257" s="319">
        <f>IF(OR(ISNUMBER(SEARCH("월2",$H257)),ISNUMBER(SEARCH("월1.2",$H257))),1,"")</f>
        <v/>
      </c>
      <c r="K257" s="319">
        <f>IF(OR(ISNUMBER(SEARCH("월3",$H257)),ISNUMBER(SEARCH("월1.3",$H257)),ISNUMBER(SEARCH("월2.3",$H257)),ISNUMBER(SEARCH("월1.2.3",$H257))),1,"")</f>
        <v/>
      </c>
      <c r="L257" s="319">
        <f>IF(ISNUMBER(SEARCH("화1",$H257)),1,"")</f>
        <v/>
      </c>
      <c r="M257" s="319">
        <f>IF(OR(ISNUMBER(SEARCH("화2",$H257)),ISNUMBER(SEARCH("화1.2",$H257))),1,"")</f>
        <v/>
      </c>
      <c r="N257" s="319">
        <f>IF(OR(ISNUMBER(SEARCH("화3",$H257)),ISNUMBER(SEARCH("화1.3",$H257)),ISNUMBER(SEARCH("화2.3",$H257)),ISNUMBER(SEARCH("화1.2.3",$H257))),1,"")</f>
        <v/>
      </c>
      <c r="O257" s="319">
        <f>IF(ISNUMBER(SEARCH("수1",$H257)),1,"")</f>
        <v/>
      </c>
      <c r="P257" s="319">
        <f>IF(OR(ISNUMBER(SEARCH("수2",$H257)),ISNUMBER(SEARCH("수1.2",$H257))),1,"")</f>
        <v/>
      </c>
      <c r="Q257" s="319">
        <f>IF(OR(ISNUMBER(SEARCH("수3",$H257)),ISNUMBER(SEARCH("수1.3",$H257)),ISNUMBER(SEARCH("수2.3",$H257)),ISNUMBER(SEARCH("수1.2.3",$H257))),1,"")</f>
        <v/>
      </c>
      <c r="R257" s="319">
        <f>IF(ISNUMBER(SEARCH("목1",$H257)),1,"")</f>
        <v/>
      </c>
      <c r="S257" s="319">
        <f>IF(OR(ISNUMBER(SEARCH("목2",$H257)),ISNUMBER(SEARCH("목1.2",$H257))),1,"")</f>
        <v/>
      </c>
      <c r="T257" s="319">
        <f>IF(OR(ISNUMBER(SEARCH("목3",$H257)),ISNUMBER(SEARCH("목1.3",$H257)),ISNUMBER(SEARCH("목2.3",$H257)),ISNUMBER(SEARCH("목1.2.3",$H257))),1,"")</f>
        <v/>
      </c>
      <c r="U257" s="319">
        <f>IF(ISNUMBER(SEARCH("금1",$H257)),1,"")</f>
        <v/>
      </c>
      <c r="V257" s="319">
        <f>IF(OR(ISNUMBER(SEARCH("금2",$H257)),ISNUMBER(SEARCH("금1.2",$H257))),1,"")</f>
        <v/>
      </c>
      <c r="W257" s="319">
        <f>IF(OR(ISNUMBER(SEARCH("금3",$H257)),ISNUMBER(SEARCH("금1.3",$H257)),ISNUMBER(SEARCH("금2.3",$H257)),ISNUMBER(SEARCH("금1.2.3",$H257))),1,"")</f>
        <v/>
      </c>
      <c r="X257" s="319">
        <f>IF(ISNUMBER(SEARCH("토1",$H257)),1,"")</f>
        <v/>
      </c>
      <c r="Y257" s="319">
        <f>IF(OR(ISNUMBER(SEARCH("토2",$H257)),ISNUMBER(SEARCH("토1.2",$H257))),1,"")</f>
        <v/>
      </c>
      <c r="Z257" s="319">
        <f>IF(OR(ISNUMBER(SEARCH("토3",$H257)),ISNUMBER(SEARCH("토1.3",$H257)),ISNUMBER(SEARCH("토2.3",$H257)),ISNUMBER(SEARCH("토1.2.3",$H257))),1,"")</f>
        <v/>
      </c>
      <c r="AA257" s="319">
        <f>IF(ISNUMBER(SEARCH("일1",$H257)),1,"")</f>
        <v/>
      </c>
      <c r="AB257" s="319">
        <f>IF(OR(ISNUMBER(SEARCH("일2",$H257)),ISNUMBER(SEARCH("일1.2",$H257))),1,"")</f>
        <v/>
      </c>
      <c r="AC257" s="319">
        <f>IF(OR(ISNUMBER(SEARCH("일3",$H257)),ISNUMBER(SEARCH("일1.3",$H257)),ISNUMBER(SEARCH("일2.3",$H257)),ISNUMBER(SEARCH("일1.2.3",$H257))),1,"")</f>
        <v/>
      </c>
      <c r="AD257" s="319">
        <f>SUM(I257:AC257)</f>
        <v/>
      </c>
      <c r="AE257" s="323" t="n"/>
    </row>
    <row r="258" ht="24" customHeight="1">
      <c r="A258" s="168" t="n"/>
      <c r="B258" s="319" t="n"/>
      <c r="C258" s="319" t="n"/>
      <c r="D258" s="319" t="n"/>
      <c r="E258" s="341" t="n"/>
      <c r="F258" s="341" t="n"/>
      <c r="G258" s="342" t="n"/>
      <c r="H258" s="322" t="n"/>
      <c r="I258" s="319">
        <f>IF(ISNUMBER(SEARCH("월1",$H258)),1,"")</f>
        <v/>
      </c>
      <c r="J258" s="319">
        <f>IF(OR(ISNUMBER(SEARCH("월2",$H258)),ISNUMBER(SEARCH("월1.2",$H258))),1,"")</f>
        <v/>
      </c>
      <c r="K258" s="319">
        <f>IF(OR(ISNUMBER(SEARCH("월3",$H258)),ISNUMBER(SEARCH("월1.3",$H258)),ISNUMBER(SEARCH("월2.3",$H258)),ISNUMBER(SEARCH("월1.2.3",$H258))),1,"")</f>
        <v/>
      </c>
      <c r="L258" s="319">
        <f>IF(ISNUMBER(SEARCH("화1",$H258)),1,"")</f>
        <v/>
      </c>
      <c r="M258" s="319">
        <f>IF(OR(ISNUMBER(SEARCH("화2",$H258)),ISNUMBER(SEARCH("화1.2",$H258))),1,"")</f>
        <v/>
      </c>
      <c r="N258" s="319">
        <f>IF(OR(ISNUMBER(SEARCH("화3",$H258)),ISNUMBER(SEARCH("화1.3",$H258)),ISNUMBER(SEARCH("화2.3",$H258)),ISNUMBER(SEARCH("화1.2.3",$H258))),1,"")</f>
        <v/>
      </c>
      <c r="O258" s="319">
        <f>IF(ISNUMBER(SEARCH("수1",$H258)),1,"")</f>
        <v/>
      </c>
      <c r="P258" s="319">
        <f>IF(OR(ISNUMBER(SEARCH("수2",$H258)),ISNUMBER(SEARCH("수1.2",$H258))),1,"")</f>
        <v/>
      </c>
      <c r="Q258" s="319">
        <f>IF(OR(ISNUMBER(SEARCH("수3",$H258)),ISNUMBER(SEARCH("수1.3",$H258)),ISNUMBER(SEARCH("수2.3",$H258)),ISNUMBER(SEARCH("수1.2.3",$H258))),1,"")</f>
        <v/>
      </c>
      <c r="R258" s="319">
        <f>IF(ISNUMBER(SEARCH("목1",$H258)),1,"")</f>
        <v/>
      </c>
      <c r="S258" s="319">
        <f>IF(OR(ISNUMBER(SEARCH("목2",$H258)),ISNUMBER(SEARCH("목1.2",$H258))),1,"")</f>
        <v/>
      </c>
      <c r="T258" s="319">
        <f>IF(OR(ISNUMBER(SEARCH("목3",$H258)),ISNUMBER(SEARCH("목1.3",$H258)),ISNUMBER(SEARCH("목2.3",$H258)),ISNUMBER(SEARCH("목1.2.3",$H258))),1,"")</f>
        <v/>
      </c>
      <c r="U258" s="319">
        <f>IF(ISNUMBER(SEARCH("금1",$H258)),1,"")</f>
        <v/>
      </c>
      <c r="V258" s="319">
        <f>IF(OR(ISNUMBER(SEARCH("금2",$H258)),ISNUMBER(SEARCH("금1.2",$H258))),1,"")</f>
        <v/>
      </c>
      <c r="W258" s="319">
        <f>IF(OR(ISNUMBER(SEARCH("금3",$H258)),ISNUMBER(SEARCH("금1.3",$H258)),ISNUMBER(SEARCH("금2.3",$H258)),ISNUMBER(SEARCH("금1.2.3",$H258))),1,"")</f>
        <v/>
      </c>
      <c r="X258" s="319">
        <f>IF(ISNUMBER(SEARCH("토1",$H258)),1,"")</f>
        <v/>
      </c>
      <c r="Y258" s="319">
        <f>IF(OR(ISNUMBER(SEARCH("토2",$H258)),ISNUMBER(SEARCH("토1.2",$H258))),1,"")</f>
        <v/>
      </c>
      <c r="Z258" s="319">
        <f>IF(OR(ISNUMBER(SEARCH("토3",$H258)),ISNUMBER(SEARCH("토1.3",$H258)),ISNUMBER(SEARCH("토2.3",$H258)),ISNUMBER(SEARCH("토1.2.3",$H258))),1,"")</f>
        <v/>
      </c>
      <c r="AA258" s="319">
        <f>IF(ISNUMBER(SEARCH("일1",$H258)),1,"")</f>
        <v/>
      </c>
      <c r="AB258" s="319">
        <f>IF(OR(ISNUMBER(SEARCH("일2",$H258)),ISNUMBER(SEARCH("일1.2",$H258))),1,"")</f>
        <v/>
      </c>
      <c r="AC258" s="319">
        <f>IF(OR(ISNUMBER(SEARCH("일3",$H258)),ISNUMBER(SEARCH("일1.3",$H258)),ISNUMBER(SEARCH("일2.3",$H258)),ISNUMBER(SEARCH("일1.2.3",$H258))),1,"")</f>
        <v/>
      </c>
      <c r="AD258" s="319">
        <f>SUM(I258:AC258)</f>
        <v/>
      </c>
      <c r="AE258" s="323" t="n"/>
    </row>
    <row r="259" ht="24" customHeight="1">
      <c r="A259" s="168" t="n"/>
      <c r="B259" s="319" t="n"/>
      <c r="C259" s="319" t="n"/>
      <c r="D259" s="319" t="n"/>
      <c r="E259" s="341" t="n"/>
      <c r="F259" s="341" t="n"/>
      <c r="G259" s="342" t="n"/>
      <c r="H259" s="322" t="n"/>
      <c r="I259" s="319">
        <f>IF(ISNUMBER(SEARCH("월1",$H259)),1,"")</f>
        <v/>
      </c>
      <c r="J259" s="319">
        <f>IF(OR(ISNUMBER(SEARCH("월2",$H259)),ISNUMBER(SEARCH("월1.2",$H259))),1,"")</f>
        <v/>
      </c>
      <c r="K259" s="319">
        <f>IF(OR(ISNUMBER(SEARCH("월3",$H259)),ISNUMBER(SEARCH("월1.3",$H259)),ISNUMBER(SEARCH("월2.3",$H259)),ISNUMBER(SEARCH("월1.2.3",$H259))),1,"")</f>
        <v/>
      </c>
      <c r="L259" s="319">
        <f>IF(ISNUMBER(SEARCH("화1",$H259)),1,"")</f>
        <v/>
      </c>
      <c r="M259" s="319">
        <f>IF(OR(ISNUMBER(SEARCH("화2",$H259)),ISNUMBER(SEARCH("화1.2",$H259))),1,"")</f>
        <v/>
      </c>
      <c r="N259" s="319">
        <f>IF(OR(ISNUMBER(SEARCH("화3",$H259)),ISNUMBER(SEARCH("화1.3",$H259)),ISNUMBER(SEARCH("화2.3",$H259)),ISNUMBER(SEARCH("화1.2.3",$H259))),1,"")</f>
        <v/>
      </c>
      <c r="O259" s="319">
        <f>IF(ISNUMBER(SEARCH("수1",$H259)),1,"")</f>
        <v/>
      </c>
      <c r="P259" s="319">
        <f>IF(OR(ISNUMBER(SEARCH("수2",$H259)),ISNUMBER(SEARCH("수1.2",$H259))),1,"")</f>
        <v/>
      </c>
      <c r="Q259" s="319">
        <f>IF(OR(ISNUMBER(SEARCH("수3",$H259)),ISNUMBER(SEARCH("수1.3",$H259)),ISNUMBER(SEARCH("수2.3",$H259)),ISNUMBER(SEARCH("수1.2.3",$H259))),1,"")</f>
        <v/>
      </c>
      <c r="R259" s="319">
        <f>IF(ISNUMBER(SEARCH("목1",$H259)),1,"")</f>
        <v/>
      </c>
      <c r="S259" s="319">
        <f>IF(OR(ISNUMBER(SEARCH("목2",$H259)),ISNUMBER(SEARCH("목1.2",$H259))),1,"")</f>
        <v/>
      </c>
      <c r="T259" s="319">
        <f>IF(OR(ISNUMBER(SEARCH("목3",$H259)),ISNUMBER(SEARCH("목1.3",$H259)),ISNUMBER(SEARCH("목2.3",$H259)),ISNUMBER(SEARCH("목1.2.3",$H259))),1,"")</f>
        <v/>
      </c>
      <c r="U259" s="319">
        <f>IF(ISNUMBER(SEARCH("금1",$H259)),1,"")</f>
        <v/>
      </c>
      <c r="V259" s="319">
        <f>IF(OR(ISNUMBER(SEARCH("금2",$H259)),ISNUMBER(SEARCH("금1.2",$H259))),1,"")</f>
        <v/>
      </c>
      <c r="W259" s="319">
        <f>IF(OR(ISNUMBER(SEARCH("금3",$H259)),ISNUMBER(SEARCH("금1.3",$H259)),ISNUMBER(SEARCH("금2.3",$H259)),ISNUMBER(SEARCH("금1.2.3",$H259))),1,"")</f>
        <v/>
      </c>
      <c r="X259" s="319">
        <f>IF(ISNUMBER(SEARCH("토1",$H259)),1,"")</f>
        <v/>
      </c>
      <c r="Y259" s="319">
        <f>IF(OR(ISNUMBER(SEARCH("토2",$H259)),ISNUMBER(SEARCH("토1.2",$H259))),1,"")</f>
        <v/>
      </c>
      <c r="Z259" s="319">
        <f>IF(OR(ISNUMBER(SEARCH("토3",$H259)),ISNUMBER(SEARCH("토1.3",$H259)),ISNUMBER(SEARCH("토2.3",$H259)),ISNUMBER(SEARCH("토1.2.3",$H259))),1,"")</f>
        <v/>
      </c>
      <c r="AA259" s="319">
        <f>IF(ISNUMBER(SEARCH("일1",$H259)),1,"")</f>
        <v/>
      </c>
      <c r="AB259" s="319">
        <f>IF(OR(ISNUMBER(SEARCH("일2",$H259)),ISNUMBER(SEARCH("일1.2",$H259))),1,"")</f>
        <v/>
      </c>
      <c r="AC259" s="319">
        <f>IF(OR(ISNUMBER(SEARCH("일3",$H259)),ISNUMBER(SEARCH("일1.3",$H259)),ISNUMBER(SEARCH("일2.3",$H259)),ISNUMBER(SEARCH("일1.2.3",$H259))),1,"")</f>
        <v/>
      </c>
      <c r="AD259" s="319">
        <f>SUM(I259:AC259)</f>
        <v/>
      </c>
      <c r="AE259" s="323" t="n"/>
    </row>
    <row r="260" ht="24" customHeight="1">
      <c r="A260" s="170" t="n"/>
      <c r="B260" s="324" t="n"/>
      <c r="C260" s="324" t="n"/>
      <c r="D260" s="324" t="n"/>
      <c r="E260" s="343" t="n"/>
      <c r="F260" s="343" t="n"/>
      <c r="G260" s="344" t="n"/>
      <c r="H260" s="327" t="n"/>
      <c r="I260" s="324">
        <f>IF(ISNUMBER(SEARCH("월1",$H260)),1,"")</f>
        <v/>
      </c>
      <c r="J260" s="324">
        <f>IF(OR(ISNUMBER(SEARCH("월2",$H260)),ISNUMBER(SEARCH("월1.2",$H260))),1,"")</f>
        <v/>
      </c>
      <c r="K260" s="324">
        <f>IF(OR(ISNUMBER(SEARCH("월3",$H260)),ISNUMBER(SEARCH("월1.3",$H260)),ISNUMBER(SEARCH("월2.3",$H260)),ISNUMBER(SEARCH("월1.2.3",$H260))),1,"")</f>
        <v/>
      </c>
      <c r="L260" s="324">
        <f>IF(ISNUMBER(SEARCH("화1",$H260)),1,"")</f>
        <v/>
      </c>
      <c r="M260" s="324">
        <f>IF(OR(ISNUMBER(SEARCH("화2",$H260)),ISNUMBER(SEARCH("화1.2",$H260))),1,"")</f>
        <v/>
      </c>
      <c r="N260" s="324">
        <f>IF(OR(ISNUMBER(SEARCH("화3",$H260)),ISNUMBER(SEARCH("화1.3",$H260)),ISNUMBER(SEARCH("화2.3",$H260)),ISNUMBER(SEARCH("화1.2.3",$H260))),1,"")</f>
        <v/>
      </c>
      <c r="O260" s="324">
        <f>IF(ISNUMBER(SEARCH("수1",$H260)),1,"")</f>
        <v/>
      </c>
      <c r="P260" s="324">
        <f>IF(OR(ISNUMBER(SEARCH("수2",$H260)),ISNUMBER(SEARCH("수1.2",$H260))),1,"")</f>
        <v/>
      </c>
      <c r="Q260" s="324">
        <f>IF(OR(ISNUMBER(SEARCH("수3",$H260)),ISNUMBER(SEARCH("수1.3",$H260)),ISNUMBER(SEARCH("수2.3",$H260)),ISNUMBER(SEARCH("수1.2.3",$H260))),1,"")</f>
        <v/>
      </c>
      <c r="R260" s="324">
        <f>IF(ISNUMBER(SEARCH("목1",$H260)),1,"")</f>
        <v/>
      </c>
      <c r="S260" s="324">
        <f>IF(OR(ISNUMBER(SEARCH("목2",$H260)),ISNUMBER(SEARCH("목1.2",$H260))),1,"")</f>
        <v/>
      </c>
      <c r="T260" s="324">
        <f>IF(OR(ISNUMBER(SEARCH("목3",$H260)),ISNUMBER(SEARCH("목1.3",$H260)),ISNUMBER(SEARCH("목2.3",$H260)),ISNUMBER(SEARCH("목1.2.3",$H260))),1,"")</f>
        <v/>
      </c>
      <c r="U260" s="324">
        <f>IF(ISNUMBER(SEARCH("금1",$H260)),1,"")</f>
        <v/>
      </c>
      <c r="V260" s="324">
        <f>IF(OR(ISNUMBER(SEARCH("금2",$H260)),ISNUMBER(SEARCH("금1.2",$H260))),1,"")</f>
        <v/>
      </c>
      <c r="W260" s="324">
        <f>IF(OR(ISNUMBER(SEARCH("금3",$H260)),ISNUMBER(SEARCH("금1.3",$H260)),ISNUMBER(SEARCH("금2.3",$H260)),ISNUMBER(SEARCH("금1.2.3",$H260))),1,"")</f>
        <v/>
      </c>
      <c r="X260" s="324">
        <f>IF(ISNUMBER(SEARCH("토1",$H260)),1,"")</f>
        <v/>
      </c>
      <c r="Y260" s="324">
        <f>IF(OR(ISNUMBER(SEARCH("토2",$H260)),ISNUMBER(SEARCH("토1.2",$H260))),1,"")</f>
        <v/>
      </c>
      <c r="Z260" s="324">
        <f>IF(OR(ISNUMBER(SEARCH("토3",$H260)),ISNUMBER(SEARCH("토1.3",$H260)),ISNUMBER(SEARCH("토2.3",$H260)),ISNUMBER(SEARCH("토1.2.3",$H260))),1,"")</f>
        <v/>
      </c>
      <c r="AA260" s="324">
        <f>IF(ISNUMBER(SEARCH("일1",$H260)),1,"")</f>
        <v/>
      </c>
      <c r="AB260" s="324">
        <f>IF(OR(ISNUMBER(SEARCH("일2",$H260)),ISNUMBER(SEARCH("일1.2",$H260))),1,"")</f>
        <v/>
      </c>
      <c r="AC260" s="324">
        <f>IF(OR(ISNUMBER(SEARCH("일3",$H260)),ISNUMBER(SEARCH("일1.3",$H260)),ISNUMBER(SEARCH("일2.3",$H260)),ISNUMBER(SEARCH("일1.2.3",$H260))),1,"")</f>
        <v/>
      </c>
      <c r="AD260" s="324">
        <f>SUM(I260:AC260)</f>
        <v/>
      </c>
      <c r="AE260" s="328" t="n"/>
    </row>
    <row r="261" ht="27" customHeight="1">
      <c r="A261" s="336" t="n"/>
      <c r="B261" s="337" t="n"/>
      <c r="C261" s="337" t="n"/>
      <c r="D261" s="337" t="n"/>
      <c r="E261" s="337" t="n"/>
      <c r="F261" s="337" t="n"/>
      <c r="G261" s="337" t="n"/>
      <c r="H261" s="337" t="n"/>
      <c r="I261" s="337" t="n"/>
      <c r="J261" s="337" t="n"/>
      <c r="K261" s="337" t="n"/>
      <c r="L261" s="337" t="n"/>
      <c r="M261" s="337" t="n"/>
      <c r="N261" s="337" t="n"/>
      <c r="O261" s="337" t="n"/>
      <c r="P261" s="337" t="n"/>
      <c r="Q261" s="337" t="n"/>
      <c r="R261" s="337" t="n"/>
      <c r="S261" s="337" t="n"/>
      <c r="T261" s="337" t="n"/>
      <c r="U261" s="337" t="n"/>
      <c r="V261" s="337" t="n"/>
      <c r="W261" s="337" t="n"/>
      <c r="X261" s="337" t="n"/>
      <c r="Y261" s="337" t="n"/>
      <c r="Z261" s="337" t="n"/>
      <c r="AA261" s="337" t="n"/>
      <c r="AB261" s="337" t="n"/>
      <c r="AC261" s="337" t="n"/>
      <c r="AD261" s="337" t="n"/>
      <c r="AE261" s="338" t="n"/>
    </row>
    <row r="262" ht="24" customHeight="1">
      <c r="A262" s="166" t="n"/>
      <c r="B262" s="314" t="n"/>
      <c r="C262" s="314" t="n"/>
      <c r="D262" s="314" t="n"/>
      <c r="E262" s="339" t="n"/>
      <c r="F262" s="339" t="n"/>
      <c r="G262" s="340" t="n"/>
      <c r="H262" s="317" t="n"/>
      <c r="I262" s="314">
        <f>IF(ISNUMBER(SEARCH("월1",$H262)),1,"")</f>
        <v/>
      </c>
      <c r="J262" s="314">
        <f>IF(OR(ISNUMBER(SEARCH("월2",$H262)),ISNUMBER(SEARCH("월1.2",$H262))),1,"")</f>
        <v/>
      </c>
      <c r="K262" s="314">
        <f>IF(OR(ISNUMBER(SEARCH("월3",$H262)),ISNUMBER(SEARCH("월1.3",$H262)),ISNUMBER(SEARCH("월2.3",$H262)),ISNUMBER(SEARCH("월1.2.3",$H262))),1,"")</f>
        <v/>
      </c>
      <c r="L262" s="314">
        <f>IF(ISNUMBER(SEARCH("화1",$H262)),1,"")</f>
        <v/>
      </c>
      <c r="M262" s="314">
        <f>IF(OR(ISNUMBER(SEARCH("화2",$H262)),ISNUMBER(SEARCH("화1.2",$H262))),1,"")</f>
        <v/>
      </c>
      <c r="N262" s="314">
        <f>IF(OR(ISNUMBER(SEARCH("화3",$H262)),ISNUMBER(SEARCH("화1.3",$H262)),ISNUMBER(SEARCH("화2.3",$H262)),ISNUMBER(SEARCH("화1.2.3",$H262))),1,"")</f>
        <v/>
      </c>
      <c r="O262" s="314">
        <f>IF(ISNUMBER(SEARCH("수1",$H262)),1,"")</f>
        <v/>
      </c>
      <c r="P262" s="314">
        <f>IF(OR(ISNUMBER(SEARCH("수2",$H262)),ISNUMBER(SEARCH("수1.2",$H262))),1,"")</f>
        <v/>
      </c>
      <c r="Q262" s="314">
        <f>IF(OR(ISNUMBER(SEARCH("수3",$H262)),ISNUMBER(SEARCH("수1.3",$H262)),ISNUMBER(SEARCH("수2.3",$H262)),ISNUMBER(SEARCH("수1.2.3",$H262))),1,"")</f>
        <v/>
      </c>
      <c r="R262" s="314">
        <f>IF(ISNUMBER(SEARCH("목1",$H262)),1,"")</f>
        <v/>
      </c>
      <c r="S262" s="314">
        <f>IF(OR(ISNUMBER(SEARCH("목2",$H262)),ISNUMBER(SEARCH("목1.2",$H262))),1,"")</f>
        <v/>
      </c>
      <c r="T262" s="314">
        <f>IF(OR(ISNUMBER(SEARCH("목3",$H262)),ISNUMBER(SEARCH("목1.3",$H262)),ISNUMBER(SEARCH("목2.3",$H262)),ISNUMBER(SEARCH("목1.2.3",$H262))),1,"")</f>
        <v/>
      </c>
      <c r="U262" s="314">
        <f>IF(ISNUMBER(SEARCH("금1",$H262)),1,"")</f>
        <v/>
      </c>
      <c r="V262" s="314">
        <f>IF(OR(ISNUMBER(SEARCH("금2",$H262)),ISNUMBER(SEARCH("금1.2",$H262))),1,"")</f>
        <v/>
      </c>
      <c r="W262" s="314">
        <f>IF(OR(ISNUMBER(SEARCH("금3",$H262)),ISNUMBER(SEARCH("금1.3",$H262)),ISNUMBER(SEARCH("금2.3",$H262)),ISNUMBER(SEARCH("금1.2.3",$H262))),1,"")</f>
        <v/>
      </c>
      <c r="X262" s="314">
        <f>IF(ISNUMBER(SEARCH("토1",$H262)),1,"")</f>
        <v/>
      </c>
      <c r="Y262" s="314">
        <f>IF(OR(ISNUMBER(SEARCH("토2",$H262)),ISNUMBER(SEARCH("토1.2",$H262))),1,"")</f>
        <v/>
      </c>
      <c r="Z262" s="314">
        <f>IF(OR(ISNUMBER(SEARCH("토3",$H262)),ISNUMBER(SEARCH("토1.3",$H262)),ISNUMBER(SEARCH("토2.3",$H262)),ISNUMBER(SEARCH("토1.2.3",$H262))),1,"")</f>
        <v/>
      </c>
      <c r="AA262" s="314">
        <f>IF(ISNUMBER(SEARCH("일1",$H262)),1,"")</f>
        <v/>
      </c>
      <c r="AB262" s="314">
        <f>IF(OR(ISNUMBER(SEARCH("일2",$H262)),ISNUMBER(SEARCH("일1.2",$H262))),1,"")</f>
        <v/>
      </c>
      <c r="AC262" s="314">
        <f>IF(OR(ISNUMBER(SEARCH("일3",$H262)),ISNUMBER(SEARCH("일1.3",$H262)),ISNUMBER(SEARCH("일2.3",$H262)),ISNUMBER(SEARCH("일1.2.3",$H262))),1,"")</f>
        <v/>
      </c>
      <c r="AD262" s="314">
        <f>SUM(I262:AC262)</f>
        <v/>
      </c>
      <c r="AE262" s="318" t="n"/>
    </row>
    <row r="263" ht="24" customHeight="1">
      <c r="A263" s="168" t="n"/>
      <c r="B263" s="319" t="n"/>
      <c r="C263" s="319" t="n"/>
      <c r="D263" s="319" t="n"/>
      <c r="E263" s="341" t="n"/>
      <c r="F263" s="341" t="n"/>
      <c r="G263" s="342" t="n"/>
      <c r="H263" s="322" t="n"/>
      <c r="I263" s="319">
        <f>IF(ISNUMBER(SEARCH("월1",$H263)),1,"")</f>
        <v/>
      </c>
      <c r="J263" s="319">
        <f>IF(OR(ISNUMBER(SEARCH("월2",$H263)),ISNUMBER(SEARCH("월1.2",$H263))),1,"")</f>
        <v/>
      </c>
      <c r="K263" s="319">
        <f>IF(OR(ISNUMBER(SEARCH("월3",$H263)),ISNUMBER(SEARCH("월1.3",$H263)),ISNUMBER(SEARCH("월2.3",$H263)),ISNUMBER(SEARCH("월1.2.3",$H263))),1,"")</f>
        <v/>
      </c>
      <c r="L263" s="319">
        <f>IF(ISNUMBER(SEARCH("화1",$H263)),1,"")</f>
        <v/>
      </c>
      <c r="M263" s="319">
        <f>IF(OR(ISNUMBER(SEARCH("화2",$H263)),ISNUMBER(SEARCH("화1.2",$H263))),1,"")</f>
        <v/>
      </c>
      <c r="N263" s="319">
        <f>IF(OR(ISNUMBER(SEARCH("화3",$H263)),ISNUMBER(SEARCH("화1.3",$H263)),ISNUMBER(SEARCH("화2.3",$H263)),ISNUMBER(SEARCH("화1.2.3",$H263))),1,"")</f>
        <v/>
      </c>
      <c r="O263" s="319">
        <f>IF(ISNUMBER(SEARCH("수1",$H263)),1,"")</f>
        <v/>
      </c>
      <c r="P263" s="319">
        <f>IF(OR(ISNUMBER(SEARCH("수2",$H263)),ISNUMBER(SEARCH("수1.2",$H263))),1,"")</f>
        <v/>
      </c>
      <c r="Q263" s="319">
        <f>IF(OR(ISNUMBER(SEARCH("수3",$H263)),ISNUMBER(SEARCH("수1.3",$H263)),ISNUMBER(SEARCH("수2.3",$H263)),ISNUMBER(SEARCH("수1.2.3",$H263))),1,"")</f>
        <v/>
      </c>
      <c r="R263" s="319">
        <f>IF(ISNUMBER(SEARCH("목1",$H263)),1,"")</f>
        <v/>
      </c>
      <c r="S263" s="319">
        <f>IF(OR(ISNUMBER(SEARCH("목2",$H263)),ISNUMBER(SEARCH("목1.2",$H263))),1,"")</f>
        <v/>
      </c>
      <c r="T263" s="319">
        <f>IF(OR(ISNUMBER(SEARCH("목3",$H263)),ISNUMBER(SEARCH("목1.3",$H263)),ISNUMBER(SEARCH("목2.3",$H263)),ISNUMBER(SEARCH("목1.2.3",$H263))),1,"")</f>
        <v/>
      </c>
      <c r="U263" s="319">
        <f>IF(ISNUMBER(SEARCH("금1",$H263)),1,"")</f>
        <v/>
      </c>
      <c r="V263" s="319">
        <f>IF(OR(ISNUMBER(SEARCH("금2",$H263)),ISNUMBER(SEARCH("금1.2",$H263))),1,"")</f>
        <v/>
      </c>
      <c r="W263" s="319">
        <f>IF(OR(ISNUMBER(SEARCH("금3",$H263)),ISNUMBER(SEARCH("금1.3",$H263)),ISNUMBER(SEARCH("금2.3",$H263)),ISNUMBER(SEARCH("금1.2.3",$H263))),1,"")</f>
        <v/>
      </c>
      <c r="X263" s="319">
        <f>IF(ISNUMBER(SEARCH("토1",$H263)),1,"")</f>
        <v/>
      </c>
      <c r="Y263" s="319">
        <f>IF(OR(ISNUMBER(SEARCH("토2",$H263)),ISNUMBER(SEARCH("토1.2",$H263))),1,"")</f>
        <v/>
      </c>
      <c r="Z263" s="319">
        <f>IF(OR(ISNUMBER(SEARCH("토3",$H263)),ISNUMBER(SEARCH("토1.3",$H263)),ISNUMBER(SEARCH("토2.3",$H263)),ISNUMBER(SEARCH("토1.2.3",$H263))),1,"")</f>
        <v/>
      </c>
      <c r="AA263" s="319">
        <f>IF(ISNUMBER(SEARCH("일1",$H263)),1,"")</f>
        <v/>
      </c>
      <c r="AB263" s="319">
        <f>IF(OR(ISNUMBER(SEARCH("일2",$H263)),ISNUMBER(SEARCH("일1.2",$H263))),1,"")</f>
        <v/>
      </c>
      <c r="AC263" s="319">
        <f>IF(OR(ISNUMBER(SEARCH("일3",$H263)),ISNUMBER(SEARCH("일1.3",$H263)),ISNUMBER(SEARCH("일2.3",$H263)),ISNUMBER(SEARCH("일1.2.3",$H263))),1,"")</f>
        <v/>
      </c>
      <c r="AD263" s="319">
        <f>SUM(I263:AC263)</f>
        <v/>
      </c>
      <c r="AE263" s="323" t="n"/>
    </row>
    <row r="264" ht="24" customHeight="1">
      <c r="A264" s="168" t="n"/>
      <c r="B264" s="319" t="n"/>
      <c r="C264" s="319" t="n"/>
      <c r="D264" s="319" t="n"/>
      <c r="E264" s="341" t="n"/>
      <c r="F264" s="341" t="n"/>
      <c r="G264" s="342" t="n"/>
      <c r="H264" s="322" t="n"/>
      <c r="I264" s="319">
        <f>IF(ISNUMBER(SEARCH("월1",$H264)),1,"")</f>
        <v/>
      </c>
      <c r="J264" s="319">
        <f>IF(OR(ISNUMBER(SEARCH("월2",$H264)),ISNUMBER(SEARCH("월1.2",$H264))),1,"")</f>
        <v/>
      </c>
      <c r="K264" s="319">
        <f>IF(OR(ISNUMBER(SEARCH("월3",$H264)),ISNUMBER(SEARCH("월1.3",$H264)),ISNUMBER(SEARCH("월2.3",$H264)),ISNUMBER(SEARCH("월1.2.3",$H264))),1,"")</f>
        <v/>
      </c>
      <c r="L264" s="319">
        <f>IF(ISNUMBER(SEARCH("화1",$H264)),1,"")</f>
        <v/>
      </c>
      <c r="M264" s="319">
        <f>IF(OR(ISNUMBER(SEARCH("화2",$H264)),ISNUMBER(SEARCH("화1.2",$H264))),1,"")</f>
        <v/>
      </c>
      <c r="N264" s="319">
        <f>IF(OR(ISNUMBER(SEARCH("화3",$H264)),ISNUMBER(SEARCH("화1.3",$H264)),ISNUMBER(SEARCH("화2.3",$H264)),ISNUMBER(SEARCH("화1.2.3",$H264))),1,"")</f>
        <v/>
      </c>
      <c r="O264" s="319">
        <f>IF(ISNUMBER(SEARCH("수1",$H264)),1,"")</f>
        <v/>
      </c>
      <c r="P264" s="319">
        <f>IF(OR(ISNUMBER(SEARCH("수2",$H264)),ISNUMBER(SEARCH("수1.2",$H264))),1,"")</f>
        <v/>
      </c>
      <c r="Q264" s="319">
        <f>IF(OR(ISNUMBER(SEARCH("수3",$H264)),ISNUMBER(SEARCH("수1.3",$H264)),ISNUMBER(SEARCH("수2.3",$H264)),ISNUMBER(SEARCH("수1.2.3",$H264))),1,"")</f>
        <v/>
      </c>
      <c r="R264" s="319">
        <f>IF(ISNUMBER(SEARCH("목1",$H264)),1,"")</f>
        <v/>
      </c>
      <c r="S264" s="319">
        <f>IF(OR(ISNUMBER(SEARCH("목2",$H264)),ISNUMBER(SEARCH("목1.2",$H264))),1,"")</f>
        <v/>
      </c>
      <c r="T264" s="319">
        <f>IF(OR(ISNUMBER(SEARCH("목3",$H264)),ISNUMBER(SEARCH("목1.3",$H264)),ISNUMBER(SEARCH("목2.3",$H264)),ISNUMBER(SEARCH("목1.2.3",$H264))),1,"")</f>
        <v/>
      </c>
      <c r="U264" s="319">
        <f>IF(ISNUMBER(SEARCH("금1",$H264)),1,"")</f>
        <v/>
      </c>
      <c r="V264" s="319">
        <f>IF(OR(ISNUMBER(SEARCH("금2",$H264)),ISNUMBER(SEARCH("금1.2",$H264))),1,"")</f>
        <v/>
      </c>
      <c r="W264" s="319">
        <f>IF(OR(ISNUMBER(SEARCH("금3",$H264)),ISNUMBER(SEARCH("금1.3",$H264)),ISNUMBER(SEARCH("금2.3",$H264)),ISNUMBER(SEARCH("금1.2.3",$H264))),1,"")</f>
        <v/>
      </c>
      <c r="X264" s="319">
        <f>IF(ISNUMBER(SEARCH("토1",$H264)),1,"")</f>
        <v/>
      </c>
      <c r="Y264" s="319">
        <f>IF(OR(ISNUMBER(SEARCH("토2",$H264)),ISNUMBER(SEARCH("토1.2",$H264))),1,"")</f>
        <v/>
      </c>
      <c r="Z264" s="319">
        <f>IF(OR(ISNUMBER(SEARCH("토3",$H264)),ISNUMBER(SEARCH("토1.3",$H264)),ISNUMBER(SEARCH("토2.3",$H264)),ISNUMBER(SEARCH("토1.2.3",$H264))),1,"")</f>
        <v/>
      </c>
      <c r="AA264" s="319">
        <f>IF(ISNUMBER(SEARCH("일1",$H264)),1,"")</f>
        <v/>
      </c>
      <c r="AB264" s="319">
        <f>IF(OR(ISNUMBER(SEARCH("일2",$H264)),ISNUMBER(SEARCH("일1.2",$H264))),1,"")</f>
        <v/>
      </c>
      <c r="AC264" s="319">
        <f>IF(OR(ISNUMBER(SEARCH("일3",$H264)),ISNUMBER(SEARCH("일1.3",$H264)),ISNUMBER(SEARCH("일2.3",$H264)),ISNUMBER(SEARCH("일1.2.3",$H264))),1,"")</f>
        <v/>
      </c>
      <c r="AD264" s="319">
        <f>SUM(I264:AC264)</f>
        <v/>
      </c>
      <c r="AE264" s="323" t="n"/>
    </row>
    <row r="265" ht="24" customHeight="1">
      <c r="A265" s="168" t="n"/>
      <c r="B265" s="319" t="n"/>
      <c r="C265" s="319" t="n"/>
      <c r="D265" s="319" t="n"/>
      <c r="E265" s="341" t="n"/>
      <c r="F265" s="341" t="n"/>
      <c r="G265" s="342" t="n"/>
      <c r="H265" s="322" t="n"/>
      <c r="I265" s="319">
        <f>IF(ISNUMBER(SEARCH("월1",$H265)),1,"")</f>
        <v/>
      </c>
      <c r="J265" s="319">
        <f>IF(OR(ISNUMBER(SEARCH("월2",$H265)),ISNUMBER(SEARCH("월1.2",$H265))),1,"")</f>
        <v/>
      </c>
      <c r="K265" s="319">
        <f>IF(OR(ISNUMBER(SEARCH("월3",$H265)),ISNUMBER(SEARCH("월1.3",$H265)),ISNUMBER(SEARCH("월2.3",$H265)),ISNUMBER(SEARCH("월1.2.3",$H265))),1,"")</f>
        <v/>
      </c>
      <c r="L265" s="319">
        <f>IF(ISNUMBER(SEARCH("화1",$H265)),1,"")</f>
        <v/>
      </c>
      <c r="M265" s="319">
        <f>IF(OR(ISNUMBER(SEARCH("화2",$H265)),ISNUMBER(SEARCH("화1.2",$H265))),1,"")</f>
        <v/>
      </c>
      <c r="N265" s="319">
        <f>IF(OR(ISNUMBER(SEARCH("화3",$H265)),ISNUMBER(SEARCH("화1.3",$H265)),ISNUMBER(SEARCH("화2.3",$H265)),ISNUMBER(SEARCH("화1.2.3",$H265))),1,"")</f>
        <v/>
      </c>
      <c r="O265" s="319">
        <f>IF(ISNUMBER(SEARCH("수1",$H265)),1,"")</f>
        <v/>
      </c>
      <c r="P265" s="319">
        <f>IF(OR(ISNUMBER(SEARCH("수2",$H265)),ISNUMBER(SEARCH("수1.2",$H265))),1,"")</f>
        <v/>
      </c>
      <c r="Q265" s="319">
        <f>IF(OR(ISNUMBER(SEARCH("수3",$H265)),ISNUMBER(SEARCH("수1.3",$H265)),ISNUMBER(SEARCH("수2.3",$H265)),ISNUMBER(SEARCH("수1.2.3",$H265))),1,"")</f>
        <v/>
      </c>
      <c r="R265" s="319">
        <f>IF(ISNUMBER(SEARCH("목1",$H265)),1,"")</f>
        <v/>
      </c>
      <c r="S265" s="319">
        <f>IF(OR(ISNUMBER(SEARCH("목2",$H265)),ISNUMBER(SEARCH("목1.2",$H265))),1,"")</f>
        <v/>
      </c>
      <c r="T265" s="319">
        <f>IF(OR(ISNUMBER(SEARCH("목3",$H265)),ISNUMBER(SEARCH("목1.3",$H265)),ISNUMBER(SEARCH("목2.3",$H265)),ISNUMBER(SEARCH("목1.2.3",$H265))),1,"")</f>
        <v/>
      </c>
      <c r="U265" s="319">
        <f>IF(ISNUMBER(SEARCH("금1",$H265)),1,"")</f>
        <v/>
      </c>
      <c r="V265" s="319">
        <f>IF(OR(ISNUMBER(SEARCH("금2",$H265)),ISNUMBER(SEARCH("금1.2",$H265))),1,"")</f>
        <v/>
      </c>
      <c r="W265" s="319">
        <f>IF(OR(ISNUMBER(SEARCH("금3",$H265)),ISNUMBER(SEARCH("금1.3",$H265)),ISNUMBER(SEARCH("금2.3",$H265)),ISNUMBER(SEARCH("금1.2.3",$H265))),1,"")</f>
        <v/>
      </c>
      <c r="X265" s="319">
        <f>IF(ISNUMBER(SEARCH("토1",$H265)),1,"")</f>
        <v/>
      </c>
      <c r="Y265" s="319">
        <f>IF(OR(ISNUMBER(SEARCH("토2",$H265)),ISNUMBER(SEARCH("토1.2",$H265))),1,"")</f>
        <v/>
      </c>
      <c r="Z265" s="319">
        <f>IF(OR(ISNUMBER(SEARCH("토3",$H265)),ISNUMBER(SEARCH("토1.3",$H265)),ISNUMBER(SEARCH("토2.3",$H265)),ISNUMBER(SEARCH("토1.2.3",$H265))),1,"")</f>
        <v/>
      </c>
      <c r="AA265" s="319">
        <f>IF(ISNUMBER(SEARCH("일1",$H265)),1,"")</f>
        <v/>
      </c>
      <c r="AB265" s="319">
        <f>IF(OR(ISNUMBER(SEARCH("일2",$H265)),ISNUMBER(SEARCH("일1.2",$H265))),1,"")</f>
        <v/>
      </c>
      <c r="AC265" s="319">
        <f>IF(OR(ISNUMBER(SEARCH("일3",$H265)),ISNUMBER(SEARCH("일1.3",$H265)),ISNUMBER(SEARCH("일2.3",$H265)),ISNUMBER(SEARCH("일1.2.3",$H265))),1,"")</f>
        <v/>
      </c>
      <c r="AD265" s="319">
        <f>SUM(I265:AC265)</f>
        <v/>
      </c>
      <c r="AE265" s="323" t="n"/>
    </row>
    <row r="266" ht="24" customHeight="1">
      <c r="A266" s="168" t="n"/>
      <c r="B266" s="319" t="n"/>
      <c r="C266" s="319" t="n"/>
      <c r="D266" s="319" t="n"/>
      <c r="E266" s="341" t="n"/>
      <c r="F266" s="341" t="n"/>
      <c r="G266" s="342" t="n"/>
      <c r="H266" s="322" t="n"/>
      <c r="I266" s="319">
        <f>IF(ISNUMBER(SEARCH("월1",$H266)),1,"")</f>
        <v/>
      </c>
      <c r="J266" s="319">
        <f>IF(OR(ISNUMBER(SEARCH("월2",$H266)),ISNUMBER(SEARCH("월1.2",$H266))),1,"")</f>
        <v/>
      </c>
      <c r="K266" s="319">
        <f>IF(OR(ISNUMBER(SEARCH("월3",$H266)),ISNUMBER(SEARCH("월1.3",$H266)),ISNUMBER(SEARCH("월2.3",$H266)),ISNUMBER(SEARCH("월1.2.3",$H266))),1,"")</f>
        <v/>
      </c>
      <c r="L266" s="319">
        <f>IF(ISNUMBER(SEARCH("화1",$H266)),1,"")</f>
        <v/>
      </c>
      <c r="M266" s="319">
        <f>IF(OR(ISNUMBER(SEARCH("화2",$H266)),ISNUMBER(SEARCH("화1.2",$H266))),1,"")</f>
        <v/>
      </c>
      <c r="N266" s="319">
        <f>IF(OR(ISNUMBER(SEARCH("화3",$H266)),ISNUMBER(SEARCH("화1.3",$H266)),ISNUMBER(SEARCH("화2.3",$H266)),ISNUMBER(SEARCH("화1.2.3",$H266))),1,"")</f>
        <v/>
      </c>
      <c r="O266" s="319">
        <f>IF(ISNUMBER(SEARCH("수1",$H266)),1,"")</f>
        <v/>
      </c>
      <c r="P266" s="319">
        <f>IF(OR(ISNUMBER(SEARCH("수2",$H266)),ISNUMBER(SEARCH("수1.2",$H266))),1,"")</f>
        <v/>
      </c>
      <c r="Q266" s="319">
        <f>IF(OR(ISNUMBER(SEARCH("수3",$H266)),ISNUMBER(SEARCH("수1.3",$H266)),ISNUMBER(SEARCH("수2.3",$H266)),ISNUMBER(SEARCH("수1.2.3",$H266))),1,"")</f>
        <v/>
      </c>
      <c r="R266" s="319">
        <f>IF(ISNUMBER(SEARCH("목1",$H266)),1,"")</f>
        <v/>
      </c>
      <c r="S266" s="319">
        <f>IF(OR(ISNUMBER(SEARCH("목2",$H266)),ISNUMBER(SEARCH("목1.2",$H266))),1,"")</f>
        <v/>
      </c>
      <c r="T266" s="319">
        <f>IF(OR(ISNUMBER(SEARCH("목3",$H266)),ISNUMBER(SEARCH("목1.3",$H266)),ISNUMBER(SEARCH("목2.3",$H266)),ISNUMBER(SEARCH("목1.2.3",$H266))),1,"")</f>
        <v/>
      </c>
      <c r="U266" s="319">
        <f>IF(ISNUMBER(SEARCH("금1",$H266)),1,"")</f>
        <v/>
      </c>
      <c r="V266" s="319">
        <f>IF(OR(ISNUMBER(SEARCH("금2",$H266)),ISNUMBER(SEARCH("금1.2",$H266))),1,"")</f>
        <v/>
      </c>
      <c r="W266" s="319">
        <f>IF(OR(ISNUMBER(SEARCH("금3",$H266)),ISNUMBER(SEARCH("금1.3",$H266)),ISNUMBER(SEARCH("금2.3",$H266)),ISNUMBER(SEARCH("금1.2.3",$H266))),1,"")</f>
        <v/>
      </c>
      <c r="X266" s="319">
        <f>IF(ISNUMBER(SEARCH("토1",$H266)),1,"")</f>
        <v/>
      </c>
      <c r="Y266" s="319">
        <f>IF(OR(ISNUMBER(SEARCH("토2",$H266)),ISNUMBER(SEARCH("토1.2",$H266))),1,"")</f>
        <v/>
      </c>
      <c r="Z266" s="319">
        <f>IF(OR(ISNUMBER(SEARCH("토3",$H266)),ISNUMBER(SEARCH("토1.3",$H266)),ISNUMBER(SEARCH("토2.3",$H266)),ISNUMBER(SEARCH("토1.2.3",$H266))),1,"")</f>
        <v/>
      </c>
      <c r="AA266" s="319">
        <f>IF(ISNUMBER(SEARCH("일1",$H266)),1,"")</f>
        <v/>
      </c>
      <c r="AB266" s="319">
        <f>IF(OR(ISNUMBER(SEARCH("일2",$H266)),ISNUMBER(SEARCH("일1.2",$H266))),1,"")</f>
        <v/>
      </c>
      <c r="AC266" s="319">
        <f>IF(OR(ISNUMBER(SEARCH("일3",$H266)),ISNUMBER(SEARCH("일1.3",$H266)),ISNUMBER(SEARCH("일2.3",$H266)),ISNUMBER(SEARCH("일1.2.3",$H266))),1,"")</f>
        <v/>
      </c>
      <c r="AD266" s="319">
        <f>SUM(I266:AC266)</f>
        <v/>
      </c>
      <c r="AE266" s="323" t="n"/>
    </row>
    <row r="267" ht="24" customHeight="1">
      <c r="A267" s="168" t="n"/>
      <c r="B267" s="319" t="n"/>
      <c r="C267" s="319" t="n"/>
      <c r="D267" s="319" t="n"/>
      <c r="E267" s="341" t="n"/>
      <c r="F267" s="341" t="n"/>
      <c r="G267" s="342" t="n"/>
      <c r="H267" s="322" t="n"/>
      <c r="I267" s="319">
        <f>IF(ISNUMBER(SEARCH("월1",$H267)),1,"")</f>
        <v/>
      </c>
      <c r="J267" s="319">
        <f>IF(OR(ISNUMBER(SEARCH("월2",$H267)),ISNUMBER(SEARCH("월1.2",$H267))),1,"")</f>
        <v/>
      </c>
      <c r="K267" s="319">
        <f>IF(OR(ISNUMBER(SEARCH("월3",$H267)),ISNUMBER(SEARCH("월1.3",$H267)),ISNUMBER(SEARCH("월2.3",$H267)),ISNUMBER(SEARCH("월1.2.3",$H267))),1,"")</f>
        <v/>
      </c>
      <c r="L267" s="319">
        <f>IF(ISNUMBER(SEARCH("화1",$H267)),1,"")</f>
        <v/>
      </c>
      <c r="M267" s="319">
        <f>IF(OR(ISNUMBER(SEARCH("화2",$H267)),ISNUMBER(SEARCH("화1.2",$H267))),1,"")</f>
        <v/>
      </c>
      <c r="N267" s="319">
        <f>IF(OR(ISNUMBER(SEARCH("화3",$H267)),ISNUMBER(SEARCH("화1.3",$H267)),ISNUMBER(SEARCH("화2.3",$H267)),ISNUMBER(SEARCH("화1.2.3",$H267))),1,"")</f>
        <v/>
      </c>
      <c r="O267" s="319">
        <f>IF(ISNUMBER(SEARCH("수1",$H267)),1,"")</f>
        <v/>
      </c>
      <c r="P267" s="319">
        <f>IF(OR(ISNUMBER(SEARCH("수2",$H267)),ISNUMBER(SEARCH("수1.2",$H267))),1,"")</f>
        <v/>
      </c>
      <c r="Q267" s="319">
        <f>IF(OR(ISNUMBER(SEARCH("수3",$H267)),ISNUMBER(SEARCH("수1.3",$H267)),ISNUMBER(SEARCH("수2.3",$H267)),ISNUMBER(SEARCH("수1.2.3",$H267))),1,"")</f>
        <v/>
      </c>
      <c r="R267" s="319">
        <f>IF(ISNUMBER(SEARCH("목1",$H267)),1,"")</f>
        <v/>
      </c>
      <c r="S267" s="319">
        <f>IF(OR(ISNUMBER(SEARCH("목2",$H267)),ISNUMBER(SEARCH("목1.2",$H267))),1,"")</f>
        <v/>
      </c>
      <c r="T267" s="319">
        <f>IF(OR(ISNUMBER(SEARCH("목3",$H267)),ISNUMBER(SEARCH("목1.3",$H267)),ISNUMBER(SEARCH("목2.3",$H267)),ISNUMBER(SEARCH("목1.2.3",$H267))),1,"")</f>
        <v/>
      </c>
      <c r="U267" s="319">
        <f>IF(ISNUMBER(SEARCH("금1",$H267)),1,"")</f>
        <v/>
      </c>
      <c r="V267" s="319">
        <f>IF(OR(ISNUMBER(SEARCH("금2",$H267)),ISNUMBER(SEARCH("금1.2",$H267))),1,"")</f>
        <v/>
      </c>
      <c r="W267" s="319">
        <f>IF(OR(ISNUMBER(SEARCH("금3",$H267)),ISNUMBER(SEARCH("금1.3",$H267)),ISNUMBER(SEARCH("금2.3",$H267)),ISNUMBER(SEARCH("금1.2.3",$H267))),1,"")</f>
        <v/>
      </c>
      <c r="X267" s="319">
        <f>IF(ISNUMBER(SEARCH("토1",$H267)),1,"")</f>
        <v/>
      </c>
      <c r="Y267" s="319">
        <f>IF(OR(ISNUMBER(SEARCH("토2",$H267)),ISNUMBER(SEARCH("토1.2",$H267))),1,"")</f>
        <v/>
      </c>
      <c r="Z267" s="319">
        <f>IF(OR(ISNUMBER(SEARCH("토3",$H267)),ISNUMBER(SEARCH("토1.3",$H267)),ISNUMBER(SEARCH("토2.3",$H267)),ISNUMBER(SEARCH("토1.2.3",$H267))),1,"")</f>
        <v/>
      </c>
      <c r="AA267" s="319">
        <f>IF(ISNUMBER(SEARCH("일1",$H267)),1,"")</f>
        <v/>
      </c>
      <c r="AB267" s="319">
        <f>IF(OR(ISNUMBER(SEARCH("일2",$H267)),ISNUMBER(SEARCH("일1.2",$H267))),1,"")</f>
        <v/>
      </c>
      <c r="AC267" s="319">
        <f>IF(OR(ISNUMBER(SEARCH("일3",$H267)),ISNUMBER(SEARCH("일1.3",$H267)),ISNUMBER(SEARCH("일2.3",$H267)),ISNUMBER(SEARCH("일1.2.3",$H267))),1,"")</f>
        <v/>
      </c>
      <c r="AD267" s="319">
        <f>SUM(I267:AC267)</f>
        <v/>
      </c>
      <c r="AE267" s="323" t="n"/>
    </row>
    <row r="268" ht="24" customHeight="1">
      <c r="A268" s="168" t="n"/>
      <c r="B268" s="319" t="n"/>
      <c r="C268" s="319" t="n"/>
      <c r="D268" s="319" t="n"/>
      <c r="E268" s="341" t="n"/>
      <c r="F268" s="341" t="n"/>
      <c r="G268" s="342" t="n"/>
      <c r="H268" s="322" t="n"/>
      <c r="I268" s="319">
        <f>IF(ISNUMBER(SEARCH("월1",$H268)),1,"")</f>
        <v/>
      </c>
      <c r="J268" s="319">
        <f>IF(OR(ISNUMBER(SEARCH("월2",$H268)),ISNUMBER(SEARCH("월1.2",$H268))),1,"")</f>
        <v/>
      </c>
      <c r="K268" s="319">
        <f>IF(OR(ISNUMBER(SEARCH("월3",$H268)),ISNUMBER(SEARCH("월1.3",$H268)),ISNUMBER(SEARCH("월2.3",$H268)),ISNUMBER(SEARCH("월1.2.3",$H268))),1,"")</f>
        <v/>
      </c>
      <c r="L268" s="319">
        <f>IF(ISNUMBER(SEARCH("화1",$H268)),1,"")</f>
        <v/>
      </c>
      <c r="M268" s="319">
        <f>IF(OR(ISNUMBER(SEARCH("화2",$H268)),ISNUMBER(SEARCH("화1.2",$H268))),1,"")</f>
        <v/>
      </c>
      <c r="N268" s="319">
        <f>IF(OR(ISNUMBER(SEARCH("화3",$H268)),ISNUMBER(SEARCH("화1.3",$H268)),ISNUMBER(SEARCH("화2.3",$H268)),ISNUMBER(SEARCH("화1.2.3",$H268))),1,"")</f>
        <v/>
      </c>
      <c r="O268" s="319">
        <f>IF(ISNUMBER(SEARCH("수1",$H268)),1,"")</f>
        <v/>
      </c>
      <c r="P268" s="319">
        <f>IF(OR(ISNUMBER(SEARCH("수2",$H268)),ISNUMBER(SEARCH("수1.2",$H268))),1,"")</f>
        <v/>
      </c>
      <c r="Q268" s="319">
        <f>IF(OR(ISNUMBER(SEARCH("수3",$H268)),ISNUMBER(SEARCH("수1.3",$H268)),ISNUMBER(SEARCH("수2.3",$H268)),ISNUMBER(SEARCH("수1.2.3",$H268))),1,"")</f>
        <v/>
      </c>
      <c r="R268" s="319">
        <f>IF(ISNUMBER(SEARCH("목1",$H268)),1,"")</f>
        <v/>
      </c>
      <c r="S268" s="319">
        <f>IF(OR(ISNUMBER(SEARCH("목2",$H268)),ISNUMBER(SEARCH("목1.2",$H268))),1,"")</f>
        <v/>
      </c>
      <c r="T268" s="319">
        <f>IF(OR(ISNUMBER(SEARCH("목3",$H268)),ISNUMBER(SEARCH("목1.3",$H268)),ISNUMBER(SEARCH("목2.3",$H268)),ISNUMBER(SEARCH("목1.2.3",$H268))),1,"")</f>
        <v/>
      </c>
      <c r="U268" s="319">
        <f>IF(ISNUMBER(SEARCH("금1",$H268)),1,"")</f>
        <v/>
      </c>
      <c r="V268" s="319">
        <f>IF(OR(ISNUMBER(SEARCH("금2",$H268)),ISNUMBER(SEARCH("금1.2",$H268))),1,"")</f>
        <v/>
      </c>
      <c r="W268" s="319">
        <f>IF(OR(ISNUMBER(SEARCH("금3",$H268)),ISNUMBER(SEARCH("금1.3",$H268)),ISNUMBER(SEARCH("금2.3",$H268)),ISNUMBER(SEARCH("금1.2.3",$H268))),1,"")</f>
        <v/>
      </c>
      <c r="X268" s="319">
        <f>IF(ISNUMBER(SEARCH("토1",$H268)),1,"")</f>
        <v/>
      </c>
      <c r="Y268" s="319">
        <f>IF(OR(ISNUMBER(SEARCH("토2",$H268)),ISNUMBER(SEARCH("토1.2",$H268))),1,"")</f>
        <v/>
      </c>
      <c r="Z268" s="319">
        <f>IF(OR(ISNUMBER(SEARCH("토3",$H268)),ISNUMBER(SEARCH("토1.3",$H268)),ISNUMBER(SEARCH("토2.3",$H268)),ISNUMBER(SEARCH("토1.2.3",$H268))),1,"")</f>
        <v/>
      </c>
      <c r="AA268" s="319">
        <f>IF(ISNUMBER(SEARCH("일1",$H268)),1,"")</f>
        <v/>
      </c>
      <c r="AB268" s="319">
        <f>IF(OR(ISNUMBER(SEARCH("일2",$H268)),ISNUMBER(SEARCH("일1.2",$H268))),1,"")</f>
        <v/>
      </c>
      <c r="AC268" s="319">
        <f>IF(OR(ISNUMBER(SEARCH("일3",$H268)),ISNUMBER(SEARCH("일1.3",$H268)),ISNUMBER(SEARCH("일2.3",$H268)),ISNUMBER(SEARCH("일1.2.3",$H268))),1,"")</f>
        <v/>
      </c>
      <c r="AD268" s="319">
        <f>SUM(I268:AC268)</f>
        <v/>
      </c>
      <c r="AE268" s="323" t="n"/>
    </row>
    <row r="269" ht="24" customHeight="1">
      <c r="A269" s="168" t="n"/>
      <c r="B269" s="319" t="n"/>
      <c r="C269" s="319" t="n"/>
      <c r="D269" s="319" t="n"/>
      <c r="E269" s="341" t="n"/>
      <c r="F269" s="341" t="n"/>
      <c r="G269" s="342" t="n"/>
      <c r="H269" s="322" t="n"/>
      <c r="I269" s="319">
        <f>IF(ISNUMBER(SEARCH("월1",$H269)),1,"")</f>
        <v/>
      </c>
      <c r="J269" s="319">
        <f>IF(OR(ISNUMBER(SEARCH("월2",$H269)),ISNUMBER(SEARCH("월1.2",$H269))),1,"")</f>
        <v/>
      </c>
      <c r="K269" s="319">
        <f>IF(OR(ISNUMBER(SEARCH("월3",$H269)),ISNUMBER(SEARCH("월1.3",$H269)),ISNUMBER(SEARCH("월2.3",$H269)),ISNUMBER(SEARCH("월1.2.3",$H269))),1,"")</f>
        <v/>
      </c>
      <c r="L269" s="319">
        <f>IF(ISNUMBER(SEARCH("화1",$H269)),1,"")</f>
        <v/>
      </c>
      <c r="M269" s="319">
        <f>IF(OR(ISNUMBER(SEARCH("화2",$H269)),ISNUMBER(SEARCH("화1.2",$H269))),1,"")</f>
        <v/>
      </c>
      <c r="N269" s="319">
        <f>IF(OR(ISNUMBER(SEARCH("화3",$H269)),ISNUMBER(SEARCH("화1.3",$H269)),ISNUMBER(SEARCH("화2.3",$H269)),ISNUMBER(SEARCH("화1.2.3",$H269))),1,"")</f>
        <v/>
      </c>
      <c r="O269" s="319">
        <f>IF(ISNUMBER(SEARCH("수1",$H269)),1,"")</f>
        <v/>
      </c>
      <c r="P269" s="319">
        <f>IF(OR(ISNUMBER(SEARCH("수2",$H269)),ISNUMBER(SEARCH("수1.2",$H269))),1,"")</f>
        <v/>
      </c>
      <c r="Q269" s="319">
        <f>IF(OR(ISNUMBER(SEARCH("수3",$H269)),ISNUMBER(SEARCH("수1.3",$H269)),ISNUMBER(SEARCH("수2.3",$H269)),ISNUMBER(SEARCH("수1.2.3",$H269))),1,"")</f>
        <v/>
      </c>
      <c r="R269" s="319">
        <f>IF(ISNUMBER(SEARCH("목1",$H269)),1,"")</f>
        <v/>
      </c>
      <c r="S269" s="319">
        <f>IF(OR(ISNUMBER(SEARCH("목2",$H269)),ISNUMBER(SEARCH("목1.2",$H269))),1,"")</f>
        <v/>
      </c>
      <c r="T269" s="319">
        <f>IF(OR(ISNUMBER(SEARCH("목3",$H269)),ISNUMBER(SEARCH("목1.3",$H269)),ISNUMBER(SEARCH("목2.3",$H269)),ISNUMBER(SEARCH("목1.2.3",$H269))),1,"")</f>
        <v/>
      </c>
      <c r="U269" s="319">
        <f>IF(ISNUMBER(SEARCH("금1",$H269)),1,"")</f>
        <v/>
      </c>
      <c r="V269" s="319">
        <f>IF(OR(ISNUMBER(SEARCH("금2",$H269)),ISNUMBER(SEARCH("금1.2",$H269))),1,"")</f>
        <v/>
      </c>
      <c r="W269" s="319">
        <f>IF(OR(ISNUMBER(SEARCH("금3",$H269)),ISNUMBER(SEARCH("금1.3",$H269)),ISNUMBER(SEARCH("금2.3",$H269)),ISNUMBER(SEARCH("금1.2.3",$H269))),1,"")</f>
        <v/>
      </c>
      <c r="X269" s="319">
        <f>IF(ISNUMBER(SEARCH("토1",$H269)),1,"")</f>
        <v/>
      </c>
      <c r="Y269" s="319">
        <f>IF(OR(ISNUMBER(SEARCH("토2",$H269)),ISNUMBER(SEARCH("토1.2",$H269))),1,"")</f>
        <v/>
      </c>
      <c r="Z269" s="319">
        <f>IF(OR(ISNUMBER(SEARCH("토3",$H269)),ISNUMBER(SEARCH("토1.3",$H269)),ISNUMBER(SEARCH("토2.3",$H269)),ISNUMBER(SEARCH("토1.2.3",$H269))),1,"")</f>
        <v/>
      </c>
      <c r="AA269" s="319">
        <f>IF(ISNUMBER(SEARCH("일1",$H269)),1,"")</f>
        <v/>
      </c>
      <c r="AB269" s="319">
        <f>IF(OR(ISNUMBER(SEARCH("일2",$H269)),ISNUMBER(SEARCH("일1.2",$H269))),1,"")</f>
        <v/>
      </c>
      <c r="AC269" s="319">
        <f>IF(OR(ISNUMBER(SEARCH("일3",$H269)),ISNUMBER(SEARCH("일1.3",$H269)),ISNUMBER(SEARCH("일2.3",$H269)),ISNUMBER(SEARCH("일1.2.3",$H269))),1,"")</f>
        <v/>
      </c>
      <c r="AD269" s="319">
        <f>SUM(I269:AC269)</f>
        <v/>
      </c>
      <c r="AE269" s="323" t="n"/>
    </row>
    <row r="270" ht="24" customHeight="1">
      <c r="A270" s="168" t="n"/>
      <c r="B270" s="319" t="n"/>
      <c r="C270" s="319" t="n"/>
      <c r="D270" s="319" t="n"/>
      <c r="E270" s="341" t="n"/>
      <c r="F270" s="341" t="n"/>
      <c r="G270" s="342" t="n"/>
      <c r="H270" s="322" t="n"/>
      <c r="I270" s="319">
        <f>IF(ISNUMBER(SEARCH("월1",$H270)),1,"")</f>
        <v/>
      </c>
      <c r="J270" s="319">
        <f>IF(OR(ISNUMBER(SEARCH("월2",$H270)),ISNUMBER(SEARCH("월1.2",$H270))),1,"")</f>
        <v/>
      </c>
      <c r="K270" s="319">
        <f>IF(OR(ISNUMBER(SEARCH("월3",$H270)),ISNUMBER(SEARCH("월1.3",$H270)),ISNUMBER(SEARCH("월2.3",$H270)),ISNUMBER(SEARCH("월1.2.3",$H270))),1,"")</f>
        <v/>
      </c>
      <c r="L270" s="319">
        <f>IF(ISNUMBER(SEARCH("화1",$H270)),1,"")</f>
        <v/>
      </c>
      <c r="M270" s="319">
        <f>IF(OR(ISNUMBER(SEARCH("화2",$H270)),ISNUMBER(SEARCH("화1.2",$H270))),1,"")</f>
        <v/>
      </c>
      <c r="N270" s="319">
        <f>IF(OR(ISNUMBER(SEARCH("화3",$H270)),ISNUMBER(SEARCH("화1.3",$H270)),ISNUMBER(SEARCH("화2.3",$H270)),ISNUMBER(SEARCH("화1.2.3",$H270))),1,"")</f>
        <v/>
      </c>
      <c r="O270" s="319">
        <f>IF(ISNUMBER(SEARCH("수1",$H270)),1,"")</f>
        <v/>
      </c>
      <c r="P270" s="319">
        <f>IF(OR(ISNUMBER(SEARCH("수2",$H270)),ISNUMBER(SEARCH("수1.2",$H270))),1,"")</f>
        <v/>
      </c>
      <c r="Q270" s="319">
        <f>IF(OR(ISNUMBER(SEARCH("수3",$H270)),ISNUMBER(SEARCH("수1.3",$H270)),ISNUMBER(SEARCH("수2.3",$H270)),ISNUMBER(SEARCH("수1.2.3",$H270))),1,"")</f>
        <v/>
      </c>
      <c r="R270" s="319">
        <f>IF(ISNUMBER(SEARCH("목1",$H270)),1,"")</f>
        <v/>
      </c>
      <c r="S270" s="319">
        <f>IF(OR(ISNUMBER(SEARCH("목2",$H270)),ISNUMBER(SEARCH("목1.2",$H270))),1,"")</f>
        <v/>
      </c>
      <c r="T270" s="319">
        <f>IF(OR(ISNUMBER(SEARCH("목3",$H270)),ISNUMBER(SEARCH("목1.3",$H270)),ISNUMBER(SEARCH("목2.3",$H270)),ISNUMBER(SEARCH("목1.2.3",$H270))),1,"")</f>
        <v/>
      </c>
      <c r="U270" s="319">
        <f>IF(ISNUMBER(SEARCH("금1",$H270)),1,"")</f>
        <v/>
      </c>
      <c r="V270" s="319">
        <f>IF(OR(ISNUMBER(SEARCH("금2",$H270)),ISNUMBER(SEARCH("금1.2",$H270))),1,"")</f>
        <v/>
      </c>
      <c r="W270" s="319">
        <f>IF(OR(ISNUMBER(SEARCH("금3",$H270)),ISNUMBER(SEARCH("금1.3",$H270)),ISNUMBER(SEARCH("금2.3",$H270)),ISNUMBER(SEARCH("금1.2.3",$H270))),1,"")</f>
        <v/>
      </c>
      <c r="X270" s="319">
        <f>IF(ISNUMBER(SEARCH("토1",$H270)),1,"")</f>
        <v/>
      </c>
      <c r="Y270" s="319">
        <f>IF(OR(ISNUMBER(SEARCH("토2",$H270)),ISNUMBER(SEARCH("토1.2",$H270))),1,"")</f>
        <v/>
      </c>
      <c r="Z270" s="319">
        <f>IF(OR(ISNUMBER(SEARCH("토3",$H270)),ISNUMBER(SEARCH("토1.3",$H270)),ISNUMBER(SEARCH("토2.3",$H270)),ISNUMBER(SEARCH("토1.2.3",$H270))),1,"")</f>
        <v/>
      </c>
      <c r="AA270" s="319">
        <f>IF(ISNUMBER(SEARCH("일1",$H270)),1,"")</f>
        <v/>
      </c>
      <c r="AB270" s="319">
        <f>IF(OR(ISNUMBER(SEARCH("일2",$H270)),ISNUMBER(SEARCH("일1.2",$H270))),1,"")</f>
        <v/>
      </c>
      <c r="AC270" s="319">
        <f>IF(OR(ISNUMBER(SEARCH("일3",$H270)),ISNUMBER(SEARCH("일1.3",$H270)),ISNUMBER(SEARCH("일2.3",$H270)),ISNUMBER(SEARCH("일1.2.3",$H270))),1,"")</f>
        <v/>
      </c>
      <c r="AD270" s="319">
        <f>SUM(I270:AC270)</f>
        <v/>
      </c>
      <c r="AE270" s="323" t="n"/>
    </row>
    <row r="271" ht="24" customHeight="1">
      <c r="A271" s="168" t="n"/>
      <c r="B271" s="319" t="n"/>
      <c r="C271" s="319" t="n"/>
      <c r="D271" s="319" t="n"/>
      <c r="E271" s="341" t="n"/>
      <c r="F271" s="341" t="n"/>
      <c r="G271" s="342" t="n"/>
      <c r="H271" s="322" t="n"/>
      <c r="I271" s="319">
        <f>IF(ISNUMBER(SEARCH("월1",$H271)),1,"")</f>
        <v/>
      </c>
      <c r="J271" s="319">
        <f>IF(OR(ISNUMBER(SEARCH("월2",$H271)),ISNUMBER(SEARCH("월1.2",$H271))),1,"")</f>
        <v/>
      </c>
      <c r="K271" s="319">
        <f>IF(OR(ISNUMBER(SEARCH("월3",$H271)),ISNUMBER(SEARCH("월1.3",$H271)),ISNUMBER(SEARCH("월2.3",$H271)),ISNUMBER(SEARCH("월1.2.3",$H271))),1,"")</f>
        <v/>
      </c>
      <c r="L271" s="319">
        <f>IF(ISNUMBER(SEARCH("화1",$H271)),1,"")</f>
        <v/>
      </c>
      <c r="M271" s="319">
        <f>IF(OR(ISNUMBER(SEARCH("화2",$H271)),ISNUMBER(SEARCH("화1.2",$H271))),1,"")</f>
        <v/>
      </c>
      <c r="N271" s="319">
        <f>IF(OR(ISNUMBER(SEARCH("화3",$H271)),ISNUMBER(SEARCH("화1.3",$H271)),ISNUMBER(SEARCH("화2.3",$H271)),ISNUMBER(SEARCH("화1.2.3",$H271))),1,"")</f>
        <v/>
      </c>
      <c r="O271" s="319">
        <f>IF(ISNUMBER(SEARCH("수1",$H271)),1,"")</f>
        <v/>
      </c>
      <c r="P271" s="319">
        <f>IF(OR(ISNUMBER(SEARCH("수2",$H271)),ISNUMBER(SEARCH("수1.2",$H271))),1,"")</f>
        <v/>
      </c>
      <c r="Q271" s="319">
        <f>IF(OR(ISNUMBER(SEARCH("수3",$H271)),ISNUMBER(SEARCH("수1.3",$H271)),ISNUMBER(SEARCH("수2.3",$H271)),ISNUMBER(SEARCH("수1.2.3",$H271))),1,"")</f>
        <v/>
      </c>
      <c r="R271" s="319">
        <f>IF(ISNUMBER(SEARCH("목1",$H271)),1,"")</f>
        <v/>
      </c>
      <c r="S271" s="319">
        <f>IF(OR(ISNUMBER(SEARCH("목2",$H271)),ISNUMBER(SEARCH("목1.2",$H271))),1,"")</f>
        <v/>
      </c>
      <c r="T271" s="319">
        <f>IF(OR(ISNUMBER(SEARCH("목3",$H271)),ISNUMBER(SEARCH("목1.3",$H271)),ISNUMBER(SEARCH("목2.3",$H271)),ISNUMBER(SEARCH("목1.2.3",$H271))),1,"")</f>
        <v/>
      </c>
      <c r="U271" s="319">
        <f>IF(ISNUMBER(SEARCH("금1",$H271)),1,"")</f>
        <v/>
      </c>
      <c r="V271" s="319">
        <f>IF(OR(ISNUMBER(SEARCH("금2",$H271)),ISNUMBER(SEARCH("금1.2",$H271))),1,"")</f>
        <v/>
      </c>
      <c r="W271" s="319">
        <f>IF(OR(ISNUMBER(SEARCH("금3",$H271)),ISNUMBER(SEARCH("금1.3",$H271)),ISNUMBER(SEARCH("금2.3",$H271)),ISNUMBER(SEARCH("금1.2.3",$H271))),1,"")</f>
        <v/>
      </c>
      <c r="X271" s="319">
        <f>IF(ISNUMBER(SEARCH("토1",$H271)),1,"")</f>
        <v/>
      </c>
      <c r="Y271" s="319">
        <f>IF(OR(ISNUMBER(SEARCH("토2",$H271)),ISNUMBER(SEARCH("토1.2",$H271))),1,"")</f>
        <v/>
      </c>
      <c r="Z271" s="319">
        <f>IF(OR(ISNUMBER(SEARCH("토3",$H271)),ISNUMBER(SEARCH("토1.3",$H271)),ISNUMBER(SEARCH("토2.3",$H271)),ISNUMBER(SEARCH("토1.2.3",$H271))),1,"")</f>
        <v/>
      </c>
      <c r="AA271" s="319">
        <f>IF(ISNUMBER(SEARCH("일1",$H271)),1,"")</f>
        <v/>
      </c>
      <c r="AB271" s="319">
        <f>IF(OR(ISNUMBER(SEARCH("일2",$H271)),ISNUMBER(SEARCH("일1.2",$H271))),1,"")</f>
        <v/>
      </c>
      <c r="AC271" s="319">
        <f>IF(OR(ISNUMBER(SEARCH("일3",$H271)),ISNUMBER(SEARCH("일1.3",$H271)),ISNUMBER(SEARCH("일2.3",$H271)),ISNUMBER(SEARCH("일1.2.3",$H271))),1,"")</f>
        <v/>
      </c>
      <c r="AD271" s="319">
        <f>SUM(I271:AC271)</f>
        <v/>
      </c>
      <c r="AE271" s="323" t="n"/>
    </row>
    <row r="272" ht="24" customHeight="1">
      <c r="A272" s="168" t="n"/>
      <c r="B272" s="319" t="n"/>
      <c r="C272" s="319" t="n"/>
      <c r="D272" s="319" t="n"/>
      <c r="E272" s="341" t="n"/>
      <c r="F272" s="341" t="n"/>
      <c r="G272" s="342" t="n"/>
      <c r="H272" s="322" t="n"/>
      <c r="I272" s="319">
        <f>IF(ISNUMBER(SEARCH("월1",$H272)),1,"")</f>
        <v/>
      </c>
      <c r="J272" s="319">
        <f>IF(OR(ISNUMBER(SEARCH("월2",$H272)),ISNUMBER(SEARCH("월1.2",$H272))),1,"")</f>
        <v/>
      </c>
      <c r="K272" s="319">
        <f>IF(OR(ISNUMBER(SEARCH("월3",$H272)),ISNUMBER(SEARCH("월1.3",$H272)),ISNUMBER(SEARCH("월2.3",$H272)),ISNUMBER(SEARCH("월1.2.3",$H272))),1,"")</f>
        <v/>
      </c>
      <c r="L272" s="319">
        <f>IF(ISNUMBER(SEARCH("화1",$H272)),1,"")</f>
        <v/>
      </c>
      <c r="M272" s="319">
        <f>IF(OR(ISNUMBER(SEARCH("화2",$H272)),ISNUMBER(SEARCH("화1.2",$H272))),1,"")</f>
        <v/>
      </c>
      <c r="N272" s="319">
        <f>IF(OR(ISNUMBER(SEARCH("화3",$H272)),ISNUMBER(SEARCH("화1.3",$H272)),ISNUMBER(SEARCH("화2.3",$H272)),ISNUMBER(SEARCH("화1.2.3",$H272))),1,"")</f>
        <v/>
      </c>
      <c r="O272" s="319">
        <f>IF(ISNUMBER(SEARCH("수1",$H272)),1,"")</f>
        <v/>
      </c>
      <c r="P272" s="319">
        <f>IF(OR(ISNUMBER(SEARCH("수2",$H272)),ISNUMBER(SEARCH("수1.2",$H272))),1,"")</f>
        <v/>
      </c>
      <c r="Q272" s="319">
        <f>IF(OR(ISNUMBER(SEARCH("수3",$H272)),ISNUMBER(SEARCH("수1.3",$H272)),ISNUMBER(SEARCH("수2.3",$H272)),ISNUMBER(SEARCH("수1.2.3",$H272))),1,"")</f>
        <v/>
      </c>
      <c r="R272" s="319">
        <f>IF(ISNUMBER(SEARCH("목1",$H272)),1,"")</f>
        <v/>
      </c>
      <c r="S272" s="319">
        <f>IF(OR(ISNUMBER(SEARCH("목2",$H272)),ISNUMBER(SEARCH("목1.2",$H272))),1,"")</f>
        <v/>
      </c>
      <c r="T272" s="319">
        <f>IF(OR(ISNUMBER(SEARCH("목3",$H272)),ISNUMBER(SEARCH("목1.3",$H272)),ISNUMBER(SEARCH("목2.3",$H272)),ISNUMBER(SEARCH("목1.2.3",$H272))),1,"")</f>
        <v/>
      </c>
      <c r="U272" s="319">
        <f>IF(ISNUMBER(SEARCH("금1",$H272)),1,"")</f>
        <v/>
      </c>
      <c r="V272" s="319">
        <f>IF(OR(ISNUMBER(SEARCH("금2",$H272)),ISNUMBER(SEARCH("금1.2",$H272))),1,"")</f>
        <v/>
      </c>
      <c r="W272" s="319">
        <f>IF(OR(ISNUMBER(SEARCH("금3",$H272)),ISNUMBER(SEARCH("금1.3",$H272)),ISNUMBER(SEARCH("금2.3",$H272)),ISNUMBER(SEARCH("금1.2.3",$H272))),1,"")</f>
        <v/>
      </c>
      <c r="X272" s="319">
        <f>IF(ISNUMBER(SEARCH("토1",$H272)),1,"")</f>
        <v/>
      </c>
      <c r="Y272" s="319">
        <f>IF(OR(ISNUMBER(SEARCH("토2",$H272)),ISNUMBER(SEARCH("토1.2",$H272))),1,"")</f>
        <v/>
      </c>
      <c r="Z272" s="319">
        <f>IF(OR(ISNUMBER(SEARCH("토3",$H272)),ISNUMBER(SEARCH("토1.3",$H272)),ISNUMBER(SEARCH("토2.3",$H272)),ISNUMBER(SEARCH("토1.2.3",$H272))),1,"")</f>
        <v/>
      </c>
      <c r="AA272" s="319">
        <f>IF(ISNUMBER(SEARCH("일1",$H272)),1,"")</f>
        <v/>
      </c>
      <c r="AB272" s="319">
        <f>IF(OR(ISNUMBER(SEARCH("일2",$H272)),ISNUMBER(SEARCH("일1.2",$H272))),1,"")</f>
        <v/>
      </c>
      <c r="AC272" s="319">
        <f>IF(OR(ISNUMBER(SEARCH("일3",$H272)),ISNUMBER(SEARCH("일1.3",$H272)),ISNUMBER(SEARCH("일2.3",$H272)),ISNUMBER(SEARCH("일1.2.3",$H272))),1,"")</f>
        <v/>
      </c>
      <c r="AD272" s="319">
        <f>SUM(I272:AC272)</f>
        <v/>
      </c>
      <c r="AE272" s="323" t="n"/>
    </row>
    <row r="273" ht="24" customHeight="1">
      <c r="A273" s="168" t="n"/>
      <c r="B273" s="319" t="n"/>
      <c r="C273" s="319" t="n"/>
      <c r="D273" s="319" t="n"/>
      <c r="E273" s="341" t="n"/>
      <c r="F273" s="341" t="n"/>
      <c r="G273" s="342" t="n"/>
      <c r="H273" s="322" t="n"/>
      <c r="I273" s="319">
        <f>IF(ISNUMBER(SEARCH("월1",$H273)),1,"")</f>
        <v/>
      </c>
      <c r="J273" s="319">
        <f>IF(OR(ISNUMBER(SEARCH("월2",$H273)),ISNUMBER(SEARCH("월1.2",$H273))),1,"")</f>
        <v/>
      </c>
      <c r="K273" s="319">
        <f>IF(OR(ISNUMBER(SEARCH("월3",$H273)),ISNUMBER(SEARCH("월1.3",$H273)),ISNUMBER(SEARCH("월2.3",$H273)),ISNUMBER(SEARCH("월1.2.3",$H273))),1,"")</f>
        <v/>
      </c>
      <c r="L273" s="319">
        <f>IF(ISNUMBER(SEARCH("화1",$H273)),1,"")</f>
        <v/>
      </c>
      <c r="M273" s="319">
        <f>IF(OR(ISNUMBER(SEARCH("화2",$H273)),ISNUMBER(SEARCH("화1.2",$H273))),1,"")</f>
        <v/>
      </c>
      <c r="N273" s="319">
        <f>IF(OR(ISNUMBER(SEARCH("화3",$H273)),ISNUMBER(SEARCH("화1.3",$H273)),ISNUMBER(SEARCH("화2.3",$H273)),ISNUMBER(SEARCH("화1.2.3",$H273))),1,"")</f>
        <v/>
      </c>
      <c r="O273" s="319">
        <f>IF(ISNUMBER(SEARCH("수1",$H273)),1,"")</f>
        <v/>
      </c>
      <c r="P273" s="319">
        <f>IF(OR(ISNUMBER(SEARCH("수2",$H273)),ISNUMBER(SEARCH("수1.2",$H273))),1,"")</f>
        <v/>
      </c>
      <c r="Q273" s="319">
        <f>IF(OR(ISNUMBER(SEARCH("수3",$H273)),ISNUMBER(SEARCH("수1.3",$H273)),ISNUMBER(SEARCH("수2.3",$H273)),ISNUMBER(SEARCH("수1.2.3",$H273))),1,"")</f>
        <v/>
      </c>
      <c r="R273" s="319">
        <f>IF(ISNUMBER(SEARCH("목1",$H273)),1,"")</f>
        <v/>
      </c>
      <c r="S273" s="319">
        <f>IF(OR(ISNUMBER(SEARCH("목2",$H273)),ISNUMBER(SEARCH("목1.2",$H273))),1,"")</f>
        <v/>
      </c>
      <c r="T273" s="319">
        <f>IF(OR(ISNUMBER(SEARCH("목3",$H273)),ISNUMBER(SEARCH("목1.3",$H273)),ISNUMBER(SEARCH("목2.3",$H273)),ISNUMBER(SEARCH("목1.2.3",$H273))),1,"")</f>
        <v/>
      </c>
      <c r="U273" s="319">
        <f>IF(ISNUMBER(SEARCH("금1",$H273)),1,"")</f>
        <v/>
      </c>
      <c r="V273" s="319">
        <f>IF(OR(ISNUMBER(SEARCH("금2",$H273)),ISNUMBER(SEARCH("금1.2",$H273))),1,"")</f>
        <v/>
      </c>
      <c r="W273" s="319">
        <f>IF(OR(ISNUMBER(SEARCH("금3",$H273)),ISNUMBER(SEARCH("금1.3",$H273)),ISNUMBER(SEARCH("금2.3",$H273)),ISNUMBER(SEARCH("금1.2.3",$H273))),1,"")</f>
        <v/>
      </c>
      <c r="X273" s="319">
        <f>IF(ISNUMBER(SEARCH("토1",$H273)),1,"")</f>
        <v/>
      </c>
      <c r="Y273" s="319">
        <f>IF(OR(ISNUMBER(SEARCH("토2",$H273)),ISNUMBER(SEARCH("토1.2",$H273))),1,"")</f>
        <v/>
      </c>
      <c r="Z273" s="319">
        <f>IF(OR(ISNUMBER(SEARCH("토3",$H273)),ISNUMBER(SEARCH("토1.3",$H273)),ISNUMBER(SEARCH("토2.3",$H273)),ISNUMBER(SEARCH("토1.2.3",$H273))),1,"")</f>
        <v/>
      </c>
      <c r="AA273" s="319">
        <f>IF(ISNUMBER(SEARCH("일1",$H273)),1,"")</f>
        <v/>
      </c>
      <c r="AB273" s="319">
        <f>IF(OR(ISNUMBER(SEARCH("일2",$H273)),ISNUMBER(SEARCH("일1.2",$H273))),1,"")</f>
        <v/>
      </c>
      <c r="AC273" s="319">
        <f>IF(OR(ISNUMBER(SEARCH("일3",$H273)),ISNUMBER(SEARCH("일1.3",$H273)),ISNUMBER(SEARCH("일2.3",$H273)),ISNUMBER(SEARCH("일1.2.3",$H273))),1,"")</f>
        <v/>
      </c>
      <c r="AD273" s="319">
        <f>SUM(I273:AC273)</f>
        <v/>
      </c>
      <c r="AE273" s="323" t="n"/>
    </row>
    <row r="274" ht="24" customHeight="1">
      <c r="A274" s="168" t="n"/>
      <c r="B274" s="319" t="n"/>
      <c r="C274" s="319" t="n"/>
      <c r="D274" s="319" t="n"/>
      <c r="E274" s="341" t="n"/>
      <c r="F274" s="341" t="n"/>
      <c r="G274" s="342" t="n"/>
      <c r="H274" s="322" t="n"/>
      <c r="I274" s="319">
        <f>IF(ISNUMBER(SEARCH("월1",$H274)),1,"")</f>
        <v/>
      </c>
      <c r="J274" s="319">
        <f>IF(OR(ISNUMBER(SEARCH("월2",$H274)),ISNUMBER(SEARCH("월1.2",$H274))),1,"")</f>
        <v/>
      </c>
      <c r="K274" s="319">
        <f>IF(OR(ISNUMBER(SEARCH("월3",$H274)),ISNUMBER(SEARCH("월1.3",$H274)),ISNUMBER(SEARCH("월2.3",$H274)),ISNUMBER(SEARCH("월1.2.3",$H274))),1,"")</f>
        <v/>
      </c>
      <c r="L274" s="319">
        <f>IF(ISNUMBER(SEARCH("화1",$H274)),1,"")</f>
        <v/>
      </c>
      <c r="M274" s="319">
        <f>IF(OR(ISNUMBER(SEARCH("화2",$H274)),ISNUMBER(SEARCH("화1.2",$H274))),1,"")</f>
        <v/>
      </c>
      <c r="N274" s="319">
        <f>IF(OR(ISNUMBER(SEARCH("화3",$H274)),ISNUMBER(SEARCH("화1.3",$H274)),ISNUMBER(SEARCH("화2.3",$H274)),ISNUMBER(SEARCH("화1.2.3",$H274))),1,"")</f>
        <v/>
      </c>
      <c r="O274" s="319">
        <f>IF(ISNUMBER(SEARCH("수1",$H274)),1,"")</f>
        <v/>
      </c>
      <c r="P274" s="319">
        <f>IF(OR(ISNUMBER(SEARCH("수2",$H274)),ISNUMBER(SEARCH("수1.2",$H274))),1,"")</f>
        <v/>
      </c>
      <c r="Q274" s="319">
        <f>IF(OR(ISNUMBER(SEARCH("수3",$H274)),ISNUMBER(SEARCH("수1.3",$H274)),ISNUMBER(SEARCH("수2.3",$H274)),ISNUMBER(SEARCH("수1.2.3",$H274))),1,"")</f>
        <v/>
      </c>
      <c r="R274" s="319">
        <f>IF(ISNUMBER(SEARCH("목1",$H274)),1,"")</f>
        <v/>
      </c>
      <c r="S274" s="319">
        <f>IF(OR(ISNUMBER(SEARCH("목2",$H274)),ISNUMBER(SEARCH("목1.2",$H274))),1,"")</f>
        <v/>
      </c>
      <c r="T274" s="319">
        <f>IF(OR(ISNUMBER(SEARCH("목3",$H274)),ISNUMBER(SEARCH("목1.3",$H274)),ISNUMBER(SEARCH("목2.3",$H274)),ISNUMBER(SEARCH("목1.2.3",$H274))),1,"")</f>
        <v/>
      </c>
      <c r="U274" s="319">
        <f>IF(ISNUMBER(SEARCH("금1",$H274)),1,"")</f>
        <v/>
      </c>
      <c r="V274" s="319">
        <f>IF(OR(ISNUMBER(SEARCH("금2",$H274)),ISNUMBER(SEARCH("금1.2",$H274))),1,"")</f>
        <v/>
      </c>
      <c r="W274" s="319">
        <f>IF(OR(ISNUMBER(SEARCH("금3",$H274)),ISNUMBER(SEARCH("금1.3",$H274)),ISNUMBER(SEARCH("금2.3",$H274)),ISNUMBER(SEARCH("금1.2.3",$H274))),1,"")</f>
        <v/>
      </c>
      <c r="X274" s="319">
        <f>IF(ISNUMBER(SEARCH("토1",$H274)),1,"")</f>
        <v/>
      </c>
      <c r="Y274" s="319">
        <f>IF(OR(ISNUMBER(SEARCH("토2",$H274)),ISNUMBER(SEARCH("토1.2",$H274))),1,"")</f>
        <v/>
      </c>
      <c r="Z274" s="319">
        <f>IF(OR(ISNUMBER(SEARCH("토3",$H274)),ISNUMBER(SEARCH("토1.3",$H274)),ISNUMBER(SEARCH("토2.3",$H274)),ISNUMBER(SEARCH("토1.2.3",$H274))),1,"")</f>
        <v/>
      </c>
      <c r="AA274" s="319">
        <f>IF(ISNUMBER(SEARCH("일1",$H274)),1,"")</f>
        <v/>
      </c>
      <c r="AB274" s="319">
        <f>IF(OR(ISNUMBER(SEARCH("일2",$H274)),ISNUMBER(SEARCH("일1.2",$H274))),1,"")</f>
        <v/>
      </c>
      <c r="AC274" s="319">
        <f>IF(OR(ISNUMBER(SEARCH("일3",$H274)),ISNUMBER(SEARCH("일1.3",$H274)),ISNUMBER(SEARCH("일2.3",$H274)),ISNUMBER(SEARCH("일1.2.3",$H274))),1,"")</f>
        <v/>
      </c>
      <c r="AD274" s="319">
        <f>SUM(I274:AC274)</f>
        <v/>
      </c>
      <c r="AE274" s="323" t="n"/>
    </row>
    <row r="275" ht="24" customHeight="1">
      <c r="A275" s="168" t="n"/>
      <c r="B275" s="319" t="n"/>
      <c r="C275" s="319" t="n"/>
      <c r="D275" s="319" t="n"/>
      <c r="E275" s="341" t="n"/>
      <c r="F275" s="341" t="n"/>
      <c r="G275" s="342" t="n"/>
      <c r="H275" s="322" t="n"/>
      <c r="I275" s="319">
        <f>IF(ISNUMBER(SEARCH("월1",$H275)),1,"")</f>
        <v/>
      </c>
      <c r="J275" s="319">
        <f>IF(OR(ISNUMBER(SEARCH("월2",$H275)),ISNUMBER(SEARCH("월1.2",$H275))),1,"")</f>
        <v/>
      </c>
      <c r="K275" s="319">
        <f>IF(OR(ISNUMBER(SEARCH("월3",$H275)),ISNUMBER(SEARCH("월1.3",$H275)),ISNUMBER(SEARCH("월2.3",$H275)),ISNUMBER(SEARCH("월1.2.3",$H275))),1,"")</f>
        <v/>
      </c>
      <c r="L275" s="319">
        <f>IF(ISNUMBER(SEARCH("화1",$H275)),1,"")</f>
        <v/>
      </c>
      <c r="M275" s="319">
        <f>IF(OR(ISNUMBER(SEARCH("화2",$H275)),ISNUMBER(SEARCH("화1.2",$H275))),1,"")</f>
        <v/>
      </c>
      <c r="N275" s="319">
        <f>IF(OR(ISNUMBER(SEARCH("화3",$H275)),ISNUMBER(SEARCH("화1.3",$H275)),ISNUMBER(SEARCH("화2.3",$H275)),ISNUMBER(SEARCH("화1.2.3",$H275))),1,"")</f>
        <v/>
      </c>
      <c r="O275" s="319">
        <f>IF(ISNUMBER(SEARCH("수1",$H275)),1,"")</f>
        <v/>
      </c>
      <c r="P275" s="319">
        <f>IF(OR(ISNUMBER(SEARCH("수2",$H275)),ISNUMBER(SEARCH("수1.2",$H275))),1,"")</f>
        <v/>
      </c>
      <c r="Q275" s="319">
        <f>IF(OR(ISNUMBER(SEARCH("수3",$H275)),ISNUMBER(SEARCH("수1.3",$H275)),ISNUMBER(SEARCH("수2.3",$H275)),ISNUMBER(SEARCH("수1.2.3",$H275))),1,"")</f>
        <v/>
      </c>
      <c r="R275" s="319">
        <f>IF(ISNUMBER(SEARCH("목1",$H275)),1,"")</f>
        <v/>
      </c>
      <c r="S275" s="319">
        <f>IF(OR(ISNUMBER(SEARCH("목2",$H275)),ISNUMBER(SEARCH("목1.2",$H275))),1,"")</f>
        <v/>
      </c>
      <c r="T275" s="319">
        <f>IF(OR(ISNUMBER(SEARCH("목3",$H275)),ISNUMBER(SEARCH("목1.3",$H275)),ISNUMBER(SEARCH("목2.3",$H275)),ISNUMBER(SEARCH("목1.2.3",$H275))),1,"")</f>
        <v/>
      </c>
      <c r="U275" s="319">
        <f>IF(ISNUMBER(SEARCH("금1",$H275)),1,"")</f>
        <v/>
      </c>
      <c r="V275" s="319">
        <f>IF(OR(ISNUMBER(SEARCH("금2",$H275)),ISNUMBER(SEARCH("금1.2",$H275))),1,"")</f>
        <v/>
      </c>
      <c r="W275" s="319">
        <f>IF(OR(ISNUMBER(SEARCH("금3",$H275)),ISNUMBER(SEARCH("금1.3",$H275)),ISNUMBER(SEARCH("금2.3",$H275)),ISNUMBER(SEARCH("금1.2.3",$H275))),1,"")</f>
        <v/>
      </c>
      <c r="X275" s="319">
        <f>IF(ISNUMBER(SEARCH("토1",$H275)),1,"")</f>
        <v/>
      </c>
      <c r="Y275" s="319">
        <f>IF(OR(ISNUMBER(SEARCH("토2",$H275)),ISNUMBER(SEARCH("토1.2",$H275))),1,"")</f>
        <v/>
      </c>
      <c r="Z275" s="319">
        <f>IF(OR(ISNUMBER(SEARCH("토3",$H275)),ISNUMBER(SEARCH("토1.3",$H275)),ISNUMBER(SEARCH("토2.3",$H275)),ISNUMBER(SEARCH("토1.2.3",$H275))),1,"")</f>
        <v/>
      </c>
      <c r="AA275" s="319">
        <f>IF(ISNUMBER(SEARCH("일1",$H275)),1,"")</f>
        <v/>
      </c>
      <c r="AB275" s="319">
        <f>IF(OR(ISNUMBER(SEARCH("일2",$H275)),ISNUMBER(SEARCH("일1.2",$H275))),1,"")</f>
        <v/>
      </c>
      <c r="AC275" s="319">
        <f>IF(OR(ISNUMBER(SEARCH("일3",$H275)),ISNUMBER(SEARCH("일1.3",$H275)),ISNUMBER(SEARCH("일2.3",$H275)),ISNUMBER(SEARCH("일1.2.3",$H275))),1,"")</f>
        <v/>
      </c>
      <c r="AD275" s="319">
        <f>SUM(I275:AC275)</f>
        <v/>
      </c>
      <c r="AE275" s="323" t="n"/>
    </row>
    <row r="276" ht="24" customHeight="1">
      <c r="A276" s="168" t="n"/>
      <c r="B276" s="319" t="n"/>
      <c r="C276" s="319" t="n"/>
      <c r="D276" s="319" t="n"/>
      <c r="E276" s="341" t="n"/>
      <c r="F276" s="341" t="n"/>
      <c r="G276" s="342" t="n"/>
      <c r="H276" s="322" t="n"/>
      <c r="I276" s="319">
        <f>IF(ISNUMBER(SEARCH("월1",$H276)),1,"")</f>
        <v/>
      </c>
      <c r="J276" s="319">
        <f>IF(OR(ISNUMBER(SEARCH("월2",$H276)),ISNUMBER(SEARCH("월1.2",$H276))),1,"")</f>
        <v/>
      </c>
      <c r="K276" s="319">
        <f>IF(OR(ISNUMBER(SEARCH("월3",$H276)),ISNUMBER(SEARCH("월1.3",$H276)),ISNUMBER(SEARCH("월2.3",$H276)),ISNUMBER(SEARCH("월1.2.3",$H276))),1,"")</f>
        <v/>
      </c>
      <c r="L276" s="319">
        <f>IF(ISNUMBER(SEARCH("화1",$H276)),1,"")</f>
        <v/>
      </c>
      <c r="M276" s="319">
        <f>IF(OR(ISNUMBER(SEARCH("화2",$H276)),ISNUMBER(SEARCH("화1.2",$H276))),1,"")</f>
        <v/>
      </c>
      <c r="N276" s="319">
        <f>IF(OR(ISNUMBER(SEARCH("화3",$H276)),ISNUMBER(SEARCH("화1.3",$H276)),ISNUMBER(SEARCH("화2.3",$H276)),ISNUMBER(SEARCH("화1.2.3",$H276))),1,"")</f>
        <v/>
      </c>
      <c r="O276" s="319">
        <f>IF(ISNUMBER(SEARCH("수1",$H276)),1,"")</f>
        <v/>
      </c>
      <c r="P276" s="319">
        <f>IF(OR(ISNUMBER(SEARCH("수2",$H276)),ISNUMBER(SEARCH("수1.2",$H276))),1,"")</f>
        <v/>
      </c>
      <c r="Q276" s="319">
        <f>IF(OR(ISNUMBER(SEARCH("수3",$H276)),ISNUMBER(SEARCH("수1.3",$H276)),ISNUMBER(SEARCH("수2.3",$H276)),ISNUMBER(SEARCH("수1.2.3",$H276))),1,"")</f>
        <v/>
      </c>
      <c r="R276" s="319">
        <f>IF(ISNUMBER(SEARCH("목1",$H276)),1,"")</f>
        <v/>
      </c>
      <c r="S276" s="319">
        <f>IF(OR(ISNUMBER(SEARCH("목2",$H276)),ISNUMBER(SEARCH("목1.2",$H276))),1,"")</f>
        <v/>
      </c>
      <c r="T276" s="319">
        <f>IF(OR(ISNUMBER(SEARCH("목3",$H276)),ISNUMBER(SEARCH("목1.3",$H276)),ISNUMBER(SEARCH("목2.3",$H276)),ISNUMBER(SEARCH("목1.2.3",$H276))),1,"")</f>
        <v/>
      </c>
      <c r="U276" s="319">
        <f>IF(ISNUMBER(SEARCH("금1",$H276)),1,"")</f>
        <v/>
      </c>
      <c r="V276" s="319">
        <f>IF(OR(ISNUMBER(SEARCH("금2",$H276)),ISNUMBER(SEARCH("금1.2",$H276))),1,"")</f>
        <v/>
      </c>
      <c r="W276" s="319">
        <f>IF(OR(ISNUMBER(SEARCH("금3",$H276)),ISNUMBER(SEARCH("금1.3",$H276)),ISNUMBER(SEARCH("금2.3",$H276)),ISNUMBER(SEARCH("금1.2.3",$H276))),1,"")</f>
        <v/>
      </c>
      <c r="X276" s="319">
        <f>IF(ISNUMBER(SEARCH("토1",$H276)),1,"")</f>
        <v/>
      </c>
      <c r="Y276" s="319">
        <f>IF(OR(ISNUMBER(SEARCH("토2",$H276)),ISNUMBER(SEARCH("토1.2",$H276))),1,"")</f>
        <v/>
      </c>
      <c r="Z276" s="319">
        <f>IF(OR(ISNUMBER(SEARCH("토3",$H276)),ISNUMBER(SEARCH("토1.3",$H276)),ISNUMBER(SEARCH("토2.3",$H276)),ISNUMBER(SEARCH("토1.2.3",$H276))),1,"")</f>
        <v/>
      </c>
      <c r="AA276" s="319">
        <f>IF(ISNUMBER(SEARCH("일1",$H276)),1,"")</f>
        <v/>
      </c>
      <c r="AB276" s="319">
        <f>IF(OR(ISNUMBER(SEARCH("일2",$H276)),ISNUMBER(SEARCH("일1.2",$H276))),1,"")</f>
        <v/>
      </c>
      <c r="AC276" s="319">
        <f>IF(OR(ISNUMBER(SEARCH("일3",$H276)),ISNUMBER(SEARCH("일1.3",$H276)),ISNUMBER(SEARCH("일2.3",$H276)),ISNUMBER(SEARCH("일1.2.3",$H276))),1,"")</f>
        <v/>
      </c>
      <c r="AD276" s="319">
        <f>SUM(I276:AC276)</f>
        <v/>
      </c>
      <c r="AE276" s="323" t="n"/>
    </row>
    <row r="277" ht="24" customHeight="1">
      <c r="A277" s="168" t="n"/>
      <c r="B277" s="319" t="n"/>
      <c r="C277" s="319" t="n"/>
      <c r="D277" s="319" t="n"/>
      <c r="E277" s="341" t="n"/>
      <c r="F277" s="341" t="n"/>
      <c r="G277" s="342" t="n"/>
      <c r="H277" s="322" t="n"/>
      <c r="I277" s="319">
        <f>IF(ISNUMBER(SEARCH("월1",$H277)),1,"")</f>
        <v/>
      </c>
      <c r="J277" s="319">
        <f>IF(OR(ISNUMBER(SEARCH("월2",$H277)),ISNUMBER(SEARCH("월1.2",$H277))),1,"")</f>
        <v/>
      </c>
      <c r="K277" s="319">
        <f>IF(OR(ISNUMBER(SEARCH("월3",$H277)),ISNUMBER(SEARCH("월1.3",$H277)),ISNUMBER(SEARCH("월2.3",$H277)),ISNUMBER(SEARCH("월1.2.3",$H277))),1,"")</f>
        <v/>
      </c>
      <c r="L277" s="319">
        <f>IF(ISNUMBER(SEARCH("화1",$H277)),1,"")</f>
        <v/>
      </c>
      <c r="M277" s="319">
        <f>IF(OR(ISNUMBER(SEARCH("화2",$H277)),ISNUMBER(SEARCH("화1.2",$H277))),1,"")</f>
        <v/>
      </c>
      <c r="N277" s="319">
        <f>IF(OR(ISNUMBER(SEARCH("화3",$H277)),ISNUMBER(SEARCH("화1.3",$H277)),ISNUMBER(SEARCH("화2.3",$H277)),ISNUMBER(SEARCH("화1.2.3",$H277))),1,"")</f>
        <v/>
      </c>
      <c r="O277" s="319">
        <f>IF(ISNUMBER(SEARCH("수1",$H277)),1,"")</f>
        <v/>
      </c>
      <c r="P277" s="319">
        <f>IF(OR(ISNUMBER(SEARCH("수2",$H277)),ISNUMBER(SEARCH("수1.2",$H277))),1,"")</f>
        <v/>
      </c>
      <c r="Q277" s="319">
        <f>IF(OR(ISNUMBER(SEARCH("수3",$H277)),ISNUMBER(SEARCH("수1.3",$H277)),ISNUMBER(SEARCH("수2.3",$H277)),ISNUMBER(SEARCH("수1.2.3",$H277))),1,"")</f>
        <v/>
      </c>
      <c r="R277" s="319">
        <f>IF(ISNUMBER(SEARCH("목1",$H277)),1,"")</f>
        <v/>
      </c>
      <c r="S277" s="319">
        <f>IF(OR(ISNUMBER(SEARCH("목2",$H277)),ISNUMBER(SEARCH("목1.2",$H277))),1,"")</f>
        <v/>
      </c>
      <c r="T277" s="319">
        <f>IF(OR(ISNUMBER(SEARCH("목3",$H277)),ISNUMBER(SEARCH("목1.3",$H277)),ISNUMBER(SEARCH("목2.3",$H277)),ISNUMBER(SEARCH("목1.2.3",$H277))),1,"")</f>
        <v/>
      </c>
      <c r="U277" s="319">
        <f>IF(ISNUMBER(SEARCH("금1",$H277)),1,"")</f>
        <v/>
      </c>
      <c r="V277" s="319">
        <f>IF(OR(ISNUMBER(SEARCH("금2",$H277)),ISNUMBER(SEARCH("금1.2",$H277))),1,"")</f>
        <v/>
      </c>
      <c r="W277" s="319">
        <f>IF(OR(ISNUMBER(SEARCH("금3",$H277)),ISNUMBER(SEARCH("금1.3",$H277)),ISNUMBER(SEARCH("금2.3",$H277)),ISNUMBER(SEARCH("금1.2.3",$H277))),1,"")</f>
        <v/>
      </c>
      <c r="X277" s="319">
        <f>IF(ISNUMBER(SEARCH("토1",$H277)),1,"")</f>
        <v/>
      </c>
      <c r="Y277" s="319">
        <f>IF(OR(ISNUMBER(SEARCH("토2",$H277)),ISNUMBER(SEARCH("토1.2",$H277))),1,"")</f>
        <v/>
      </c>
      <c r="Z277" s="319">
        <f>IF(OR(ISNUMBER(SEARCH("토3",$H277)),ISNUMBER(SEARCH("토1.3",$H277)),ISNUMBER(SEARCH("토2.3",$H277)),ISNUMBER(SEARCH("토1.2.3",$H277))),1,"")</f>
        <v/>
      </c>
      <c r="AA277" s="319">
        <f>IF(ISNUMBER(SEARCH("일1",$H277)),1,"")</f>
        <v/>
      </c>
      <c r="AB277" s="319">
        <f>IF(OR(ISNUMBER(SEARCH("일2",$H277)),ISNUMBER(SEARCH("일1.2",$H277))),1,"")</f>
        <v/>
      </c>
      <c r="AC277" s="319">
        <f>IF(OR(ISNUMBER(SEARCH("일3",$H277)),ISNUMBER(SEARCH("일1.3",$H277)),ISNUMBER(SEARCH("일2.3",$H277)),ISNUMBER(SEARCH("일1.2.3",$H277))),1,"")</f>
        <v/>
      </c>
      <c r="AD277" s="319">
        <f>SUM(I277:AC277)</f>
        <v/>
      </c>
      <c r="AE277" s="323" t="n"/>
    </row>
    <row r="278" ht="24" customHeight="1">
      <c r="A278" s="168" t="n"/>
      <c r="B278" s="319" t="n"/>
      <c r="C278" s="319" t="n"/>
      <c r="D278" s="319" t="n"/>
      <c r="E278" s="341" t="n"/>
      <c r="F278" s="341" t="n"/>
      <c r="G278" s="342" t="n"/>
      <c r="H278" s="322" t="n"/>
      <c r="I278" s="319">
        <f>IF(ISNUMBER(SEARCH("월1",$H278)),1,"")</f>
        <v/>
      </c>
      <c r="J278" s="319">
        <f>IF(OR(ISNUMBER(SEARCH("월2",$H278)),ISNUMBER(SEARCH("월1.2",$H278))),1,"")</f>
        <v/>
      </c>
      <c r="K278" s="319">
        <f>IF(OR(ISNUMBER(SEARCH("월3",$H278)),ISNUMBER(SEARCH("월1.3",$H278)),ISNUMBER(SEARCH("월2.3",$H278)),ISNUMBER(SEARCH("월1.2.3",$H278))),1,"")</f>
        <v/>
      </c>
      <c r="L278" s="319">
        <f>IF(ISNUMBER(SEARCH("화1",$H278)),1,"")</f>
        <v/>
      </c>
      <c r="M278" s="319">
        <f>IF(OR(ISNUMBER(SEARCH("화2",$H278)),ISNUMBER(SEARCH("화1.2",$H278))),1,"")</f>
        <v/>
      </c>
      <c r="N278" s="319">
        <f>IF(OR(ISNUMBER(SEARCH("화3",$H278)),ISNUMBER(SEARCH("화1.3",$H278)),ISNUMBER(SEARCH("화2.3",$H278)),ISNUMBER(SEARCH("화1.2.3",$H278))),1,"")</f>
        <v/>
      </c>
      <c r="O278" s="319">
        <f>IF(ISNUMBER(SEARCH("수1",$H278)),1,"")</f>
        <v/>
      </c>
      <c r="P278" s="319">
        <f>IF(OR(ISNUMBER(SEARCH("수2",$H278)),ISNUMBER(SEARCH("수1.2",$H278))),1,"")</f>
        <v/>
      </c>
      <c r="Q278" s="319">
        <f>IF(OR(ISNUMBER(SEARCH("수3",$H278)),ISNUMBER(SEARCH("수1.3",$H278)),ISNUMBER(SEARCH("수2.3",$H278)),ISNUMBER(SEARCH("수1.2.3",$H278))),1,"")</f>
        <v/>
      </c>
      <c r="R278" s="319">
        <f>IF(ISNUMBER(SEARCH("목1",$H278)),1,"")</f>
        <v/>
      </c>
      <c r="S278" s="319">
        <f>IF(OR(ISNUMBER(SEARCH("목2",$H278)),ISNUMBER(SEARCH("목1.2",$H278))),1,"")</f>
        <v/>
      </c>
      <c r="T278" s="319">
        <f>IF(OR(ISNUMBER(SEARCH("목3",$H278)),ISNUMBER(SEARCH("목1.3",$H278)),ISNUMBER(SEARCH("목2.3",$H278)),ISNUMBER(SEARCH("목1.2.3",$H278))),1,"")</f>
        <v/>
      </c>
      <c r="U278" s="319">
        <f>IF(ISNUMBER(SEARCH("금1",$H278)),1,"")</f>
        <v/>
      </c>
      <c r="V278" s="319">
        <f>IF(OR(ISNUMBER(SEARCH("금2",$H278)),ISNUMBER(SEARCH("금1.2",$H278))),1,"")</f>
        <v/>
      </c>
      <c r="W278" s="319">
        <f>IF(OR(ISNUMBER(SEARCH("금3",$H278)),ISNUMBER(SEARCH("금1.3",$H278)),ISNUMBER(SEARCH("금2.3",$H278)),ISNUMBER(SEARCH("금1.2.3",$H278))),1,"")</f>
        <v/>
      </c>
      <c r="X278" s="319">
        <f>IF(ISNUMBER(SEARCH("토1",$H278)),1,"")</f>
        <v/>
      </c>
      <c r="Y278" s="319">
        <f>IF(OR(ISNUMBER(SEARCH("토2",$H278)),ISNUMBER(SEARCH("토1.2",$H278))),1,"")</f>
        <v/>
      </c>
      <c r="Z278" s="319">
        <f>IF(OR(ISNUMBER(SEARCH("토3",$H278)),ISNUMBER(SEARCH("토1.3",$H278)),ISNUMBER(SEARCH("토2.3",$H278)),ISNUMBER(SEARCH("토1.2.3",$H278))),1,"")</f>
        <v/>
      </c>
      <c r="AA278" s="319">
        <f>IF(ISNUMBER(SEARCH("일1",$H278)),1,"")</f>
        <v/>
      </c>
      <c r="AB278" s="319">
        <f>IF(OR(ISNUMBER(SEARCH("일2",$H278)),ISNUMBER(SEARCH("일1.2",$H278))),1,"")</f>
        <v/>
      </c>
      <c r="AC278" s="319">
        <f>IF(OR(ISNUMBER(SEARCH("일3",$H278)),ISNUMBER(SEARCH("일1.3",$H278)),ISNUMBER(SEARCH("일2.3",$H278)),ISNUMBER(SEARCH("일1.2.3",$H278))),1,"")</f>
        <v/>
      </c>
      <c r="AD278" s="319">
        <f>SUM(I278:AC278)</f>
        <v/>
      </c>
      <c r="AE278" s="323" t="n"/>
    </row>
    <row r="279" ht="24" customHeight="1">
      <c r="A279" s="168" t="n"/>
      <c r="B279" s="319" t="n"/>
      <c r="C279" s="319" t="n"/>
      <c r="D279" s="319" t="n"/>
      <c r="E279" s="341" t="n"/>
      <c r="F279" s="341" t="n"/>
      <c r="G279" s="342" t="n"/>
      <c r="H279" s="322" t="n"/>
      <c r="I279" s="319">
        <f>IF(ISNUMBER(SEARCH("월1",$H279)),1,"")</f>
        <v/>
      </c>
      <c r="J279" s="319">
        <f>IF(OR(ISNUMBER(SEARCH("월2",$H279)),ISNUMBER(SEARCH("월1.2",$H279))),1,"")</f>
        <v/>
      </c>
      <c r="K279" s="319">
        <f>IF(OR(ISNUMBER(SEARCH("월3",$H279)),ISNUMBER(SEARCH("월1.3",$H279)),ISNUMBER(SEARCH("월2.3",$H279)),ISNUMBER(SEARCH("월1.2.3",$H279))),1,"")</f>
        <v/>
      </c>
      <c r="L279" s="319">
        <f>IF(ISNUMBER(SEARCH("화1",$H279)),1,"")</f>
        <v/>
      </c>
      <c r="M279" s="319">
        <f>IF(OR(ISNUMBER(SEARCH("화2",$H279)),ISNUMBER(SEARCH("화1.2",$H279))),1,"")</f>
        <v/>
      </c>
      <c r="N279" s="319">
        <f>IF(OR(ISNUMBER(SEARCH("화3",$H279)),ISNUMBER(SEARCH("화1.3",$H279)),ISNUMBER(SEARCH("화2.3",$H279)),ISNUMBER(SEARCH("화1.2.3",$H279))),1,"")</f>
        <v/>
      </c>
      <c r="O279" s="319">
        <f>IF(ISNUMBER(SEARCH("수1",$H279)),1,"")</f>
        <v/>
      </c>
      <c r="P279" s="319">
        <f>IF(OR(ISNUMBER(SEARCH("수2",$H279)),ISNUMBER(SEARCH("수1.2",$H279))),1,"")</f>
        <v/>
      </c>
      <c r="Q279" s="319">
        <f>IF(OR(ISNUMBER(SEARCH("수3",$H279)),ISNUMBER(SEARCH("수1.3",$H279)),ISNUMBER(SEARCH("수2.3",$H279)),ISNUMBER(SEARCH("수1.2.3",$H279))),1,"")</f>
        <v/>
      </c>
      <c r="R279" s="319">
        <f>IF(ISNUMBER(SEARCH("목1",$H279)),1,"")</f>
        <v/>
      </c>
      <c r="S279" s="319">
        <f>IF(OR(ISNUMBER(SEARCH("목2",$H279)),ISNUMBER(SEARCH("목1.2",$H279))),1,"")</f>
        <v/>
      </c>
      <c r="T279" s="319">
        <f>IF(OR(ISNUMBER(SEARCH("목3",$H279)),ISNUMBER(SEARCH("목1.3",$H279)),ISNUMBER(SEARCH("목2.3",$H279)),ISNUMBER(SEARCH("목1.2.3",$H279))),1,"")</f>
        <v/>
      </c>
      <c r="U279" s="319">
        <f>IF(ISNUMBER(SEARCH("금1",$H279)),1,"")</f>
        <v/>
      </c>
      <c r="V279" s="319">
        <f>IF(OR(ISNUMBER(SEARCH("금2",$H279)),ISNUMBER(SEARCH("금1.2",$H279))),1,"")</f>
        <v/>
      </c>
      <c r="W279" s="319">
        <f>IF(OR(ISNUMBER(SEARCH("금3",$H279)),ISNUMBER(SEARCH("금1.3",$H279)),ISNUMBER(SEARCH("금2.3",$H279)),ISNUMBER(SEARCH("금1.2.3",$H279))),1,"")</f>
        <v/>
      </c>
      <c r="X279" s="319">
        <f>IF(ISNUMBER(SEARCH("토1",$H279)),1,"")</f>
        <v/>
      </c>
      <c r="Y279" s="319">
        <f>IF(OR(ISNUMBER(SEARCH("토2",$H279)),ISNUMBER(SEARCH("토1.2",$H279))),1,"")</f>
        <v/>
      </c>
      <c r="Z279" s="319">
        <f>IF(OR(ISNUMBER(SEARCH("토3",$H279)),ISNUMBER(SEARCH("토1.3",$H279)),ISNUMBER(SEARCH("토2.3",$H279)),ISNUMBER(SEARCH("토1.2.3",$H279))),1,"")</f>
        <v/>
      </c>
      <c r="AA279" s="319">
        <f>IF(ISNUMBER(SEARCH("일1",$H279)),1,"")</f>
        <v/>
      </c>
      <c r="AB279" s="319">
        <f>IF(OR(ISNUMBER(SEARCH("일2",$H279)),ISNUMBER(SEARCH("일1.2",$H279))),1,"")</f>
        <v/>
      </c>
      <c r="AC279" s="319">
        <f>IF(OR(ISNUMBER(SEARCH("일3",$H279)),ISNUMBER(SEARCH("일1.3",$H279)),ISNUMBER(SEARCH("일2.3",$H279)),ISNUMBER(SEARCH("일1.2.3",$H279))),1,"")</f>
        <v/>
      </c>
      <c r="AD279" s="319">
        <f>SUM(I279:AC279)</f>
        <v/>
      </c>
      <c r="AE279" s="323" t="n"/>
    </row>
    <row r="280" ht="24" customHeight="1">
      <c r="A280" s="168" t="n"/>
      <c r="B280" s="319" t="n"/>
      <c r="C280" s="319" t="n"/>
      <c r="D280" s="319" t="n"/>
      <c r="E280" s="341" t="n"/>
      <c r="F280" s="341" t="n"/>
      <c r="G280" s="342" t="n"/>
      <c r="H280" s="322" t="n"/>
      <c r="I280" s="319">
        <f>IF(ISNUMBER(SEARCH("월1",$H280)),1,"")</f>
        <v/>
      </c>
      <c r="J280" s="319">
        <f>IF(OR(ISNUMBER(SEARCH("월2",$H280)),ISNUMBER(SEARCH("월1.2",$H280))),1,"")</f>
        <v/>
      </c>
      <c r="K280" s="319">
        <f>IF(OR(ISNUMBER(SEARCH("월3",$H280)),ISNUMBER(SEARCH("월1.3",$H280)),ISNUMBER(SEARCH("월2.3",$H280)),ISNUMBER(SEARCH("월1.2.3",$H280))),1,"")</f>
        <v/>
      </c>
      <c r="L280" s="319">
        <f>IF(ISNUMBER(SEARCH("화1",$H280)),1,"")</f>
        <v/>
      </c>
      <c r="M280" s="319">
        <f>IF(OR(ISNUMBER(SEARCH("화2",$H280)),ISNUMBER(SEARCH("화1.2",$H280))),1,"")</f>
        <v/>
      </c>
      <c r="N280" s="319">
        <f>IF(OR(ISNUMBER(SEARCH("화3",$H280)),ISNUMBER(SEARCH("화1.3",$H280)),ISNUMBER(SEARCH("화2.3",$H280)),ISNUMBER(SEARCH("화1.2.3",$H280))),1,"")</f>
        <v/>
      </c>
      <c r="O280" s="319">
        <f>IF(ISNUMBER(SEARCH("수1",$H280)),1,"")</f>
        <v/>
      </c>
      <c r="P280" s="319">
        <f>IF(OR(ISNUMBER(SEARCH("수2",$H280)),ISNUMBER(SEARCH("수1.2",$H280))),1,"")</f>
        <v/>
      </c>
      <c r="Q280" s="319">
        <f>IF(OR(ISNUMBER(SEARCH("수3",$H280)),ISNUMBER(SEARCH("수1.3",$H280)),ISNUMBER(SEARCH("수2.3",$H280)),ISNUMBER(SEARCH("수1.2.3",$H280))),1,"")</f>
        <v/>
      </c>
      <c r="R280" s="319">
        <f>IF(ISNUMBER(SEARCH("목1",$H280)),1,"")</f>
        <v/>
      </c>
      <c r="S280" s="319">
        <f>IF(OR(ISNUMBER(SEARCH("목2",$H280)),ISNUMBER(SEARCH("목1.2",$H280))),1,"")</f>
        <v/>
      </c>
      <c r="T280" s="319">
        <f>IF(OR(ISNUMBER(SEARCH("목3",$H280)),ISNUMBER(SEARCH("목1.3",$H280)),ISNUMBER(SEARCH("목2.3",$H280)),ISNUMBER(SEARCH("목1.2.3",$H280))),1,"")</f>
        <v/>
      </c>
      <c r="U280" s="319">
        <f>IF(ISNUMBER(SEARCH("금1",$H280)),1,"")</f>
        <v/>
      </c>
      <c r="V280" s="319">
        <f>IF(OR(ISNUMBER(SEARCH("금2",$H280)),ISNUMBER(SEARCH("금1.2",$H280))),1,"")</f>
        <v/>
      </c>
      <c r="W280" s="319">
        <f>IF(OR(ISNUMBER(SEARCH("금3",$H280)),ISNUMBER(SEARCH("금1.3",$H280)),ISNUMBER(SEARCH("금2.3",$H280)),ISNUMBER(SEARCH("금1.2.3",$H280))),1,"")</f>
        <v/>
      </c>
      <c r="X280" s="319">
        <f>IF(ISNUMBER(SEARCH("토1",$H280)),1,"")</f>
        <v/>
      </c>
      <c r="Y280" s="319">
        <f>IF(OR(ISNUMBER(SEARCH("토2",$H280)),ISNUMBER(SEARCH("토1.2",$H280))),1,"")</f>
        <v/>
      </c>
      <c r="Z280" s="319">
        <f>IF(OR(ISNUMBER(SEARCH("토3",$H280)),ISNUMBER(SEARCH("토1.3",$H280)),ISNUMBER(SEARCH("토2.3",$H280)),ISNUMBER(SEARCH("토1.2.3",$H280))),1,"")</f>
        <v/>
      </c>
      <c r="AA280" s="319">
        <f>IF(ISNUMBER(SEARCH("일1",$H280)),1,"")</f>
        <v/>
      </c>
      <c r="AB280" s="319">
        <f>IF(OR(ISNUMBER(SEARCH("일2",$H280)),ISNUMBER(SEARCH("일1.2",$H280))),1,"")</f>
        <v/>
      </c>
      <c r="AC280" s="319">
        <f>IF(OR(ISNUMBER(SEARCH("일3",$H280)),ISNUMBER(SEARCH("일1.3",$H280)),ISNUMBER(SEARCH("일2.3",$H280)),ISNUMBER(SEARCH("일1.2.3",$H280))),1,"")</f>
        <v/>
      </c>
      <c r="AD280" s="319">
        <f>SUM(I280:AC280)</f>
        <v/>
      </c>
      <c r="AE280" s="323" t="n"/>
    </row>
    <row r="281" ht="24" customHeight="1">
      <c r="A281" s="168" t="n"/>
      <c r="B281" s="319" t="n"/>
      <c r="C281" s="319" t="n"/>
      <c r="D281" s="319" t="n"/>
      <c r="E281" s="341" t="n"/>
      <c r="F281" s="341" t="n"/>
      <c r="G281" s="342" t="n"/>
      <c r="H281" s="322" t="n"/>
      <c r="I281" s="319">
        <f>IF(ISNUMBER(SEARCH("월1",$H281)),1,"")</f>
        <v/>
      </c>
      <c r="J281" s="319">
        <f>IF(OR(ISNUMBER(SEARCH("월2",$H281)),ISNUMBER(SEARCH("월1.2",$H281))),1,"")</f>
        <v/>
      </c>
      <c r="K281" s="319">
        <f>IF(OR(ISNUMBER(SEARCH("월3",$H281)),ISNUMBER(SEARCH("월1.3",$H281)),ISNUMBER(SEARCH("월2.3",$H281)),ISNUMBER(SEARCH("월1.2.3",$H281))),1,"")</f>
        <v/>
      </c>
      <c r="L281" s="319">
        <f>IF(ISNUMBER(SEARCH("화1",$H281)),1,"")</f>
        <v/>
      </c>
      <c r="M281" s="319">
        <f>IF(OR(ISNUMBER(SEARCH("화2",$H281)),ISNUMBER(SEARCH("화1.2",$H281))),1,"")</f>
        <v/>
      </c>
      <c r="N281" s="319">
        <f>IF(OR(ISNUMBER(SEARCH("화3",$H281)),ISNUMBER(SEARCH("화1.3",$H281)),ISNUMBER(SEARCH("화2.3",$H281)),ISNUMBER(SEARCH("화1.2.3",$H281))),1,"")</f>
        <v/>
      </c>
      <c r="O281" s="319">
        <f>IF(ISNUMBER(SEARCH("수1",$H281)),1,"")</f>
        <v/>
      </c>
      <c r="P281" s="319">
        <f>IF(OR(ISNUMBER(SEARCH("수2",$H281)),ISNUMBER(SEARCH("수1.2",$H281))),1,"")</f>
        <v/>
      </c>
      <c r="Q281" s="319">
        <f>IF(OR(ISNUMBER(SEARCH("수3",$H281)),ISNUMBER(SEARCH("수1.3",$H281)),ISNUMBER(SEARCH("수2.3",$H281)),ISNUMBER(SEARCH("수1.2.3",$H281))),1,"")</f>
        <v/>
      </c>
      <c r="R281" s="319">
        <f>IF(ISNUMBER(SEARCH("목1",$H281)),1,"")</f>
        <v/>
      </c>
      <c r="S281" s="319">
        <f>IF(OR(ISNUMBER(SEARCH("목2",$H281)),ISNUMBER(SEARCH("목1.2",$H281))),1,"")</f>
        <v/>
      </c>
      <c r="T281" s="319">
        <f>IF(OR(ISNUMBER(SEARCH("목3",$H281)),ISNUMBER(SEARCH("목1.3",$H281)),ISNUMBER(SEARCH("목2.3",$H281)),ISNUMBER(SEARCH("목1.2.3",$H281))),1,"")</f>
        <v/>
      </c>
      <c r="U281" s="319">
        <f>IF(ISNUMBER(SEARCH("금1",$H281)),1,"")</f>
        <v/>
      </c>
      <c r="V281" s="319">
        <f>IF(OR(ISNUMBER(SEARCH("금2",$H281)),ISNUMBER(SEARCH("금1.2",$H281))),1,"")</f>
        <v/>
      </c>
      <c r="W281" s="319">
        <f>IF(OR(ISNUMBER(SEARCH("금3",$H281)),ISNUMBER(SEARCH("금1.3",$H281)),ISNUMBER(SEARCH("금2.3",$H281)),ISNUMBER(SEARCH("금1.2.3",$H281))),1,"")</f>
        <v/>
      </c>
      <c r="X281" s="319">
        <f>IF(ISNUMBER(SEARCH("토1",$H281)),1,"")</f>
        <v/>
      </c>
      <c r="Y281" s="319">
        <f>IF(OR(ISNUMBER(SEARCH("토2",$H281)),ISNUMBER(SEARCH("토1.2",$H281))),1,"")</f>
        <v/>
      </c>
      <c r="Z281" s="319">
        <f>IF(OR(ISNUMBER(SEARCH("토3",$H281)),ISNUMBER(SEARCH("토1.3",$H281)),ISNUMBER(SEARCH("토2.3",$H281)),ISNUMBER(SEARCH("토1.2.3",$H281))),1,"")</f>
        <v/>
      </c>
      <c r="AA281" s="319">
        <f>IF(ISNUMBER(SEARCH("일1",$H281)),1,"")</f>
        <v/>
      </c>
      <c r="AB281" s="319">
        <f>IF(OR(ISNUMBER(SEARCH("일2",$H281)),ISNUMBER(SEARCH("일1.2",$H281))),1,"")</f>
        <v/>
      </c>
      <c r="AC281" s="319">
        <f>IF(OR(ISNUMBER(SEARCH("일3",$H281)),ISNUMBER(SEARCH("일1.3",$H281)),ISNUMBER(SEARCH("일2.3",$H281)),ISNUMBER(SEARCH("일1.2.3",$H281))),1,"")</f>
        <v/>
      </c>
      <c r="AD281" s="319">
        <f>SUM(I281:AC281)</f>
        <v/>
      </c>
      <c r="AE281" s="323" t="n"/>
    </row>
    <row r="282" ht="24" customHeight="1">
      <c r="A282" s="168" t="n"/>
      <c r="B282" s="319" t="n"/>
      <c r="C282" s="319" t="n"/>
      <c r="D282" s="319" t="n"/>
      <c r="E282" s="341" t="n"/>
      <c r="F282" s="341" t="n"/>
      <c r="G282" s="342" t="n"/>
      <c r="H282" s="322" t="n"/>
      <c r="I282" s="319">
        <f>IF(ISNUMBER(SEARCH("월1",$H282)),1,"")</f>
        <v/>
      </c>
      <c r="J282" s="319">
        <f>IF(OR(ISNUMBER(SEARCH("월2",$H282)),ISNUMBER(SEARCH("월1.2",$H282))),1,"")</f>
        <v/>
      </c>
      <c r="K282" s="319">
        <f>IF(OR(ISNUMBER(SEARCH("월3",$H282)),ISNUMBER(SEARCH("월1.3",$H282)),ISNUMBER(SEARCH("월2.3",$H282)),ISNUMBER(SEARCH("월1.2.3",$H282))),1,"")</f>
        <v/>
      </c>
      <c r="L282" s="319">
        <f>IF(ISNUMBER(SEARCH("화1",$H282)),1,"")</f>
        <v/>
      </c>
      <c r="M282" s="319">
        <f>IF(OR(ISNUMBER(SEARCH("화2",$H282)),ISNUMBER(SEARCH("화1.2",$H282))),1,"")</f>
        <v/>
      </c>
      <c r="N282" s="319">
        <f>IF(OR(ISNUMBER(SEARCH("화3",$H282)),ISNUMBER(SEARCH("화1.3",$H282)),ISNUMBER(SEARCH("화2.3",$H282)),ISNUMBER(SEARCH("화1.2.3",$H282))),1,"")</f>
        <v/>
      </c>
      <c r="O282" s="319">
        <f>IF(ISNUMBER(SEARCH("수1",$H282)),1,"")</f>
        <v/>
      </c>
      <c r="P282" s="319">
        <f>IF(OR(ISNUMBER(SEARCH("수2",$H282)),ISNUMBER(SEARCH("수1.2",$H282))),1,"")</f>
        <v/>
      </c>
      <c r="Q282" s="319">
        <f>IF(OR(ISNUMBER(SEARCH("수3",$H282)),ISNUMBER(SEARCH("수1.3",$H282)),ISNUMBER(SEARCH("수2.3",$H282)),ISNUMBER(SEARCH("수1.2.3",$H282))),1,"")</f>
        <v/>
      </c>
      <c r="R282" s="319">
        <f>IF(ISNUMBER(SEARCH("목1",$H282)),1,"")</f>
        <v/>
      </c>
      <c r="S282" s="319">
        <f>IF(OR(ISNUMBER(SEARCH("목2",$H282)),ISNUMBER(SEARCH("목1.2",$H282))),1,"")</f>
        <v/>
      </c>
      <c r="T282" s="319">
        <f>IF(OR(ISNUMBER(SEARCH("목3",$H282)),ISNUMBER(SEARCH("목1.3",$H282)),ISNUMBER(SEARCH("목2.3",$H282)),ISNUMBER(SEARCH("목1.2.3",$H282))),1,"")</f>
        <v/>
      </c>
      <c r="U282" s="319">
        <f>IF(ISNUMBER(SEARCH("금1",$H282)),1,"")</f>
        <v/>
      </c>
      <c r="V282" s="319">
        <f>IF(OR(ISNUMBER(SEARCH("금2",$H282)),ISNUMBER(SEARCH("금1.2",$H282))),1,"")</f>
        <v/>
      </c>
      <c r="W282" s="319">
        <f>IF(OR(ISNUMBER(SEARCH("금3",$H282)),ISNUMBER(SEARCH("금1.3",$H282)),ISNUMBER(SEARCH("금2.3",$H282)),ISNUMBER(SEARCH("금1.2.3",$H282))),1,"")</f>
        <v/>
      </c>
      <c r="X282" s="319">
        <f>IF(ISNUMBER(SEARCH("토1",$H282)),1,"")</f>
        <v/>
      </c>
      <c r="Y282" s="319">
        <f>IF(OR(ISNUMBER(SEARCH("토2",$H282)),ISNUMBER(SEARCH("토1.2",$H282))),1,"")</f>
        <v/>
      </c>
      <c r="Z282" s="319">
        <f>IF(OR(ISNUMBER(SEARCH("토3",$H282)),ISNUMBER(SEARCH("토1.3",$H282)),ISNUMBER(SEARCH("토2.3",$H282)),ISNUMBER(SEARCH("토1.2.3",$H282))),1,"")</f>
        <v/>
      </c>
      <c r="AA282" s="319">
        <f>IF(ISNUMBER(SEARCH("일1",$H282)),1,"")</f>
        <v/>
      </c>
      <c r="AB282" s="319">
        <f>IF(OR(ISNUMBER(SEARCH("일2",$H282)),ISNUMBER(SEARCH("일1.2",$H282))),1,"")</f>
        <v/>
      </c>
      <c r="AC282" s="319">
        <f>IF(OR(ISNUMBER(SEARCH("일3",$H282)),ISNUMBER(SEARCH("일1.3",$H282)),ISNUMBER(SEARCH("일2.3",$H282)),ISNUMBER(SEARCH("일1.2.3",$H282))),1,"")</f>
        <v/>
      </c>
      <c r="AD282" s="319">
        <f>SUM(I282:AC282)</f>
        <v/>
      </c>
      <c r="AE282" s="323" t="n"/>
    </row>
    <row r="283" ht="24" customHeight="1">
      <c r="A283" s="168" t="n"/>
      <c r="B283" s="319" t="n"/>
      <c r="C283" s="319" t="n"/>
      <c r="D283" s="319" t="n"/>
      <c r="E283" s="341" t="n"/>
      <c r="F283" s="341" t="n"/>
      <c r="G283" s="342" t="n"/>
      <c r="H283" s="322" t="n"/>
      <c r="I283" s="319">
        <f>IF(ISNUMBER(SEARCH("월1",$H283)),1,"")</f>
        <v/>
      </c>
      <c r="J283" s="319">
        <f>IF(OR(ISNUMBER(SEARCH("월2",$H283)),ISNUMBER(SEARCH("월1.2",$H283))),1,"")</f>
        <v/>
      </c>
      <c r="K283" s="319">
        <f>IF(OR(ISNUMBER(SEARCH("월3",$H283)),ISNUMBER(SEARCH("월1.3",$H283)),ISNUMBER(SEARCH("월2.3",$H283)),ISNUMBER(SEARCH("월1.2.3",$H283))),1,"")</f>
        <v/>
      </c>
      <c r="L283" s="319">
        <f>IF(ISNUMBER(SEARCH("화1",$H283)),1,"")</f>
        <v/>
      </c>
      <c r="M283" s="319">
        <f>IF(OR(ISNUMBER(SEARCH("화2",$H283)),ISNUMBER(SEARCH("화1.2",$H283))),1,"")</f>
        <v/>
      </c>
      <c r="N283" s="319">
        <f>IF(OR(ISNUMBER(SEARCH("화3",$H283)),ISNUMBER(SEARCH("화1.3",$H283)),ISNUMBER(SEARCH("화2.3",$H283)),ISNUMBER(SEARCH("화1.2.3",$H283))),1,"")</f>
        <v/>
      </c>
      <c r="O283" s="319">
        <f>IF(ISNUMBER(SEARCH("수1",$H283)),1,"")</f>
        <v/>
      </c>
      <c r="P283" s="319">
        <f>IF(OR(ISNUMBER(SEARCH("수2",$H283)),ISNUMBER(SEARCH("수1.2",$H283))),1,"")</f>
        <v/>
      </c>
      <c r="Q283" s="319">
        <f>IF(OR(ISNUMBER(SEARCH("수3",$H283)),ISNUMBER(SEARCH("수1.3",$H283)),ISNUMBER(SEARCH("수2.3",$H283)),ISNUMBER(SEARCH("수1.2.3",$H283))),1,"")</f>
        <v/>
      </c>
      <c r="R283" s="319">
        <f>IF(ISNUMBER(SEARCH("목1",$H283)),1,"")</f>
        <v/>
      </c>
      <c r="S283" s="319">
        <f>IF(OR(ISNUMBER(SEARCH("목2",$H283)),ISNUMBER(SEARCH("목1.2",$H283))),1,"")</f>
        <v/>
      </c>
      <c r="T283" s="319">
        <f>IF(OR(ISNUMBER(SEARCH("목3",$H283)),ISNUMBER(SEARCH("목1.3",$H283)),ISNUMBER(SEARCH("목2.3",$H283)),ISNUMBER(SEARCH("목1.2.3",$H283))),1,"")</f>
        <v/>
      </c>
      <c r="U283" s="319">
        <f>IF(ISNUMBER(SEARCH("금1",$H283)),1,"")</f>
        <v/>
      </c>
      <c r="V283" s="319">
        <f>IF(OR(ISNUMBER(SEARCH("금2",$H283)),ISNUMBER(SEARCH("금1.2",$H283))),1,"")</f>
        <v/>
      </c>
      <c r="W283" s="319">
        <f>IF(OR(ISNUMBER(SEARCH("금3",$H283)),ISNUMBER(SEARCH("금1.3",$H283)),ISNUMBER(SEARCH("금2.3",$H283)),ISNUMBER(SEARCH("금1.2.3",$H283))),1,"")</f>
        <v/>
      </c>
      <c r="X283" s="319">
        <f>IF(ISNUMBER(SEARCH("토1",$H283)),1,"")</f>
        <v/>
      </c>
      <c r="Y283" s="319">
        <f>IF(OR(ISNUMBER(SEARCH("토2",$H283)),ISNUMBER(SEARCH("토1.2",$H283))),1,"")</f>
        <v/>
      </c>
      <c r="Z283" s="319">
        <f>IF(OR(ISNUMBER(SEARCH("토3",$H283)),ISNUMBER(SEARCH("토1.3",$H283)),ISNUMBER(SEARCH("토2.3",$H283)),ISNUMBER(SEARCH("토1.2.3",$H283))),1,"")</f>
        <v/>
      </c>
      <c r="AA283" s="319">
        <f>IF(ISNUMBER(SEARCH("일1",$H283)),1,"")</f>
        <v/>
      </c>
      <c r="AB283" s="319">
        <f>IF(OR(ISNUMBER(SEARCH("일2",$H283)),ISNUMBER(SEARCH("일1.2",$H283))),1,"")</f>
        <v/>
      </c>
      <c r="AC283" s="319">
        <f>IF(OR(ISNUMBER(SEARCH("일3",$H283)),ISNUMBER(SEARCH("일1.3",$H283)),ISNUMBER(SEARCH("일2.3",$H283)),ISNUMBER(SEARCH("일1.2.3",$H283))),1,"")</f>
        <v/>
      </c>
      <c r="AD283" s="319">
        <f>SUM(I283:AC283)</f>
        <v/>
      </c>
      <c r="AE283" s="323" t="n"/>
    </row>
    <row r="284" ht="24" customHeight="1">
      <c r="A284" s="168" t="n"/>
      <c r="B284" s="319" t="n"/>
      <c r="C284" s="319" t="n"/>
      <c r="D284" s="319" t="n"/>
      <c r="E284" s="341" t="n"/>
      <c r="F284" s="341" t="n"/>
      <c r="G284" s="342" t="n"/>
      <c r="H284" s="322" t="n"/>
      <c r="I284" s="319">
        <f>IF(ISNUMBER(SEARCH("월1",$H284)),1,"")</f>
        <v/>
      </c>
      <c r="J284" s="319">
        <f>IF(OR(ISNUMBER(SEARCH("월2",$H284)),ISNUMBER(SEARCH("월1.2",$H284))),1,"")</f>
        <v/>
      </c>
      <c r="K284" s="319">
        <f>IF(OR(ISNUMBER(SEARCH("월3",$H284)),ISNUMBER(SEARCH("월1.3",$H284)),ISNUMBER(SEARCH("월2.3",$H284)),ISNUMBER(SEARCH("월1.2.3",$H284))),1,"")</f>
        <v/>
      </c>
      <c r="L284" s="319">
        <f>IF(ISNUMBER(SEARCH("화1",$H284)),1,"")</f>
        <v/>
      </c>
      <c r="M284" s="319">
        <f>IF(OR(ISNUMBER(SEARCH("화2",$H284)),ISNUMBER(SEARCH("화1.2",$H284))),1,"")</f>
        <v/>
      </c>
      <c r="N284" s="319">
        <f>IF(OR(ISNUMBER(SEARCH("화3",$H284)),ISNUMBER(SEARCH("화1.3",$H284)),ISNUMBER(SEARCH("화2.3",$H284)),ISNUMBER(SEARCH("화1.2.3",$H284))),1,"")</f>
        <v/>
      </c>
      <c r="O284" s="319">
        <f>IF(ISNUMBER(SEARCH("수1",$H284)),1,"")</f>
        <v/>
      </c>
      <c r="P284" s="319">
        <f>IF(OR(ISNUMBER(SEARCH("수2",$H284)),ISNUMBER(SEARCH("수1.2",$H284))),1,"")</f>
        <v/>
      </c>
      <c r="Q284" s="319">
        <f>IF(OR(ISNUMBER(SEARCH("수3",$H284)),ISNUMBER(SEARCH("수1.3",$H284)),ISNUMBER(SEARCH("수2.3",$H284)),ISNUMBER(SEARCH("수1.2.3",$H284))),1,"")</f>
        <v/>
      </c>
      <c r="R284" s="319">
        <f>IF(ISNUMBER(SEARCH("목1",$H284)),1,"")</f>
        <v/>
      </c>
      <c r="S284" s="319">
        <f>IF(OR(ISNUMBER(SEARCH("목2",$H284)),ISNUMBER(SEARCH("목1.2",$H284))),1,"")</f>
        <v/>
      </c>
      <c r="T284" s="319">
        <f>IF(OR(ISNUMBER(SEARCH("목3",$H284)),ISNUMBER(SEARCH("목1.3",$H284)),ISNUMBER(SEARCH("목2.3",$H284)),ISNUMBER(SEARCH("목1.2.3",$H284))),1,"")</f>
        <v/>
      </c>
      <c r="U284" s="319">
        <f>IF(ISNUMBER(SEARCH("금1",$H284)),1,"")</f>
        <v/>
      </c>
      <c r="V284" s="319">
        <f>IF(OR(ISNUMBER(SEARCH("금2",$H284)),ISNUMBER(SEARCH("금1.2",$H284))),1,"")</f>
        <v/>
      </c>
      <c r="W284" s="319">
        <f>IF(OR(ISNUMBER(SEARCH("금3",$H284)),ISNUMBER(SEARCH("금1.3",$H284)),ISNUMBER(SEARCH("금2.3",$H284)),ISNUMBER(SEARCH("금1.2.3",$H284))),1,"")</f>
        <v/>
      </c>
      <c r="X284" s="319">
        <f>IF(ISNUMBER(SEARCH("토1",$H284)),1,"")</f>
        <v/>
      </c>
      <c r="Y284" s="319">
        <f>IF(OR(ISNUMBER(SEARCH("토2",$H284)),ISNUMBER(SEARCH("토1.2",$H284))),1,"")</f>
        <v/>
      </c>
      <c r="Z284" s="319">
        <f>IF(OR(ISNUMBER(SEARCH("토3",$H284)),ISNUMBER(SEARCH("토1.3",$H284)),ISNUMBER(SEARCH("토2.3",$H284)),ISNUMBER(SEARCH("토1.2.3",$H284))),1,"")</f>
        <v/>
      </c>
      <c r="AA284" s="319">
        <f>IF(ISNUMBER(SEARCH("일1",$H284)),1,"")</f>
        <v/>
      </c>
      <c r="AB284" s="319">
        <f>IF(OR(ISNUMBER(SEARCH("일2",$H284)),ISNUMBER(SEARCH("일1.2",$H284))),1,"")</f>
        <v/>
      </c>
      <c r="AC284" s="319">
        <f>IF(OR(ISNUMBER(SEARCH("일3",$H284)),ISNUMBER(SEARCH("일1.3",$H284)),ISNUMBER(SEARCH("일2.3",$H284)),ISNUMBER(SEARCH("일1.2.3",$H284))),1,"")</f>
        <v/>
      </c>
      <c r="AD284" s="319">
        <f>SUM(I284:AC284)</f>
        <v/>
      </c>
      <c r="AE284" s="323" t="n"/>
    </row>
    <row r="285" ht="24" customHeight="1">
      <c r="A285" s="168" t="n"/>
      <c r="B285" s="319" t="n"/>
      <c r="C285" s="319" t="n"/>
      <c r="D285" s="319" t="n"/>
      <c r="E285" s="341" t="n"/>
      <c r="F285" s="341" t="n"/>
      <c r="G285" s="342" t="n"/>
      <c r="H285" s="322" t="n"/>
      <c r="I285" s="319">
        <f>IF(ISNUMBER(SEARCH("월1",$H285)),1,"")</f>
        <v/>
      </c>
      <c r="J285" s="319">
        <f>IF(OR(ISNUMBER(SEARCH("월2",$H285)),ISNUMBER(SEARCH("월1.2",$H285))),1,"")</f>
        <v/>
      </c>
      <c r="K285" s="319">
        <f>IF(OR(ISNUMBER(SEARCH("월3",$H285)),ISNUMBER(SEARCH("월1.3",$H285)),ISNUMBER(SEARCH("월2.3",$H285)),ISNUMBER(SEARCH("월1.2.3",$H285))),1,"")</f>
        <v/>
      </c>
      <c r="L285" s="319">
        <f>IF(ISNUMBER(SEARCH("화1",$H285)),1,"")</f>
        <v/>
      </c>
      <c r="M285" s="319">
        <f>IF(OR(ISNUMBER(SEARCH("화2",$H285)),ISNUMBER(SEARCH("화1.2",$H285))),1,"")</f>
        <v/>
      </c>
      <c r="N285" s="319">
        <f>IF(OR(ISNUMBER(SEARCH("화3",$H285)),ISNUMBER(SEARCH("화1.3",$H285)),ISNUMBER(SEARCH("화2.3",$H285)),ISNUMBER(SEARCH("화1.2.3",$H285))),1,"")</f>
        <v/>
      </c>
      <c r="O285" s="319">
        <f>IF(ISNUMBER(SEARCH("수1",$H285)),1,"")</f>
        <v/>
      </c>
      <c r="P285" s="319">
        <f>IF(OR(ISNUMBER(SEARCH("수2",$H285)),ISNUMBER(SEARCH("수1.2",$H285))),1,"")</f>
        <v/>
      </c>
      <c r="Q285" s="319">
        <f>IF(OR(ISNUMBER(SEARCH("수3",$H285)),ISNUMBER(SEARCH("수1.3",$H285)),ISNUMBER(SEARCH("수2.3",$H285)),ISNUMBER(SEARCH("수1.2.3",$H285))),1,"")</f>
        <v/>
      </c>
      <c r="R285" s="319">
        <f>IF(ISNUMBER(SEARCH("목1",$H285)),1,"")</f>
        <v/>
      </c>
      <c r="S285" s="319">
        <f>IF(OR(ISNUMBER(SEARCH("목2",$H285)),ISNUMBER(SEARCH("목1.2",$H285))),1,"")</f>
        <v/>
      </c>
      <c r="T285" s="319">
        <f>IF(OR(ISNUMBER(SEARCH("목3",$H285)),ISNUMBER(SEARCH("목1.3",$H285)),ISNUMBER(SEARCH("목2.3",$H285)),ISNUMBER(SEARCH("목1.2.3",$H285))),1,"")</f>
        <v/>
      </c>
      <c r="U285" s="319">
        <f>IF(ISNUMBER(SEARCH("금1",$H285)),1,"")</f>
        <v/>
      </c>
      <c r="V285" s="319">
        <f>IF(OR(ISNUMBER(SEARCH("금2",$H285)),ISNUMBER(SEARCH("금1.2",$H285))),1,"")</f>
        <v/>
      </c>
      <c r="W285" s="319">
        <f>IF(OR(ISNUMBER(SEARCH("금3",$H285)),ISNUMBER(SEARCH("금1.3",$H285)),ISNUMBER(SEARCH("금2.3",$H285)),ISNUMBER(SEARCH("금1.2.3",$H285))),1,"")</f>
        <v/>
      </c>
      <c r="X285" s="319">
        <f>IF(ISNUMBER(SEARCH("토1",$H285)),1,"")</f>
        <v/>
      </c>
      <c r="Y285" s="319">
        <f>IF(OR(ISNUMBER(SEARCH("토2",$H285)),ISNUMBER(SEARCH("토1.2",$H285))),1,"")</f>
        <v/>
      </c>
      <c r="Z285" s="319">
        <f>IF(OR(ISNUMBER(SEARCH("토3",$H285)),ISNUMBER(SEARCH("토1.3",$H285)),ISNUMBER(SEARCH("토2.3",$H285)),ISNUMBER(SEARCH("토1.2.3",$H285))),1,"")</f>
        <v/>
      </c>
      <c r="AA285" s="319">
        <f>IF(ISNUMBER(SEARCH("일1",$H285)),1,"")</f>
        <v/>
      </c>
      <c r="AB285" s="319">
        <f>IF(OR(ISNUMBER(SEARCH("일2",$H285)),ISNUMBER(SEARCH("일1.2",$H285))),1,"")</f>
        <v/>
      </c>
      <c r="AC285" s="319">
        <f>IF(OR(ISNUMBER(SEARCH("일3",$H285)),ISNUMBER(SEARCH("일1.3",$H285)),ISNUMBER(SEARCH("일2.3",$H285)),ISNUMBER(SEARCH("일1.2.3",$H285))),1,"")</f>
        <v/>
      </c>
      <c r="AD285" s="319">
        <f>SUM(I285:AC285)</f>
        <v/>
      </c>
      <c r="AE285" s="323" t="n"/>
    </row>
    <row r="286" ht="24" customHeight="1">
      <c r="A286" s="168" t="n"/>
      <c r="B286" s="319" t="n"/>
      <c r="C286" s="319" t="n"/>
      <c r="D286" s="319" t="n"/>
      <c r="E286" s="341" t="n"/>
      <c r="F286" s="341" t="n"/>
      <c r="G286" s="342" t="n"/>
      <c r="H286" s="322" t="n"/>
      <c r="I286" s="319">
        <f>IF(ISNUMBER(SEARCH("월1",$H286)),1,"")</f>
        <v/>
      </c>
      <c r="J286" s="319">
        <f>IF(OR(ISNUMBER(SEARCH("월2",$H286)),ISNUMBER(SEARCH("월1.2",$H286))),1,"")</f>
        <v/>
      </c>
      <c r="K286" s="319">
        <f>IF(OR(ISNUMBER(SEARCH("월3",$H286)),ISNUMBER(SEARCH("월1.3",$H286)),ISNUMBER(SEARCH("월2.3",$H286)),ISNUMBER(SEARCH("월1.2.3",$H286))),1,"")</f>
        <v/>
      </c>
      <c r="L286" s="319">
        <f>IF(ISNUMBER(SEARCH("화1",$H286)),1,"")</f>
        <v/>
      </c>
      <c r="M286" s="319">
        <f>IF(OR(ISNUMBER(SEARCH("화2",$H286)),ISNUMBER(SEARCH("화1.2",$H286))),1,"")</f>
        <v/>
      </c>
      <c r="N286" s="319">
        <f>IF(OR(ISNUMBER(SEARCH("화3",$H286)),ISNUMBER(SEARCH("화1.3",$H286)),ISNUMBER(SEARCH("화2.3",$H286)),ISNUMBER(SEARCH("화1.2.3",$H286))),1,"")</f>
        <v/>
      </c>
      <c r="O286" s="319">
        <f>IF(ISNUMBER(SEARCH("수1",$H286)),1,"")</f>
        <v/>
      </c>
      <c r="P286" s="319">
        <f>IF(OR(ISNUMBER(SEARCH("수2",$H286)),ISNUMBER(SEARCH("수1.2",$H286))),1,"")</f>
        <v/>
      </c>
      <c r="Q286" s="319">
        <f>IF(OR(ISNUMBER(SEARCH("수3",$H286)),ISNUMBER(SEARCH("수1.3",$H286)),ISNUMBER(SEARCH("수2.3",$H286)),ISNUMBER(SEARCH("수1.2.3",$H286))),1,"")</f>
        <v/>
      </c>
      <c r="R286" s="319">
        <f>IF(ISNUMBER(SEARCH("목1",$H286)),1,"")</f>
        <v/>
      </c>
      <c r="S286" s="319">
        <f>IF(OR(ISNUMBER(SEARCH("목2",$H286)),ISNUMBER(SEARCH("목1.2",$H286))),1,"")</f>
        <v/>
      </c>
      <c r="T286" s="319">
        <f>IF(OR(ISNUMBER(SEARCH("목3",$H286)),ISNUMBER(SEARCH("목1.3",$H286)),ISNUMBER(SEARCH("목2.3",$H286)),ISNUMBER(SEARCH("목1.2.3",$H286))),1,"")</f>
        <v/>
      </c>
      <c r="U286" s="319">
        <f>IF(ISNUMBER(SEARCH("금1",$H286)),1,"")</f>
        <v/>
      </c>
      <c r="V286" s="319">
        <f>IF(OR(ISNUMBER(SEARCH("금2",$H286)),ISNUMBER(SEARCH("금1.2",$H286))),1,"")</f>
        <v/>
      </c>
      <c r="W286" s="319">
        <f>IF(OR(ISNUMBER(SEARCH("금3",$H286)),ISNUMBER(SEARCH("금1.3",$H286)),ISNUMBER(SEARCH("금2.3",$H286)),ISNUMBER(SEARCH("금1.2.3",$H286))),1,"")</f>
        <v/>
      </c>
      <c r="X286" s="319">
        <f>IF(ISNUMBER(SEARCH("토1",$H286)),1,"")</f>
        <v/>
      </c>
      <c r="Y286" s="319">
        <f>IF(OR(ISNUMBER(SEARCH("토2",$H286)),ISNUMBER(SEARCH("토1.2",$H286))),1,"")</f>
        <v/>
      </c>
      <c r="Z286" s="319">
        <f>IF(OR(ISNUMBER(SEARCH("토3",$H286)),ISNUMBER(SEARCH("토1.3",$H286)),ISNUMBER(SEARCH("토2.3",$H286)),ISNUMBER(SEARCH("토1.2.3",$H286))),1,"")</f>
        <v/>
      </c>
      <c r="AA286" s="319">
        <f>IF(ISNUMBER(SEARCH("일1",$H286)),1,"")</f>
        <v/>
      </c>
      <c r="AB286" s="319">
        <f>IF(OR(ISNUMBER(SEARCH("일2",$H286)),ISNUMBER(SEARCH("일1.2",$H286))),1,"")</f>
        <v/>
      </c>
      <c r="AC286" s="319">
        <f>IF(OR(ISNUMBER(SEARCH("일3",$H286)),ISNUMBER(SEARCH("일1.3",$H286)),ISNUMBER(SEARCH("일2.3",$H286)),ISNUMBER(SEARCH("일1.2.3",$H286))),1,"")</f>
        <v/>
      </c>
      <c r="AD286" s="319">
        <f>SUM(I286:AC286)</f>
        <v/>
      </c>
      <c r="AE286" s="323" t="n"/>
    </row>
    <row r="287" ht="24" customHeight="1">
      <c r="A287" s="168" t="n"/>
      <c r="B287" s="319" t="n"/>
      <c r="C287" s="319" t="n"/>
      <c r="D287" s="319" t="n"/>
      <c r="E287" s="341" t="n"/>
      <c r="F287" s="341" t="n"/>
      <c r="G287" s="342" t="n"/>
      <c r="H287" s="322" t="n"/>
      <c r="I287" s="319">
        <f>IF(ISNUMBER(SEARCH("월1",$H287)),1,"")</f>
        <v/>
      </c>
      <c r="J287" s="319">
        <f>IF(OR(ISNUMBER(SEARCH("월2",$H287)),ISNUMBER(SEARCH("월1.2",$H287))),1,"")</f>
        <v/>
      </c>
      <c r="K287" s="319">
        <f>IF(OR(ISNUMBER(SEARCH("월3",$H287)),ISNUMBER(SEARCH("월1.3",$H287)),ISNUMBER(SEARCH("월2.3",$H287)),ISNUMBER(SEARCH("월1.2.3",$H287))),1,"")</f>
        <v/>
      </c>
      <c r="L287" s="319">
        <f>IF(ISNUMBER(SEARCH("화1",$H287)),1,"")</f>
        <v/>
      </c>
      <c r="M287" s="319">
        <f>IF(OR(ISNUMBER(SEARCH("화2",$H287)),ISNUMBER(SEARCH("화1.2",$H287))),1,"")</f>
        <v/>
      </c>
      <c r="N287" s="319">
        <f>IF(OR(ISNUMBER(SEARCH("화3",$H287)),ISNUMBER(SEARCH("화1.3",$H287)),ISNUMBER(SEARCH("화2.3",$H287)),ISNUMBER(SEARCH("화1.2.3",$H287))),1,"")</f>
        <v/>
      </c>
      <c r="O287" s="319">
        <f>IF(ISNUMBER(SEARCH("수1",$H287)),1,"")</f>
        <v/>
      </c>
      <c r="P287" s="319">
        <f>IF(OR(ISNUMBER(SEARCH("수2",$H287)),ISNUMBER(SEARCH("수1.2",$H287))),1,"")</f>
        <v/>
      </c>
      <c r="Q287" s="319">
        <f>IF(OR(ISNUMBER(SEARCH("수3",$H287)),ISNUMBER(SEARCH("수1.3",$H287)),ISNUMBER(SEARCH("수2.3",$H287)),ISNUMBER(SEARCH("수1.2.3",$H287))),1,"")</f>
        <v/>
      </c>
      <c r="R287" s="319">
        <f>IF(ISNUMBER(SEARCH("목1",$H287)),1,"")</f>
        <v/>
      </c>
      <c r="S287" s="319">
        <f>IF(OR(ISNUMBER(SEARCH("목2",$H287)),ISNUMBER(SEARCH("목1.2",$H287))),1,"")</f>
        <v/>
      </c>
      <c r="T287" s="319">
        <f>IF(OR(ISNUMBER(SEARCH("목3",$H287)),ISNUMBER(SEARCH("목1.3",$H287)),ISNUMBER(SEARCH("목2.3",$H287)),ISNUMBER(SEARCH("목1.2.3",$H287))),1,"")</f>
        <v/>
      </c>
      <c r="U287" s="319">
        <f>IF(ISNUMBER(SEARCH("금1",$H287)),1,"")</f>
        <v/>
      </c>
      <c r="V287" s="319">
        <f>IF(OR(ISNUMBER(SEARCH("금2",$H287)),ISNUMBER(SEARCH("금1.2",$H287))),1,"")</f>
        <v/>
      </c>
      <c r="W287" s="319">
        <f>IF(OR(ISNUMBER(SEARCH("금3",$H287)),ISNUMBER(SEARCH("금1.3",$H287)),ISNUMBER(SEARCH("금2.3",$H287)),ISNUMBER(SEARCH("금1.2.3",$H287))),1,"")</f>
        <v/>
      </c>
      <c r="X287" s="319">
        <f>IF(ISNUMBER(SEARCH("토1",$H287)),1,"")</f>
        <v/>
      </c>
      <c r="Y287" s="319">
        <f>IF(OR(ISNUMBER(SEARCH("토2",$H287)),ISNUMBER(SEARCH("토1.2",$H287))),1,"")</f>
        <v/>
      </c>
      <c r="Z287" s="319">
        <f>IF(OR(ISNUMBER(SEARCH("토3",$H287)),ISNUMBER(SEARCH("토1.3",$H287)),ISNUMBER(SEARCH("토2.3",$H287)),ISNUMBER(SEARCH("토1.2.3",$H287))),1,"")</f>
        <v/>
      </c>
      <c r="AA287" s="319">
        <f>IF(ISNUMBER(SEARCH("일1",$H287)),1,"")</f>
        <v/>
      </c>
      <c r="AB287" s="319">
        <f>IF(OR(ISNUMBER(SEARCH("일2",$H287)),ISNUMBER(SEARCH("일1.2",$H287))),1,"")</f>
        <v/>
      </c>
      <c r="AC287" s="319">
        <f>IF(OR(ISNUMBER(SEARCH("일3",$H287)),ISNUMBER(SEARCH("일1.3",$H287)),ISNUMBER(SEARCH("일2.3",$H287)),ISNUMBER(SEARCH("일1.2.3",$H287))),1,"")</f>
        <v/>
      </c>
      <c r="AD287" s="319">
        <f>SUM(I287:AC287)</f>
        <v/>
      </c>
      <c r="AE287" s="323" t="n"/>
    </row>
    <row r="288" ht="24" customHeight="1">
      <c r="A288" s="168" t="n"/>
      <c r="B288" s="319" t="n"/>
      <c r="C288" s="319" t="n"/>
      <c r="D288" s="319" t="n"/>
      <c r="E288" s="341" t="n"/>
      <c r="F288" s="341" t="n"/>
      <c r="G288" s="342" t="n"/>
      <c r="H288" s="322" t="n"/>
      <c r="I288" s="319">
        <f>IF(ISNUMBER(SEARCH("월1",$H288)),1,"")</f>
        <v/>
      </c>
      <c r="J288" s="319">
        <f>IF(OR(ISNUMBER(SEARCH("월2",$H288)),ISNUMBER(SEARCH("월1.2",$H288))),1,"")</f>
        <v/>
      </c>
      <c r="K288" s="319">
        <f>IF(OR(ISNUMBER(SEARCH("월3",$H288)),ISNUMBER(SEARCH("월1.3",$H288)),ISNUMBER(SEARCH("월2.3",$H288)),ISNUMBER(SEARCH("월1.2.3",$H288))),1,"")</f>
        <v/>
      </c>
      <c r="L288" s="319">
        <f>IF(ISNUMBER(SEARCH("화1",$H288)),1,"")</f>
        <v/>
      </c>
      <c r="M288" s="319">
        <f>IF(OR(ISNUMBER(SEARCH("화2",$H288)),ISNUMBER(SEARCH("화1.2",$H288))),1,"")</f>
        <v/>
      </c>
      <c r="N288" s="319">
        <f>IF(OR(ISNUMBER(SEARCH("화3",$H288)),ISNUMBER(SEARCH("화1.3",$H288)),ISNUMBER(SEARCH("화2.3",$H288)),ISNUMBER(SEARCH("화1.2.3",$H288))),1,"")</f>
        <v/>
      </c>
      <c r="O288" s="319">
        <f>IF(ISNUMBER(SEARCH("수1",$H288)),1,"")</f>
        <v/>
      </c>
      <c r="P288" s="319">
        <f>IF(OR(ISNUMBER(SEARCH("수2",$H288)),ISNUMBER(SEARCH("수1.2",$H288))),1,"")</f>
        <v/>
      </c>
      <c r="Q288" s="319">
        <f>IF(OR(ISNUMBER(SEARCH("수3",$H288)),ISNUMBER(SEARCH("수1.3",$H288)),ISNUMBER(SEARCH("수2.3",$H288)),ISNUMBER(SEARCH("수1.2.3",$H288))),1,"")</f>
        <v/>
      </c>
      <c r="R288" s="319">
        <f>IF(ISNUMBER(SEARCH("목1",$H288)),1,"")</f>
        <v/>
      </c>
      <c r="S288" s="319">
        <f>IF(OR(ISNUMBER(SEARCH("목2",$H288)),ISNUMBER(SEARCH("목1.2",$H288))),1,"")</f>
        <v/>
      </c>
      <c r="T288" s="319">
        <f>IF(OR(ISNUMBER(SEARCH("목3",$H288)),ISNUMBER(SEARCH("목1.3",$H288)),ISNUMBER(SEARCH("목2.3",$H288)),ISNUMBER(SEARCH("목1.2.3",$H288))),1,"")</f>
        <v/>
      </c>
      <c r="U288" s="319">
        <f>IF(ISNUMBER(SEARCH("금1",$H288)),1,"")</f>
        <v/>
      </c>
      <c r="V288" s="319">
        <f>IF(OR(ISNUMBER(SEARCH("금2",$H288)),ISNUMBER(SEARCH("금1.2",$H288))),1,"")</f>
        <v/>
      </c>
      <c r="W288" s="319">
        <f>IF(OR(ISNUMBER(SEARCH("금3",$H288)),ISNUMBER(SEARCH("금1.3",$H288)),ISNUMBER(SEARCH("금2.3",$H288)),ISNUMBER(SEARCH("금1.2.3",$H288))),1,"")</f>
        <v/>
      </c>
      <c r="X288" s="319">
        <f>IF(ISNUMBER(SEARCH("토1",$H288)),1,"")</f>
        <v/>
      </c>
      <c r="Y288" s="319">
        <f>IF(OR(ISNUMBER(SEARCH("토2",$H288)),ISNUMBER(SEARCH("토1.2",$H288))),1,"")</f>
        <v/>
      </c>
      <c r="Z288" s="319">
        <f>IF(OR(ISNUMBER(SEARCH("토3",$H288)),ISNUMBER(SEARCH("토1.3",$H288)),ISNUMBER(SEARCH("토2.3",$H288)),ISNUMBER(SEARCH("토1.2.3",$H288))),1,"")</f>
        <v/>
      </c>
      <c r="AA288" s="319">
        <f>IF(ISNUMBER(SEARCH("일1",$H288)),1,"")</f>
        <v/>
      </c>
      <c r="AB288" s="319">
        <f>IF(OR(ISNUMBER(SEARCH("일2",$H288)),ISNUMBER(SEARCH("일1.2",$H288))),1,"")</f>
        <v/>
      </c>
      <c r="AC288" s="319">
        <f>IF(OR(ISNUMBER(SEARCH("일3",$H288)),ISNUMBER(SEARCH("일1.3",$H288)),ISNUMBER(SEARCH("일2.3",$H288)),ISNUMBER(SEARCH("일1.2.3",$H288))),1,"")</f>
        <v/>
      </c>
      <c r="AD288" s="319">
        <f>SUM(I288:AC288)</f>
        <v/>
      </c>
      <c r="AE288" s="323" t="n"/>
    </row>
    <row r="289" ht="24" customHeight="1">
      <c r="A289" s="168" t="n"/>
      <c r="B289" s="319" t="n"/>
      <c r="C289" s="319" t="n"/>
      <c r="D289" s="319" t="n"/>
      <c r="E289" s="341" t="n"/>
      <c r="F289" s="341" t="n"/>
      <c r="G289" s="342" t="n"/>
      <c r="H289" s="322" t="n"/>
      <c r="I289" s="319">
        <f>IF(ISNUMBER(SEARCH("월1",$H289)),1,"")</f>
        <v/>
      </c>
      <c r="J289" s="319">
        <f>IF(OR(ISNUMBER(SEARCH("월2",$H289)),ISNUMBER(SEARCH("월1.2",$H289))),1,"")</f>
        <v/>
      </c>
      <c r="K289" s="319">
        <f>IF(OR(ISNUMBER(SEARCH("월3",$H289)),ISNUMBER(SEARCH("월1.3",$H289)),ISNUMBER(SEARCH("월2.3",$H289)),ISNUMBER(SEARCH("월1.2.3",$H289))),1,"")</f>
        <v/>
      </c>
      <c r="L289" s="319">
        <f>IF(ISNUMBER(SEARCH("화1",$H289)),1,"")</f>
        <v/>
      </c>
      <c r="M289" s="319">
        <f>IF(OR(ISNUMBER(SEARCH("화2",$H289)),ISNUMBER(SEARCH("화1.2",$H289))),1,"")</f>
        <v/>
      </c>
      <c r="N289" s="319">
        <f>IF(OR(ISNUMBER(SEARCH("화3",$H289)),ISNUMBER(SEARCH("화1.3",$H289)),ISNUMBER(SEARCH("화2.3",$H289)),ISNUMBER(SEARCH("화1.2.3",$H289))),1,"")</f>
        <v/>
      </c>
      <c r="O289" s="319">
        <f>IF(ISNUMBER(SEARCH("수1",$H289)),1,"")</f>
        <v/>
      </c>
      <c r="P289" s="319">
        <f>IF(OR(ISNUMBER(SEARCH("수2",$H289)),ISNUMBER(SEARCH("수1.2",$H289))),1,"")</f>
        <v/>
      </c>
      <c r="Q289" s="319">
        <f>IF(OR(ISNUMBER(SEARCH("수3",$H289)),ISNUMBER(SEARCH("수1.3",$H289)),ISNUMBER(SEARCH("수2.3",$H289)),ISNUMBER(SEARCH("수1.2.3",$H289))),1,"")</f>
        <v/>
      </c>
      <c r="R289" s="319">
        <f>IF(ISNUMBER(SEARCH("목1",$H289)),1,"")</f>
        <v/>
      </c>
      <c r="S289" s="319">
        <f>IF(OR(ISNUMBER(SEARCH("목2",$H289)),ISNUMBER(SEARCH("목1.2",$H289))),1,"")</f>
        <v/>
      </c>
      <c r="T289" s="319">
        <f>IF(OR(ISNUMBER(SEARCH("목3",$H289)),ISNUMBER(SEARCH("목1.3",$H289)),ISNUMBER(SEARCH("목2.3",$H289)),ISNUMBER(SEARCH("목1.2.3",$H289))),1,"")</f>
        <v/>
      </c>
      <c r="U289" s="319">
        <f>IF(ISNUMBER(SEARCH("금1",$H289)),1,"")</f>
        <v/>
      </c>
      <c r="V289" s="319">
        <f>IF(OR(ISNUMBER(SEARCH("금2",$H289)),ISNUMBER(SEARCH("금1.2",$H289))),1,"")</f>
        <v/>
      </c>
      <c r="W289" s="319">
        <f>IF(OR(ISNUMBER(SEARCH("금3",$H289)),ISNUMBER(SEARCH("금1.3",$H289)),ISNUMBER(SEARCH("금2.3",$H289)),ISNUMBER(SEARCH("금1.2.3",$H289))),1,"")</f>
        <v/>
      </c>
      <c r="X289" s="319">
        <f>IF(ISNUMBER(SEARCH("토1",$H289)),1,"")</f>
        <v/>
      </c>
      <c r="Y289" s="319">
        <f>IF(OR(ISNUMBER(SEARCH("토2",$H289)),ISNUMBER(SEARCH("토1.2",$H289))),1,"")</f>
        <v/>
      </c>
      <c r="Z289" s="319">
        <f>IF(OR(ISNUMBER(SEARCH("토3",$H289)),ISNUMBER(SEARCH("토1.3",$H289)),ISNUMBER(SEARCH("토2.3",$H289)),ISNUMBER(SEARCH("토1.2.3",$H289))),1,"")</f>
        <v/>
      </c>
      <c r="AA289" s="319">
        <f>IF(ISNUMBER(SEARCH("일1",$H289)),1,"")</f>
        <v/>
      </c>
      <c r="AB289" s="319">
        <f>IF(OR(ISNUMBER(SEARCH("일2",$H289)),ISNUMBER(SEARCH("일1.2",$H289))),1,"")</f>
        <v/>
      </c>
      <c r="AC289" s="319">
        <f>IF(OR(ISNUMBER(SEARCH("일3",$H289)),ISNUMBER(SEARCH("일1.3",$H289)),ISNUMBER(SEARCH("일2.3",$H289)),ISNUMBER(SEARCH("일1.2.3",$H289))),1,"")</f>
        <v/>
      </c>
      <c r="AD289" s="319">
        <f>SUM(I289:AC289)</f>
        <v/>
      </c>
      <c r="AE289" s="323" t="n"/>
    </row>
    <row r="290" ht="24" customHeight="1">
      <c r="A290" s="168" t="n"/>
      <c r="B290" s="319" t="n"/>
      <c r="C290" s="319" t="n"/>
      <c r="D290" s="319" t="n"/>
      <c r="E290" s="341" t="n"/>
      <c r="F290" s="341" t="n"/>
      <c r="G290" s="342" t="n"/>
      <c r="H290" s="322" t="n"/>
      <c r="I290" s="319">
        <f>IF(ISNUMBER(SEARCH("월1",$H290)),1,"")</f>
        <v/>
      </c>
      <c r="J290" s="319">
        <f>IF(OR(ISNUMBER(SEARCH("월2",$H290)),ISNUMBER(SEARCH("월1.2",$H290))),1,"")</f>
        <v/>
      </c>
      <c r="K290" s="319">
        <f>IF(OR(ISNUMBER(SEARCH("월3",$H290)),ISNUMBER(SEARCH("월1.3",$H290)),ISNUMBER(SEARCH("월2.3",$H290)),ISNUMBER(SEARCH("월1.2.3",$H290))),1,"")</f>
        <v/>
      </c>
      <c r="L290" s="319">
        <f>IF(ISNUMBER(SEARCH("화1",$H290)),1,"")</f>
        <v/>
      </c>
      <c r="M290" s="319">
        <f>IF(OR(ISNUMBER(SEARCH("화2",$H290)),ISNUMBER(SEARCH("화1.2",$H290))),1,"")</f>
        <v/>
      </c>
      <c r="N290" s="319">
        <f>IF(OR(ISNUMBER(SEARCH("화3",$H290)),ISNUMBER(SEARCH("화1.3",$H290)),ISNUMBER(SEARCH("화2.3",$H290)),ISNUMBER(SEARCH("화1.2.3",$H290))),1,"")</f>
        <v/>
      </c>
      <c r="O290" s="319">
        <f>IF(ISNUMBER(SEARCH("수1",$H290)),1,"")</f>
        <v/>
      </c>
      <c r="P290" s="319">
        <f>IF(OR(ISNUMBER(SEARCH("수2",$H290)),ISNUMBER(SEARCH("수1.2",$H290))),1,"")</f>
        <v/>
      </c>
      <c r="Q290" s="319">
        <f>IF(OR(ISNUMBER(SEARCH("수3",$H290)),ISNUMBER(SEARCH("수1.3",$H290)),ISNUMBER(SEARCH("수2.3",$H290)),ISNUMBER(SEARCH("수1.2.3",$H290))),1,"")</f>
        <v/>
      </c>
      <c r="R290" s="319">
        <f>IF(ISNUMBER(SEARCH("목1",$H290)),1,"")</f>
        <v/>
      </c>
      <c r="S290" s="319">
        <f>IF(OR(ISNUMBER(SEARCH("목2",$H290)),ISNUMBER(SEARCH("목1.2",$H290))),1,"")</f>
        <v/>
      </c>
      <c r="T290" s="319">
        <f>IF(OR(ISNUMBER(SEARCH("목3",$H290)),ISNUMBER(SEARCH("목1.3",$H290)),ISNUMBER(SEARCH("목2.3",$H290)),ISNUMBER(SEARCH("목1.2.3",$H290))),1,"")</f>
        <v/>
      </c>
      <c r="U290" s="319">
        <f>IF(ISNUMBER(SEARCH("금1",$H290)),1,"")</f>
        <v/>
      </c>
      <c r="V290" s="319">
        <f>IF(OR(ISNUMBER(SEARCH("금2",$H290)),ISNUMBER(SEARCH("금1.2",$H290))),1,"")</f>
        <v/>
      </c>
      <c r="W290" s="319">
        <f>IF(OR(ISNUMBER(SEARCH("금3",$H290)),ISNUMBER(SEARCH("금1.3",$H290)),ISNUMBER(SEARCH("금2.3",$H290)),ISNUMBER(SEARCH("금1.2.3",$H290))),1,"")</f>
        <v/>
      </c>
      <c r="X290" s="319">
        <f>IF(ISNUMBER(SEARCH("토1",$H290)),1,"")</f>
        <v/>
      </c>
      <c r="Y290" s="319">
        <f>IF(OR(ISNUMBER(SEARCH("토2",$H290)),ISNUMBER(SEARCH("토1.2",$H290))),1,"")</f>
        <v/>
      </c>
      <c r="Z290" s="319">
        <f>IF(OR(ISNUMBER(SEARCH("토3",$H290)),ISNUMBER(SEARCH("토1.3",$H290)),ISNUMBER(SEARCH("토2.3",$H290)),ISNUMBER(SEARCH("토1.2.3",$H290))),1,"")</f>
        <v/>
      </c>
      <c r="AA290" s="319">
        <f>IF(ISNUMBER(SEARCH("일1",$H290)),1,"")</f>
        <v/>
      </c>
      <c r="AB290" s="319">
        <f>IF(OR(ISNUMBER(SEARCH("일2",$H290)),ISNUMBER(SEARCH("일1.2",$H290))),1,"")</f>
        <v/>
      </c>
      <c r="AC290" s="319">
        <f>IF(OR(ISNUMBER(SEARCH("일3",$H290)),ISNUMBER(SEARCH("일1.3",$H290)),ISNUMBER(SEARCH("일2.3",$H290)),ISNUMBER(SEARCH("일1.2.3",$H290))),1,"")</f>
        <v/>
      </c>
      <c r="AD290" s="319">
        <f>SUM(I290:AC290)</f>
        <v/>
      </c>
      <c r="AE290" s="323" t="n"/>
    </row>
    <row r="291" ht="24" customHeight="1">
      <c r="A291" s="168" t="n"/>
      <c r="B291" s="319" t="n"/>
      <c r="C291" s="319" t="n"/>
      <c r="D291" s="319" t="n"/>
      <c r="E291" s="341" t="n"/>
      <c r="F291" s="341" t="n"/>
      <c r="G291" s="342" t="n"/>
      <c r="H291" s="322" t="n"/>
      <c r="I291" s="319">
        <f>IF(ISNUMBER(SEARCH("월1",$H291)),1,"")</f>
        <v/>
      </c>
      <c r="J291" s="319">
        <f>IF(OR(ISNUMBER(SEARCH("월2",$H291)),ISNUMBER(SEARCH("월1.2",$H291))),1,"")</f>
        <v/>
      </c>
      <c r="K291" s="319">
        <f>IF(OR(ISNUMBER(SEARCH("월3",$H291)),ISNUMBER(SEARCH("월1.3",$H291)),ISNUMBER(SEARCH("월2.3",$H291)),ISNUMBER(SEARCH("월1.2.3",$H291))),1,"")</f>
        <v/>
      </c>
      <c r="L291" s="319">
        <f>IF(ISNUMBER(SEARCH("화1",$H291)),1,"")</f>
        <v/>
      </c>
      <c r="M291" s="319">
        <f>IF(OR(ISNUMBER(SEARCH("화2",$H291)),ISNUMBER(SEARCH("화1.2",$H291))),1,"")</f>
        <v/>
      </c>
      <c r="N291" s="319">
        <f>IF(OR(ISNUMBER(SEARCH("화3",$H291)),ISNUMBER(SEARCH("화1.3",$H291)),ISNUMBER(SEARCH("화2.3",$H291)),ISNUMBER(SEARCH("화1.2.3",$H291))),1,"")</f>
        <v/>
      </c>
      <c r="O291" s="319">
        <f>IF(ISNUMBER(SEARCH("수1",$H291)),1,"")</f>
        <v/>
      </c>
      <c r="P291" s="319">
        <f>IF(OR(ISNUMBER(SEARCH("수2",$H291)),ISNUMBER(SEARCH("수1.2",$H291))),1,"")</f>
        <v/>
      </c>
      <c r="Q291" s="319">
        <f>IF(OR(ISNUMBER(SEARCH("수3",$H291)),ISNUMBER(SEARCH("수1.3",$H291)),ISNUMBER(SEARCH("수2.3",$H291)),ISNUMBER(SEARCH("수1.2.3",$H291))),1,"")</f>
        <v/>
      </c>
      <c r="R291" s="319">
        <f>IF(ISNUMBER(SEARCH("목1",$H291)),1,"")</f>
        <v/>
      </c>
      <c r="S291" s="319">
        <f>IF(OR(ISNUMBER(SEARCH("목2",$H291)),ISNUMBER(SEARCH("목1.2",$H291))),1,"")</f>
        <v/>
      </c>
      <c r="T291" s="319">
        <f>IF(OR(ISNUMBER(SEARCH("목3",$H291)),ISNUMBER(SEARCH("목1.3",$H291)),ISNUMBER(SEARCH("목2.3",$H291)),ISNUMBER(SEARCH("목1.2.3",$H291))),1,"")</f>
        <v/>
      </c>
      <c r="U291" s="319">
        <f>IF(ISNUMBER(SEARCH("금1",$H291)),1,"")</f>
        <v/>
      </c>
      <c r="V291" s="319">
        <f>IF(OR(ISNUMBER(SEARCH("금2",$H291)),ISNUMBER(SEARCH("금1.2",$H291))),1,"")</f>
        <v/>
      </c>
      <c r="W291" s="319">
        <f>IF(OR(ISNUMBER(SEARCH("금3",$H291)),ISNUMBER(SEARCH("금1.3",$H291)),ISNUMBER(SEARCH("금2.3",$H291)),ISNUMBER(SEARCH("금1.2.3",$H291))),1,"")</f>
        <v/>
      </c>
      <c r="X291" s="319">
        <f>IF(ISNUMBER(SEARCH("토1",$H291)),1,"")</f>
        <v/>
      </c>
      <c r="Y291" s="319">
        <f>IF(OR(ISNUMBER(SEARCH("토2",$H291)),ISNUMBER(SEARCH("토1.2",$H291))),1,"")</f>
        <v/>
      </c>
      <c r="Z291" s="319">
        <f>IF(OR(ISNUMBER(SEARCH("토3",$H291)),ISNUMBER(SEARCH("토1.3",$H291)),ISNUMBER(SEARCH("토2.3",$H291)),ISNUMBER(SEARCH("토1.2.3",$H291))),1,"")</f>
        <v/>
      </c>
      <c r="AA291" s="319">
        <f>IF(ISNUMBER(SEARCH("일1",$H291)),1,"")</f>
        <v/>
      </c>
      <c r="AB291" s="319">
        <f>IF(OR(ISNUMBER(SEARCH("일2",$H291)),ISNUMBER(SEARCH("일1.2",$H291))),1,"")</f>
        <v/>
      </c>
      <c r="AC291" s="319">
        <f>IF(OR(ISNUMBER(SEARCH("일3",$H291)),ISNUMBER(SEARCH("일1.3",$H291)),ISNUMBER(SEARCH("일2.3",$H291)),ISNUMBER(SEARCH("일1.2.3",$H291))),1,"")</f>
        <v/>
      </c>
      <c r="AD291" s="319">
        <f>SUM(I291:AC291)</f>
        <v/>
      </c>
      <c r="AE291" s="323" t="n"/>
    </row>
    <row r="292" ht="24" customHeight="1">
      <c r="A292" s="168" t="n"/>
      <c r="B292" s="319" t="n"/>
      <c r="C292" s="319" t="n"/>
      <c r="D292" s="319" t="n"/>
      <c r="E292" s="341" t="n"/>
      <c r="F292" s="341" t="n"/>
      <c r="G292" s="342" t="n"/>
      <c r="H292" s="322" t="n"/>
      <c r="I292" s="319">
        <f>IF(ISNUMBER(SEARCH("월1",$H292)),1,"")</f>
        <v/>
      </c>
      <c r="J292" s="319">
        <f>IF(OR(ISNUMBER(SEARCH("월2",$H292)),ISNUMBER(SEARCH("월1.2",$H292))),1,"")</f>
        <v/>
      </c>
      <c r="K292" s="319">
        <f>IF(OR(ISNUMBER(SEARCH("월3",$H292)),ISNUMBER(SEARCH("월1.3",$H292)),ISNUMBER(SEARCH("월2.3",$H292)),ISNUMBER(SEARCH("월1.2.3",$H292))),1,"")</f>
        <v/>
      </c>
      <c r="L292" s="319">
        <f>IF(ISNUMBER(SEARCH("화1",$H292)),1,"")</f>
        <v/>
      </c>
      <c r="M292" s="319">
        <f>IF(OR(ISNUMBER(SEARCH("화2",$H292)),ISNUMBER(SEARCH("화1.2",$H292))),1,"")</f>
        <v/>
      </c>
      <c r="N292" s="319">
        <f>IF(OR(ISNUMBER(SEARCH("화3",$H292)),ISNUMBER(SEARCH("화1.3",$H292)),ISNUMBER(SEARCH("화2.3",$H292)),ISNUMBER(SEARCH("화1.2.3",$H292))),1,"")</f>
        <v/>
      </c>
      <c r="O292" s="319">
        <f>IF(ISNUMBER(SEARCH("수1",$H292)),1,"")</f>
        <v/>
      </c>
      <c r="P292" s="319">
        <f>IF(OR(ISNUMBER(SEARCH("수2",$H292)),ISNUMBER(SEARCH("수1.2",$H292))),1,"")</f>
        <v/>
      </c>
      <c r="Q292" s="319">
        <f>IF(OR(ISNUMBER(SEARCH("수3",$H292)),ISNUMBER(SEARCH("수1.3",$H292)),ISNUMBER(SEARCH("수2.3",$H292)),ISNUMBER(SEARCH("수1.2.3",$H292))),1,"")</f>
        <v/>
      </c>
      <c r="R292" s="319">
        <f>IF(ISNUMBER(SEARCH("목1",$H292)),1,"")</f>
        <v/>
      </c>
      <c r="S292" s="319">
        <f>IF(OR(ISNUMBER(SEARCH("목2",$H292)),ISNUMBER(SEARCH("목1.2",$H292))),1,"")</f>
        <v/>
      </c>
      <c r="T292" s="319">
        <f>IF(OR(ISNUMBER(SEARCH("목3",$H292)),ISNUMBER(SEARCH("목1.3",$H292)),ISNUMBER(SEARCH("목2.3",$H292)),ISNUMBER(SEARCH("목1.2.3",$H292))),1,"")</f>
        <v/>
      </c>
      <c r="U292" s="319">
        <f>IF(ISNUMBER(SEARCH("금1",$H292)),1,"")</f>
        <v/>
      </c>
      <c r="V292" s="319">
        <f>IF(OR(ISNUMBER(SEARCH("금2",$H292)),ISNUMBER(SEARCH("금1.2",$H292))),1,"")</f>
        <v/>
      </c>
      <c r="W292" s="319">
        <f>IF(OR(ISNUMBER(SEARCH("금3",$H292)),ISNUMBER(SEARCH("금1.3",$H292)),ISNUMBER(SEARCH("금2.3",$H292)),ISNUMBER(SEARCH("금1.2.3",$H292))),1,"")</f>
        <v/>
      </c>
      <c r="X292" s="319">
        <f>IF(ISNUMBER(SEARCH("토1",$H292)),1,"")</f>
        <v/>
      </c>
      <c r="Y292" s="319">
        <f>IF(OR(ISNUMBER(SEARCH("토2",$H292)),ISNUMBER(SEARCH("토1.2",$H292))),1,"")</f>
        <v/>
      </c>
      <c r="Z292" s="319">
        <f>IF(OR(ISNUMBER(SEARCH("토3",$H292)),ISNUMBER(SEARCH("토1.3",$H292)),ISNUMBER(SEARCH("토2.3",$H292)),ISNUMBER(SEARCH("토1.2.3",$H292))),1,"")</f>
        <v/>
      </c>
      <c r="AA292" s="319">
        <f>IF(ISNUMBER(SEARCH("일1",$H292)),1,"")</f>
        <v/>
      </c>
      <c r="AB292" s="319">
        <f>IF(OR(ISNUMBER(SEARCH("일2",$H292)),ISNUMBER(SEARCH("일1.2",$H292))),1,"")</f>
        <v/>
      </c>
      <c r="AC292" s="319">
        <f>IF(OR(ISNUMBER(SEARCH("일3",$H292)),ISNUMBER(SEARCH("일1.3",$H292)),ISNUMBER(SEARCH("일2.3",$H292)),ISNUMBER(SEARCH("일1.2.3",$H292))),1,"")</f>
        <v/>
      </c>
      <c r="AD292" s="319">
        <f>SUM(I292:AC292)</f>
        <v/>
      </c>
      <c r="AE292" s="323" t="n"/>
    </row>
    <row r="293" ht="24" customHeight="1">
      <c r="A293" s="168" t="n"/>
      <c r="B293" s="319" t="n"/>
      <c r="C293" s="319" t="n"/>
      <c r="D293" s="319" t="n"/>
      <c r="E293" s="341" t="n"/>
      <c r="F293" s="341" t="n"/>
      <c r="G293" s="342" t="n"/>
      <c r="H293" s="322" t="n"/>
      <c r="I293" s="319">
        <f>IF(ISNUMBER(SEARCH("월1",$H293)),1,"")</f>
        <v/>
      </c>
      <c r="J293" s="319">
        <f>IF(OR(ISNUMBER(SEARCH("월2",$H293)),ISNUMBER(SEARCH("월1.2",$H293))),1,"")</f>
        <v/>
      </c>
      <c r="K293" s="319">
        <f>IF(OR(ISNUMBER(SEARCH("월3",$H293)),ISNUMBER(SEARCH("월1.3",$H293)),ISNUMBER(SEARCH("월2.3",$H293)),ISNUMBER(SEARCH("월1.2.3",$H293))),1,"")</f>
        <v/>
      </c>
      <c r="L293" s="319">
        <f>IF(ISNUMBER(SEARCH("화1",$H293)),1,"")</f>
        <v/>
      </c>
      <c r="M293" s="319">
        <f>IF(OR(ISNUMBER(SEARCH("화2",$H293)),ISNUMBER(SEARCH("화1.2",$H293))),1,"")</f>
        <v/>
      </c>
      <c r="N293" s="319">
        <f>IF(OR(ISNUMBER(SEARCH("화3",$H293)),ISNUMBER(SEARCH("화1.3",$H293)),ISNUMBER(SEARCH("화2.3",$H293)),ISNUMBER(SEARCH("화1.2.3",$H293))),1,"")</f>
        <v/>
      </c>
      <c r="O293" s="319">
        <f>IF(ISNUMBER(SEARCH("수1",$H293)),1,"")</f>
        <v/>
      </c>
      <c r="P293" s="319">
        <f>IF(OR(ISNUMBER(SEARCH("수2",$H293)),ISNUMBER(SEARCH("수1.2",$H293))),1,"")</f>
        <v/>
      </c>
      <c r="Q293" s="319">
        <f>IF(OR(ISNUMBER(SEARCH("수3",$H293)),ISNUMBER(SEARCH("수1.3",$H293)),ISNUMBER(SEARCH("수2.3",$H293)),ISNUMBER(SEARCH("수1.2.3",$H293))),1,"")</f>
        <v/>
      </c>
      <c r="R293" s="319">
        <f>IF(ISNUMBER(SEARCH("목1",$H293)),1,"")</f>
        <v/>
      </c>
      <c r="S293" s="319">
        <f>IF(OR(ISNUMBER(SEARCH("목2",$H293)),ISNUMBER(SEARCH("목1.2",$H293))),1,"")</f>
        <v/>
      </c>
      <c r="T293" s="319">
        <f>IF(OR(ISNUMBER(SEARCH("목3",$H293)),ISNUMBER(SEARCH("목1.3",$H293)),ISNUMBER(SEARCH("목2.3",$H293)),ISNUMBER(SEARCH("목1.2.3",$H293))),1,"")</f>
        <v/>
      </c>
      <c r="U293" s="319">
        <f>IF(ISNUMBER(SEARCH("금1",$H293)),1,"")</f>
        <v/>
      </c>
      <c r="V293" s="319">
        <f>IF(OR(ISNUMBER(SEARCH("금2",$H293)),ISNUMBER(SEARCH("금1.2",$H293))),1,"")</f>
        <v/>
      </c>
      <c r="W293" s="319">
        <f>IF(OR(ISNUMBER(SEARCH("금3",$H293)),ISNUMBER(SEARCH("금1.3",$H293)),ISNUMBER(SEARCH("금2.3",$H293)),ISNUMBER(SEARCH("금1.2.3",$H293))),1,"")</f>
        <v/>
      </c>
      <c r="X293" s="319">
        <f>IF(ISNUMBER(SEARCH("토1",$H293)),1,"")</f>
        <v/>
      </c>
      <c r="Y293" s="319">
        <f>IF(OR(ISNUMBER(SEARCH("토2",$H293)),ISNUMBER(SEARCH("토1.2",$H293))),1,"")</f>
        <v/>
      </c>
      <c r="Z293" s="319">
        <f>IF(OR(ISNUMBER(SEARCH("토3",$H293)),ISNUMBER(SEARCH("토1.3",$H293)),ISNUMBER(SEARCH("토2.3",$H293)),ISNUMBER(SEARCH("토1.2.3",$H293))),1,"")</f>
        <v/>
      </c>
      <c r="AA293" s="319">
        <f>IF(ISNUMBER(SEARCH("일1",$H293)),1,"")</f>
        <v/>
      </c>
      <c r="AB293" s="319">
        <f>IF(OR(ISNUMBER(SEARCH("일2",$H293)),ISNUMBER(SEARCH("일1.2",$H293))),1,"")</f>
        <v/>
      </c>
      <c r="AC293" s="319">
        <f>IF(OR(ISNUMBER(SEARCH("일3",$H293)),ISNUMBER(SEARCH("일1.3",$H293)),ISNUMBER(SEARCH("일2.3",$H293)),ISNUMBER(SEARCH("일1.2.3",$H293))),1,"")</f>
        <v/>
      </c>
      <c r="AD293" s="319">
        <f>SUM(I293:AC293)</f>
        <v/>
      </c>
      <c r="AE293" s="323" t="n"/>
    </row>
    <row r="294" ht="24" customHeight="1">
      <c r="A294" s="168" t="n"/>
      <c r="B294" s="319" t="n"/>
      <c r="C294" s="319" t="n"/>
      <c r="D294" s="319" t="n"/>
      <c r="E294" s="341" t="n"/>
      <c r="F294" s="341" t="n"/>
      <c r="G294" s="342" t="n"/>
      <c r="H294" s="322" t="n"/>
      <c r="I294" s="319">
        <f>IF(ISNUMBER(SEARCH("월1",$H294)),1,"")</f>
        <v/>
      </c>
      <c r="J294" s="319">
        <f>IF(OR(ISNUMBER(SEARCH("월2",$H294)),ISNUMBER(SEARCH("월1.2",$H294))),1,"")</f>
        <v/>
      </c>
      <c r="K294" s="319">
        <f>IF(OR(ISNUMBER(SEARCH("월3",$H294)),ISNUMBER(SEARCH("월1.3",$H294)),ISNUMBER(SEARCH("월2.3",$H294)),ISNUMBER(SEARCH("월1.2.3",$H294))),1,"")</f>
        <v/>
      </c>
      <c r="L294" s="319">
        <f>IF(ISNUMBER(SEARCH("화1",$H294)),1,"")</f>
        <v/>
      </c>
      <c r="M294" s="319">
        <f>IF(OR(ISNUMBER(SEARCH("화2",$H294)),ISNUMBER(SEARCH("화1.2",$H294))),1,"")</f>
        <v/>
      </c>
      <c r="N294" s="319">
        <f>IF(OR(ISNUMBER(SEARCH("화3",$H294)),ISNUMBER(SEARCH("화1.3",$H294)),ISNUMBER(SEARCH("화2.3",$H294)),ISNUMBER(SEARCH("화1.2.3",$H294))),1,"")</f>
        <v/>
      </c>
      <c r="O294" s="319">
        <f>IF(ISNUMBER(SEARCH("수1",$H294)),1,"")</f>
        <v/>
      </c>
      <c r="P294" s="319">
        <f>IF(OR(ISNUMBER(SEARCH("수2",$H294)),ISNUMBER(SEARCH("수1.2",$H294))),1,"")</f>
        <v/>
      </c>
      <c r="Q294" s="319">
        <f>IF(OR(ISNUMBER(SEARCH("수3",$H294)),ISNUMBER(SEARCH("수1.3",$H294)),ISNUMBER(SEARCH("수2.3",$H294)),ISNUMBER(SEARCH("수1.2.3",$H294))),1,"")</f>
        <v/>
      </c>
      <c r="R294" s="319">
        <f>IF(ISNUMBER(SEARCH("목1",$H294)),1,"")</f>
        <v/>
      </c>
      <c r="S294" s="319">
        <f>IF(OR(ISNUMBER(SEARCH("목2",$H294)),ISNUMBER(SEARCH("목1.2",$H294))),1,"")</f>
        <v/>
      </c>
      <c r="T294" s="319">
        <f>IF(OR(ISNUMBER(SEARCH("목3",$H294)),ISNUMBER(SEARCH("목1.3",$H294)),ISNUMBER(SEARCH("목2.3",$H294)),ISNUMBER(SEARCH("목1.2.3",$H294))),1,"")</f>
        <v/>
      </c>
      <c r="U294" s="319">
        <f>IF(ISNUMBER(SEARCH("금1",$H294)),1,"")</f>
        <v/>
      </c>
      <c r="V294" s="319">
        <f>IF(OR(ISNUMBER(SEARCH("금2",$H294)),ISNUMBER(SEARCH("금1.2",$H294))),1,"")</f>
        <v/>
      </c>
      <c r="W294" s="319">
        <f>IF(OR(ISNUMBER(SEARCH("금3",$H294)),ISNUMBER(SEARCH("금1.3",$H294)),ISNUMBER(SEARCH("금2.3",$H294)),ISNUMBER(SEARCH("금1.2.3",$H294))),1,"")</f>
        <v/>
      </c>
      <c r="X294" s="319">
        <f>IF(ISNUMBER(SEARCH("토1",$H294)),1,"")</f>
        <v/>
      </c>
      <c r="Y294" s="319">
        <f>IF(OR(ISNUMBER(SEARCH("토2",$H294)),ISNUMBER(SEARCH("토1.2",$H294))),1,"")</f>
        <v/>
      </c>
      <c r="Z294" s="319">
        <f>IF(OR(ISNUMBER(SEARCH("토3",$H294)),ISNUMBER(SEARCH("토1.3",$H294)),ISNUMBER(SEARCH("토2.3",$H294)),ISNUMBER(SEARCH("토1.2.3",$H294))),1,"")</f>
        <v/>
      </c>
      <c r="AA294" s="319">
        <f>IF(ISNUMBER(SEARCH("일1",$H294)),1,"")</f>
        <v/>
      </c>
      <c r="AB294" s="319">
        <f>IF(OR(ISNUMBER(SEARCH("일2",$H294)),ISNUMBER(SEARCH("일1.2",$H294))),1,"")</f>
        <v/>
      </c>
      <c r="AC294" s="319">
        <f>IF(OR(ISNUMBER(SEARCH("일3",$H294)),ISNUMBER(SEARCH("일1.3",$H294)),ISNUMBER(SEARCH("일2.3",$H294)),ISNUMBER(SEARCH("일1.2.3",$H294))),1,"")</f>
        <v/>
      </c>
      <c r="AD294" s="319">
        <f>SUM(I294:AC294)</f>
        <v/>
      </c>
      <c r="AE294" s="323" t="n"/>
    </row>
    <row r="295" ht="24" customHeight="1">
      <c r="A295" s="168" t="n"/>
      <c r="B295" s="319" t="n"/>
      <c r="C295" s="319" t="n"/>
      <c r="D295" s="319" t="n"/>
      <c r="E295" s="341" t="n"/>
      <c r="F295" s="341" t="n"/>
      <c r="G295" s="342" t="n"/>
      <c r="H295" s="322" t="n"/>
      <c r="I295" s="319">
        <f>IF(ISNUMBER(SEARCH("월1",$H295)),1,"")</f>
        <v/>
      </c>
      <c r="J295" s="319">
        <f>IF(OR(ISNUMBER(SEARCH("월2",$H295)),ISNUMBER(SEARCH("월1.2",$H295))),1,"")</f>
        <v/>
      </c>
      <c r="K295" s="319">
        <f>IF(OR(ISNUMBER(SEARCH("월3",$H295)),ISNUMBER(SEARCH("월1.3",$H295)),ISNUMBER(SEARCH("월2.3",$H295)),ISNUMBER(SEARCH("월1.2.3",$H295))),1,"")</f>
        <v/>
      </c>
      <c r="L295" s="319">
        <f>IF(ISNUMBER(SEARCH("화1",$H295)),1,"")</f>
        <v/>
      </c>
      <c r="M295" s="319">
        <f>IF(OR(ISNUMBER(SEARCH("화2",$H295)),ISNUMBER(SEARCH("화1.2",$H295))),1,"")</f>
        <v/>
      </c>
      <c r="N295" s="319">
        <f>IF(OR(ISNUMBER(SEARCH("화3",$H295)),ISNUMBER(SEARCH("화1.3",$H295)),ISNUMBER(SEARCH("화2.3",$H295)),ISNUMBER(SEARCH("화1.2.3",$H295))),1,"")</f>
        <v/>
      </c>
      <c r="O295" s="319">
        <f>IF(ISNUMBER(SEARCH("수1",$H295)),1,"")</f>
        <v/>
      </c>
      <c r="P295" s="319">
        <f>IF(OR(ISNUMBER(SEARCH("수2",$H295)),ISNUMBER(SEARCH("수1.2",$H295))),1,"")</f>
        <v/>
      </c>
      <c r="Q295" s="319">
        <f>IF(OR(ISNUMBER(SEARCH("수3",$H295)),ISNUMBER(SEARCH("수1.3",$H295)),ISNUMBER(SEARCH("수2.3",$H295)),ISNUMBER(SEARCH("수1.2.3",$H295))),1,"")</f>
        <v/>
      </c>
      <c r="R295" s="319">
        <f>IF(ISNUMBER(SEARCH("목1",$H295)),1,"")</f>
        <v/>
      </c>
      <c r="S295" s="319">
        <f>IF(OR(ISNUMBER(SEARCH("목2",$H295)),ISNUMBER(SEARCH("목1.2",$H295))),1,"")</f>
        <v/>
      </c>
      <c r="T295" s="319">
        <f>IF(OR(ISNUMBER(SEARCH("목3",$H295)),ISNUMBER(SEARCH("목1.3",$H295)),ISNUMBER(SEARCH("목2.3",$H295)),ISNUMBER(SEARCH("목1.2.3",$H295))),1,"")</f>
        <v/>
      </c>
      <c r="U295" s="319">
        <f>IF(ISNUMBER(SEARCH("금1",$H295)),1,"")</f>
        <v/>
      </c>
      <c r="V295" s="319">
        <f>IF(OR(ISNUMBER(SEARCH("금2",$H295)),ISNUMBER(SEARCH("금1.2",$H295))),1,"")</f>
        <v/>
      </c>
      <c r="W295" s="319">
        <f>IF(OR(ISNUMBER(SEARCH("금3",$H295)),ISNUMBER(SEARCH("금1.3",$H295)),ISNUMBER(SEARCH("금2.3",$H295)),ISNUMBER(SEARCH("금1.2.3",$H295))),1,"")</f>
        <v/>
      </c>
      <c r="X295" s="319">
        <f>IF(ISNUMBER(SEARCH("토1",$H295)),1,"")</f>
        <v/>
      </c>
      <c r="Y295" s="319">
        <f>IF(OR(ISNUMBER(SEARCH("토2",$H295)),ISNUMBER(SEARCH("토1.2",$H295))),1,"")</f>
        <v/>
      </c>
      <c r="Z295" s="319">
        <f>IF(OR(ISNUMBER(SEARCH("토3",$H295)),ISNUMBER(SEARCH("토1.3",$H295)),ISNUMBER(SEARCH("토2.3",$H295)),ISNUMBER(SEARCH("토1.2.3",$H295))),1,"")</f>
        <v/>
      </c>
      <c r="AA295" s="319">
        <f>IF(ISNUMBER(SEARCH("일1",$H295)),1,"")</f>
        <v/>
      </c>
      <c r="AB295" s="319">
        <f>IF(OR(ISNUMBER(SEARCH("일2",$H295)),ISNUMBER(SEARCH("일1.2",$H295))),1,"")</f>
        <v/>
      </c>
      <c r="AC295" s="319">
        <f>IF(OR(ISNUMBER(SEARCH("일3",$H295)),ISNUMBER(SEARCH("일1.3",$H295)),ISNUMBER(SEARCH("일2.3",$H295)),ISNUMBER(SEARCH("일1.2.3",$H295))),1,"")</f>
        <v/>
      </c>
      <c r="AD295" s="319">
        <f>SUM(I295:AC295)</f>
        <v/>
      </c>
      <c r="AE295" s="323" t="n"/>
    </row>
    <row r="296" ht="24" customHeight="1">
      <c r="A296" s="168" t="n"/>
      <c r="B296" s="319" t="n"/>
      <c r="C296" s="319" t="n"/>
      <c r="D296" s="319" t="n"/>
      <c r="E296" s="341" t="n"/>
      <c r="F296" s="341" t="n"/>
      <c r="G296" s="342" t="n"/>
      <c r="H296" s="322" t="n"/>
      <c r="I296" s="319">
        <f>IF(ISNUMBER(SEARCH("월1",$H296)),1,"")</f>
        <v/>
      </c>
      <c r="J296" s="319">
        <f>IF(OR(ISNUMBER(SEARCH("월2",$H296)),ISNUMBER(SEARCH("월1.2",$H296))),1,"")</f>
        <v/>
      </c>
      <c r="K296" s="319">
        <f>IF(OR(ISNUMBER(SEARCH("월3",$H296)),ISNUMBER(SEARCH("월1.3",$H296)),ISNUMBER(SEARCH("월2.3",$H296)),ISNUMBER(SEARCH("월1.2.3",$H296))),1,"")</f>
        <v/>
      </c>
      <c r="L296" s="319">
        <f>IF(ISNUMBER(SEARCH("화1",$H296)),1,"")</f>
        <v/>
      </c>
      <c r="M296" s="319">
        <f>IF(OR(ISNUMBER(SEARCH("화2",$H296)),ISNUMBER(SEARCH("화1.2",$H296))),1,"")</f>
        <v/>
      </c>
      <c r="N296" s="319">
        <f>IF(OR(ISNUMBER(SEARCH("화3",$H296)),ISNUMBER(SEARCH("화1.3",$H296)),ISNUMBER(SEARCH("화2.3",$H296)),ISNUMBER(SEARCH("화1.2.3",$H296))),1,"")</f>
        <v/>
      </c>
      <c r="O296" s="319">
        <f>IF(ISNUMBER(SEARCH("수1",$H296)),1,"")</f>
        <v/>
      </c>
      <c r="P296" s="319">
        <f>IF(OR(ISNUMBER(SEARCH("수2",$H296)),ISNUMBER(SEARCH("수1.2",$H296))),1,"")</f>
        <v/>
      </c>
      <c r="Q296" s="319">
        <f>IF(OR(ISNUMBER(SEARCH("수3",$H296)),ISNUMBER(SEARCH("수1.3",$H296)),ISNUMBER(SEARCH("수2.3",$H296)),ISNUMBER(SEARCH("수1.2.3",$H296))),1,"")</f>
        <v/>
      </c>
      <c r="R296" s="319">
        <f>IF(ISNUMBER(SEARCH("목1",$H296)),1,"")</f>
        <v/>
      </c>
      <c r="S296" s="319">
        <f>IF(OR(ISNUMBER(SEARCH("목2",$H296)),ISNUMBER(SEARCH("목1.2",$H296))),1,"")</f>
        <v/>
      </c>
      <c r="T296" s="319">
        <f>IF(OR(ISNUMBER(SEARCH("목3",$H296)),ISNUMBER(SEARCH("목1.3",$H296)),ISNUMBER(SEARCH("목2.3",$H296)),ISNUMBER(SEARCH("목1.2.3",$H296))),1,"")</f>
        <v/>
      </c>
      <c r="U296" s="319">
        <f>IF(ISNUMBER(SEARCH("금1",$H296)),1,"")</f>
        <v/>
      </c>
      <c r="V296" s="319">
        <f>IF(OR(ISNUMBER(SEARCH("금2",$H296)),ISNUMBER(SEARCH("금1.2",$H296))),1,"")</f>
        <v/>
      </c>
      <c r="W296" s="319">
        <f>IF(OR(ISNUMBER(SEARCH("금3",$H296)),ISNUMBER(SEARCH("금1.3",$H296)),ISNUMBER(SEARCH("금2.3",$H296)),ISNUMBER(SEARCH("금1.2.3",$H296))),1,"")</f>
        <v/>
      </c>
      <c r="X296" s="319">
        <f>IF(ISNUMBER(SEARCH("토1",$H296)),1,"")</f>
        <v/>
      </c>
      <c r="Y296" s="319">
        <f>IF(OR(ISNUMBER(SEARCH("토2",$H296)),ISNUMBER(SEARCH("토1.2",$H296))),1,"")</f>
        <v/>
      </c>
      <c r="Z296" s="319">
        <f>IF(OR(ISNUMBER(SEARCH("토3",$H296)),ISNUMBER(SEARCH("토1.3",$H296)),ISNUMBER(SEARCH("토2.3",$H296)),ISNUMBER(SEARCH("토1.2.3",$H296))),1,"")</f>
        <v/>
      </c>
      <c r="AA296" s="319">
        <f>IF(ISNUMBER(SEARCH("일1",$H296)),1,"")</f>
        <v/>
      </c>
      <c r="AB296" s="319">
        <f>IF(OR(ISNUMBER(SEARCH("일2",$H296)),ISNUMBER(SEARCH("일1.2",$H296))),1,"")</f>
        <v/>
      </c>
      <c r="AC296" s="319">
        <f>IF(OR(ISNUMBER(SEARCH("일3",$H296)),ISNUMBER(SEARCH("일1.3",$H296)),ISNUMBER(SEARCH("일2.3",$H296)),ISNUMBER(SEARCH("일1.2.3",$H296))),1,"")</f>
        <v/>
      </c>
      <c r="AD296" s="319">
        <f>SUM(I296:AC296)</f>
        <v/>
      </c>
      <c r="AE296" s="323" t="n"/>
    </row>
    <row r="297" ht="24" customHeight="1">
      <c r="A297" s="168" t="n"/>
      <c r="B297" s="319" t="n"/>
      <c r="C297" s="319" t="n"/>
      <c r="D297" s="319" t="n"/>
      <c r="E297" s="341" t="n"/>
      <c r="F297" s="341" t="n"/>
      <c r="G297" s="342" t="n"/>
      <c r="H297" s="322" t="n"/>
      <c r="I297" s="319">
        <f>IF(ISNUMBER(SEARCH("월1",$H297)),1,"")</f>
        <v/>
      </c>
      <c r="J297" s="319">
        <f>IF(OR(ISNUMBER(SEARCH("월2",$H297)),ISNUMBER(SEARCH("월1.2",$H297))),1,"")</f>
        <v/>
      </c>
      <c r="K297" s="319">
        <f>IF(OR(ISNUMBER(SEARCH("월3",$H297)),ISNUMBER(SEARCH("월1.3",$H297)),ISNUMBER(SEARCH("월2.3",$H297)),ISNUMBER(SEARCH("월1.2.3",$H297))),1,"")</f>
        <v/>
      </c>
      <c r="L297" s="319">
        <f>IF(ISNUMBER(SEARCH("화1",$H297)),1,"")</f>
        <v/>
      </c>
      <c r="M297" s="319">
        <f>IF(OR(ISNUMBER(SEARCH("화2",$H297)),ISNUMBER(SEARCH("화1.2",$H297))),1,"")</f>
        <v/>
      </c>
      <c r="N297" s="319">
        <f>IF(OR(ISNUMBER(SEARCH("화3",$H297)),ISNUMBER(SEARCH("화1.3",$H297)),ISNUMBER(SEARCH("화2.3",$H297)),ISNUMBER(SEARCH("화1.2.3",$H297))),1,"")</f>
        <v/>
      </c>
      <c r="O297" s="319">
        <f>IF(ISNUMBER(SEARCH("수1",$H297)),1,"")</f>
        <v/>
      </c>
      <c r="P297" s="319">
        <f>IF(OR(ISNUMBER(SEARCH("수2",$H297)),ISNUMBER(SEARCH("수1.2",$H297))),1,"")</f>
        <v/>
      </c>
      <c r="Q297" s="319">
        <f>IF(OR(ISNUMBER(SEARCH("수3",$H297)),ISNUMBER(SEARCH("수1.3",$H297)),ISNUMBER(SEARCH("수2.3",$H297)),ISNUMBER(SEARCH("수1.2.3",$H297))),1,"")</f>
        <v/>
      </c>
      <c r="R297" s="319">
        <f>IF(ISNUMBER(SEARCH("목1",$H297)),1,"")</f>
        <v/>
      </c>
      <c r="S297" s="319">
        <f>IF(OR(ISNUMBER(SEARCH("목2",$H297)),ISNUMBER(SEARCH("목1.2",$H297))),1,"")</f>
        <v/>
      </c>
      <c r="T297" s="319">
        <f>IF(OR(ISNUMBER(SEARCH("목3",$H297)),ISNUMBER(SEARCH("목1.3",$H297)),ISNUMBER(SEARCH("목2.3",$H297)),ISNUMBER(SEARCH("목1.2.3",$H297))),1,"")</f>
        <v/>
      </c>
      <c r="U297" s="319">
        <f>IF(ISNUMBER(SEARCH("금1",$H297)),1,"")</f>
        <v/>
      </c>
      <c r="V297" s="319">
        <f>IF(OR(ISNUMBER(SEARCH("금2",$H297)),ISNUMBER(SEARCH("금1.2",$H297))),1,"")</f>
        <v/>
      </c>
      <c r="W297" s="319">
        <f>IF(OR(ISNUMBER(SEARCH("금3",$H297)),ISNUMBER(SEARCH("금1.3",$H297)),ISNUMBER(SEARCH("금2.3",$H297)),ISNUMBER(SEARCH("금1.2.3",$H297))),1,"")</f>
        <v/>
      </c>
      <c r="X297" s="319">
        <f>IF(ISNUMBER(SEARCH("토1",$H297)),1,"")</f>
        <v/>
      </c>
      <c r="Y297" s="319">
        <f>IF(OR(ISNUMBER(SEARCH("토2",$H297)),ISNUMBER(SEARCH("토1.2",$H297))),1,"")</f>
        <v/>
      </c>
      <c r="Z297" s="319">
        <f>IF(OR(ISNUMBER(SEARCH("토3",$H297)),ISNUMBER(SEARCH("토1.3",$H297)),ISNUMBER(SEARCH("토2.3",$H297)),ISNUMBER(SEARCH("토1.2.3",$H297))),1,"")</f>
        <v/>
      </c>
      <c r="AA297" s="319">
        <f>IF(ISNUMBER(SEARCH("일1",$H297)),1,"")</f>
        <v/>
      </c>
      <c r="AB297" s="319">
        <f>IF(OR(ISNUMBER(SEARCH("일2",$H297)),ISNUMBER(SEARCH("일1.2",$H297))),1,"")</f>
        <v/>
      </c>
      <c r="AC297" s="319">
        <f>IF(OR(ISNUMBER(SEARCH("일3",$H297)),ISNUMBER(SEARCH("일1.3",$H297)),ISNUMBER(SEARCH("일2.3",$H297)),ISNUMBER(SEARCH("일1.2.3",$H297))),1,"")</f>
        <v/>
      </c>
      <c r="AD297" s="319">
        <f>SUM(I297:AC297)</f>
        <v/>
      </c>
      <c r="AE297" s="323" t="n"/>
    </row>
    <row r="298" ht="24" customHeight="1">
      <c r="A298" s="168" t="n"/>
      <c r="B298" s="319" t="n"/>
      <c r="C298" s="319" t="n"/>
      <c r="D298" s="319" t="n"/>
      <c r="E298" s="341" t="n"/>
      <c r="F298" s="341" t="n"/>
      <c r="G298" s="342" t="n"/>
      <c r="H298" s="322" t="n"/>
      <c r="I298" s="319">
        <f>IF(ISNUMBER(SEARCH("월1",$H298)),1,"")</f>
        <v/>
      </c>
      <c r="J298" s="319">
        <f>IF(OR(ISNUMBER(SEARCH("월2",$H298)),ISNUMBER(SEARCH("월1.2",$H298))),1,"")</f>
        <v/>
      </c>
      <c r="K298" s="319">
        <f>IF(OR(ISNUMBER(SEARCH("월3",$H298)),ISNUMBER(SEARCH("월1.3",$H298)),ISNUMBER(SEARCH("월2.3",$H298)),ISNUMBER(SEARCH("월1.2.3",$H298))),1,"")</f>
        <v/>
      </c>
      <c r="L298" s="319">
        <f>IF(ISNUMBER(SEARCH("화1",$H298)),1,"")</f>
        <v/>
      </c>
      <c r="M298" s="319">
        <f>IF(OR(ISNUMBER(SEARCH("화2",$H298)),ISNUMBER(SEARCH("화1.2",$H298))),1,"")</f>
        <v/>
      </c>
      <c r="N298" s="319">
        <f>IF(OR(ISNUMBER(SEARCH("화3",$H298)),ISNUMBER(SEARCH("화1.3",$H298)),ISNUMBER(SEARCH("화2.3",$H298)),ISNUMBER(SEARCH("화1.2.3",$H298))),1,"")</f>
        <v/>
      </c>
      <c r="O298" s="319">
        <f>IF(ISNUMBER(SEARCH("수1",$H298)),1,"")</f>
        <v/>
      </c>
      <c r="P298" s="319">
        <f>IF(OR(ISNUMBER(SEARCH("수2",$H298)),ISNUMBER(SEARCH("수1.2",$H298))),1,"")</f>
        <v/>
      </c>
      <c r="Q298" s="319">
        <f>IF(OR(ISNUMBER(SEARCH("수3",$H298)),ISNUMBER(SEARCH("수1.3",$H298)),ISNUMBER(SEARCH("수2.3",$H298)),ISNUMBER(SEARCH("수1.2.3",$H298))),1,"")</f>
        <v/>
      </c>
      <c r="R298" s="319">
        <f>IF(ISNUMBER(SEARCH("목1",$H298)),1,"")</f>
        <v/>
      </c>
      <c r="S298" s="319">
        <f>IF(OR(ISNUMBER(SEARCH("목2",$H298)),ISNUMBER(SEARCH("목1.2",$H298))),1,"")</f>
        <v/>
      </c>
      <c r="T298" s="319">
        <f>IF(OR(ISNUMBER(SEARCH("목3",$H298)),ISNUMBER(SEARCH("목1.3",$H298)),ISNUMBER(SEARCH("목2.3",$H298)),ISNUMBER(SEARCH("목1.2.3",$H298))),1,"")</f>
        <v/>
      </c>
      <c r="U298" s="319">
        <f>IF(ISNUMBER(SEARCH("금1",$H298)),1,"")</f>
        <v/>
      </c>
      <c r="V298" s="319">
        <f>IF(OR(ISNUMBER(SEARCH("금2",$H298)),ISNUMBER(SEARCH("금1.2",$H298))),1,"")</f>
        <v/>
      </c>
      <c r="W298" s="319">
        <f>IF(OR(ISNUMBER(SEARCH("금3",$H298)),ISNUMBER(SEARCH("금1.3",$H298)),ISNUMBER(SEARCH("금2.3",$H298)),ISNUMBER(SEARCH("금1.2.3",$H298))),1,"")</f>
        <v/>
      </c>
      <c r="X298" s="319">
        <f>IF(ISNUMBER(SEARCH("토1",$H298)),1,"")</f>
        <v/>
      </c>
      <c r="Y298" s="319">
        <f>IF(OR(ISNUMBER(SEARCH("토2",$H298)),ISNUMBER(SEARCH("토1.2",$H298))),1,"")</f>
        <v/>
      </c>
      <c r="Z298" s="319">
        <f>IF(OR(ISNUMBER(SEARCH("토3",$H298)),ISNUMBER(SEARCH("토1.3",$H298)),ISNUMBER(SEARCH("토2.3",$H298)),ISNUMBER(SEARCH("토1.2.3",$H298))),1,"")</f>
        <v/>
      </c>
      <c r="AA298" s="319">
        <f>IF(ISNUMBER(SEARCH("일1",$H298)),1,"")</f>
        <v/>
      </c>
      <c r="AB298" s="319">
        <f>IF(OR(ISNUMBER(SEARCH("일2",$H298)),ISNUMBER(SEARCH("일1.2",$H298))),1,"")</f>
        <v/>
      </c>
      <c r="AC298" s="319">
        <f>IF(OR(ISNUMBER(SEARCH("일3",$H298)),ISNUMBER(SEARCH("일1.3",$H298)),ISNUMBER(SEARCH("일2.3",$H298)),ISNUMBER(SEARCH("일1.2.3",$H298))),1,"")</f>
        <v/>
      </c>
      <c r="AD298" s="319">
        <f>SUM(I298:AC298)</f>
        <v/>
      </c>
      <c r="AE298" s="323" t="n"/>
    </row>
    <row r="299" ht="24" customHeight="1">
      <c r="A299" s="168" t="n"/>
      <c r="B299" s="319" t="n"/>
      <c r="C299" s="319" t="n"/>
      <c r="D299" s="319" t="n"/>
      <c r="E299" s="341" t="n"/>
      <c r="F299" s="341" t="n"/>
      <c r="G299" s="342" t="n"/>
      <c r="H299" s="322" t="n"/>
      <c r="I299" s="319">
        <f>IF(ISNUMBER(SEARCH("월1",$H299)),1,"")</f>
        <v/>
      </c>
      <c r="J299" s="319">
        <f>IF(OR(ISNUMBER(SEARCH("월2",$H299)),ISNUMBER(SEARCH("월1.2",$H299))),1,"")</f>
        <v/>
      </c>
      <c r="K299" s="319">
        <f>IF(OR(ISNUMBER(SEARCH("월3",$H299)),ISNUMBER(SEARCH("월1.3",$H299)),ISNUMBER(SEARCH("월2.3",$H299)),ISNUMBER(SEARCH("월1.2.3",$H299))),1,"")</f>
        <v/>
      </c>
      <c r="L299" s="319">
        <f>IF(ISNUMBER(SEARCH("화1",$H299)),1,"")</f>
        <v/>
      </c>
      <c r="M299" s="319">
        <f>IF(OR(ISNUMBER(SEARCH("화2",$H299)),ISNUMBER(SEARCH("화1.2",$H299))),1,"")</f>
        <v/>
      </c>
      <c r="N299" s="319">
        <f>IF(OR(ISNUMBER(SEARCH("화3",$H299)),ISNUMBER(SEARCH("화1.3",$H299)),ISNUMBER(SEARCH("화2.3",$H299)),ISNUMBER(SEARCH("화1.2.3",$H299))),1,"")</f>
        <v/>
      </c>
      <c r="O299" s="319">
        <f>IF(ISNUMBER(SEARCH("수1",$H299)),1,"")</f>
        <v/>
      </c>
      <c r="P299" s="319">
        <f>IF(OR(ISNUMBER(SEARCH("수2",$H299)),ISNUMBER(SEARCH("수1.2",$H299))),1,"")</f>
        <v/>
      </c>
      <c r="Q299" s="319">
        <f>IF(OR(ISNUMBER(SEARCH("수3",$H299)),ISNUMBER(SEARCH("수1.3",$H299)),ISNUMBER(SEARCH("수2.3",$H299)),ISNUMBER(SEARCH("수1.2.3",$H299))),1,"")</f>
        <v/>
      </c>
      <c r="R299" s="319">
        <f>IF(ISNUMBER(SEARCH("목1",$H299)),1,"")</f>
        <v/>
      </c>
      <c r="S299" s="319">
        <f>IF(OR(ISNUMBER(SEARCH("목2",$H299)),ISNUMBER(SEARCH("목1.2",$H299))),1,"")</f>
        <v/>
      </c>
      <c r="T299" s="319">
        <f>IF(OR(ISNUMBER(SEARCH("목3",$H299)),ISNUMBER(SEARCH("목1.3",$H299)),ISNUMBER(SEARCH("목2.3",$H299)),ISNUMBER(SEARCH("목1.2.3",$H299))),1,"")</f>
        <v/>
      </c>
      <c r="U299" s="319">
        <f>IF(ISNUMBER(SEARCH("금1",$H299)),1,"")</f>
        <v/>
      </c>
      <c r="V299" s="319">
        <f>IF(OR(ISNUMBER(SEARCH("금2",$H299)),ISNUMBER(SEARCH("금1.2",$H299))),1,"")</f>
        <v/>
      </c>
      <c r="W299" s="319">
        <f>IF(OR(ISNUMBER(SEARCH("금3",$H299)),ISNUMBER(SEARCH("금1.3",$H299)),ISNUMBER(SEARCH("금2.3",$H299)),ISNUMBER(SEARCH("금1.2.3",$H299))),1,"")</f>
        <v/>
      </c>
      <c r="X299" s="319">
        <f>IF(ISNUMBER(SEARCH("토1",$H299)),1,"")</f>
        <v/>
      </c>
      <c r="Y299" s="319">
        <f>IF(OR(ISNUMBER(SEARCH("토2",$H299)),ISNUMBER(SEARCH("토1.2",$H299))),1,"")</f>
        <v/>
      </c>
      <c r="Z299" s="319">
        <f>IF(OR(ISNUMBER(SEARCH("토3",$H299)),ISNUMBER(SEARCH("토1.3",$H299)),ISNUMBER(SEARCH("토2.3",$H299)),ISNUMBER(SEARCH("토1.2.3",$H299))),1,"")</f>
        <v/>
      </c>
      <c r="AA299" s="319">
        <f>IF(ISNUMBER(SEARCH("일1",$H299)),1,"")</f>
        <v/>
      </c>
      <c r="AB299" s="319">
        <f>IF(OR(ISNUMBER(SEARCH("일2",$H299)),ISNUMBER(SEARCH("일1.2",$H299))),1,"")</f>
        <v/>
      </c>
      <c r="AC299" s="319">
        <f>IF(OR(ISNUMBER(SEARCH("일3",$H299)),ISNUMBER(SEARCH("일1.3",$H299)),ISNUMBER(SEARCH("일2.3",$H299)),ISNUMBER(SEARCH("일1.2.3",$H299))),1,"")</f>
        <v/>
      </c>
      <c r="AD299" s="319">
        <f>SUM(I299:AC299)</f>
        <v/>
      </c>
      <c r="AE299" s="323" t="n"/>
    </row>
    <row r="300" ht="24" customHeight="1">
      <c r="A300" s="168" t="n"/>
      <c r="B300" s="319" t="n"/>
      <c r="C300" s="319" t="n"/>
      <c r="D300" s="319" t="n"/>
      <c r="E300" s="341" t="n"/>
      <c r="F300" s="341" t="n"/>
      <c r="G300" s="342" t="n"/>
      <c r="H300" s="322" t="n"/>
      <c r="I300" s="319">
        <f>IF(ISNUMBER(SEARCH("월1",$H300)),1,"")</f>
        <v/>
      </c>
      <c r="J300" s="319">
        <f>IF(OR(ISNUMBER(SEARCH("월2",$H300)),ISNUMBER(SEARCH("월1.2",$H300))),1,"")</f>
        <v/>
      </c>
      <c r="K300" s="319">
        <f>IF(OR(ISNUMBER(SEARCH("월3",$H300)),ISNUMBER(SEARCH("월1.3",$H300)),ISNUMBER(SEARCH("월2.3",$H300)),ISNUMBER(SEARCH("월1.2.3",$H300))),1,"")</f>
        <v/>
      </c>
      <c r="L300" s="319">
        <f>IF(ISNUMBER(SEARCH("화1",$H300)),1,"")</f>
        <v/>
      </c>
      <c r="M300" s="319">
        <f>IF(OR(ISNUMBER(SEARCH("화2",$H300)),ISNUMBER(SEARCH("화1.2",$H300))),1,"")</f>
        <v/>
      </c>
      <c r="N300" s="319">
        <f>IF(OR(ISNUMBER(SEARCH("화3",$H300)),ISNUMBER(SEARCH("화1.3",$H300)),ISNUMBER(SEARCH("화2.3",$H300)),ISNUMBER(SEARCH("화1.2.3",$H300))),1,"")</f>
        <v/>
      </c>
      <c r="O300" s="319">
        <f>IF(ISNUMBER(SEARCH("수1",$H300)),1,"")</f>
        <v/>
      </c>
      <c r="P300" s="319">
        <f>IF(OR(ISNUMBER(SEARCH("수2",$H300)),ISNUMBER(SEARCH("수1.2",$H300))),1,"")</f>
        <v/>
      </c>
      <c r="Q300" s="319">
        <f>IF(OR(ISNUMBER(SEARCH("수3",$H300)),ISNUMBER(SEARCH("수1.3",$H300)),ISNUMBER(SEARCH("수2.3",$H300)),ISNUMBER(SEARCH("수1.2.3",$H300))),1,"")</f>
        <v/>
      </c>
      <c r="R300" s="319">
        <f>IF(ISNUMBER(SEARCH("목1",$H300)),1,"")</f>
        <v/>
      </c>
      <c r="S300" s="319">
        <f>IF(OR(ISNUMBER(SEARCH("목2",$H300)),ISNUMBER(SEARCH("목1.2",$H300))),1,"")</f>
        <v/>
      </c>
      <c r="T300" s="319">
        <f>IF(OR(ISNUMBER(SEARCH("목3",$H300)),ISNUMBER(SEARCH("목1.3",$H300)),ISNUMBER(SEARCH("목2.3",$H300)),ISNUMBER(SEARCH("목1.2.3",$H300))),1,"")</f>
        <v/>
      </c>
      <c r="U300" s="319">
        <f>IF(ISNUMBER(SEARCH("금1",$H300)),1,"")</f>
        <v/>
      </c>
      <c r="V300" s="319">
        <f>IF(OR(ISNUMBER(SEARCH("금2",$H300)),ISNUMBER(SEARCH("금1.2",$H300))),1,"")</f>
        <v/>
      </c>
      <c r="W300" s="319">
        <f>IF(OR(ISNUMBER(SEARCH("금3",$H300)),ISNUMBER(SEARCH("금1.3",$H300)),ISNUMBER(SEARCH("금2.3",$H300)),ISNUMBER(SEARCH("금1.2.3",$H300))),1,"")</f>
        <v/>
      </c>
      <c r="X300" s="319">
        <f>IF(ISNUMBER(SEARCH("토1",$H300)),1,"")</f>
        <v/>
      </c>
      <c r="Y300" s="319">
        <f>IF(OR(ISNUMBER(SEARCH("토2",$H300)),ISNUMBER(SEARCH("토1.2",$H300))),1,"")</f>
        <v/>
      </c>
      <c r="Z300" s="319">
        <f>IF(OR(ISNUMBER(SEARCH("토3",$H300)),ISNUMBER(SEARCH("토1.3",$H300)),ISNUMBER(SEARCH("토2.3",$H300)),ISNUMBER(SEARCH("토1.2.3",$H300))),1,"")</f>
        <v/>
      </c>
      <c r="AA300" s="319">
        <f>IF(ISNUMBER(SEARCH("일1",$H300)),1,"")</f>
        <v/>
      </c>
      <c r="AB300" s="319">
        <f>IF(OR(ISNUMBER(SEARCH("일2",$H300)),ISNUMBER(SEARCH("일1.2",$H300))),1,"")</f>
        <v/>
      </c>
      <c r="AC300" s="319">
        <f>IF(OR(ISNUMBER(SEARCH("일3",$H300)),ISNUMBER(SEARCH("일1.3",$H300)),ISNUMBER(SEARCH("일2.3",$H300)),ISNUMBER(SEARCH("일1.2.3",$H300))),1,"")</f>
        <v/>
      </c>
      <c r="AD300" s="319">
        <f>SUM(I300:AC300)</f>
        <v/>
      </c>
      <c r="AE300" s="323" t="n"/>
    </row>
    <row r="301" ht="24" customHeight="1">
      <c r="A301" s="168" t="n"/>
      <c r="B301" s="319" t="n"/>
      <c r="C301" s="319" t="n"/>
      <c r="D301" s="319" t="n"/>
      <c r="E301" s="341" t="n"/>
      <c r="F301" s="341" t="n"/>
      <c r="G301" s="342" t="n"/>
      <c r="H301" s="322" t="n"/>
      <c r="I301" s="319">
        <f>IF(ISNUMBER(SEARCH("월1",$H301)),1,"")</f>
        <v/>
      </c>
      <c r="J301" s="319">
        <f>IF(OR(ISNUMBER(SEARCH("월2",$H301)),ISNUMBER(SEARCH("월1.2",$H301))),1,"")</f>
        <v/>
      </c>
      <c r="K301" s="319">
        <f>IF(OR(ISNUMBER(SEARCH("월3",$H301)),ISNUMBER(SEARCH("월1.3",$H301)),ISNUMBER(SEARCH("월2.3",$H301)),ISNUMBER(SEARCH("월1.2.3",$H301))),1,"")</f>
        <v/>
      </c>
      <c r="L301" s="319">
        <f>IF(ISNUMBER(SEARCH("화1",$H301)),1,"")</f>
        <v/>
      </c>
      <c r="M301" s="319">
        <f>IF(OR(ISNUMBER(SEARCH("화2",$H301)),ISNUMBER(SEARCH("화1.2",$H301))),1,"")</f>
        <v/>
      </c>
      <c r="N301" s="319">
        <f>IF(OR(ISNUMBER(SEARCH("화3",$H301)),ISNUMBER(SEARCH("화1.3",$H301)),ISNUMBER(SEARCH("화2.3",$H301)),ISNUMBER(SEARCH("화1.2.3",$H301))),1,"")</f>
        <v/>
      </c>
      <c r="O301" s="319">
        <f>IF(ISNUMBER(SEARCH("수1",$H301)),1,"")</f>
        <v/>
      </c>
      <c r="P301" s="319">
        <f>IF(OR(ISNUMBER(SEARCH("수2",$H301)),ISNUMBER(SEARCH("수1.2",$H301))),1,"")</f>
        <v/>
      </c>
      <c r="Q301" s="319">
        <f>IF(OR(ISNUMBER(SEARCH("수3",$H301)),ISNUMBER(SEARCH("수1.3",$H301)),ISNUMBER(SEARCH("수2.3",$H301)),ISNUMBER(SEARCH("수1.2.3",$H301))),1,"")</f>
        <v/>
      </c>
      <c r="R301" s="319">
        <f>IF(ISNUMBER(SEARCH("목1",$H301)),1,"")</f>
        <v/>
      </c>
      <c r="S301" s="319">
        <f>IF(OR(ISNUMBER(SEARCH("목2",$H301)),ISNUMBER(SEARCH("목1.2",$H301))),1,"")</f>
        <v/>
      </c>
      <c r="T301" s="319">
        <f>IF(OR(ISNUMBER(SEARCH("목3",$H301)),ISNUMBER(SEARCH("목1.3",$H301)),ISNUMBER(SEARCH("목2.3",$H301)),ISNUMBER(SEARCH("목1.2.3",$H301))),1,"")</f>
        <v/>
      </c>
      <c r="U301" s="319">
        <f>IF(ISNUMBER(SEARCH("금1",$H301)),1,"")</f>
        <v/>
      </c>
      <c r="V301" s="319">
        <f>IF(OR(ISNUMBER(SEARCH("금2",$H301)),ISNUMBER(SEARCH("금1.2",$H301))),1,"")</f>
        <v/>
      </c>
      <c r="W301" s="319">
        <f>IF(OR(ISNUMBER(SEARCH("금3",$H301)),ISNUMBER(SEARCH("금1.3",$H301)),ISNUMBER(SEARCH("금2.3",$H301)),ISNUMBER(SEARCH("금1.2.3",$H301))),1,"")</f>
        <v/>
      </c>
      <c r="X301" s="319">
        <f>IF(ISNUMBER(SEARCH("토1",$H301)),1,"")</f>
        <v/>
      </c>
      <c r="Y301" s="319">
        <f>IF(OR(ISNUMBER(SEARCH("토2",$H301)),ISNUMBER(SEARCH("토1.2",$H301))),1,"")</f>
        <v/>
      </c>
      <c r="Z301" s="319">
        <f>IF(OR(ISNUMBER(SEARCH("토3",$H301)),ISNUMBER(SEARCH("토1.3",$H301)),ISNUMBER(SEARCH("토2.3",$H301)),ISNUMBER(SEARCH("토1.2.3",$H301))),1,"")</f>
        <v/>
      </c>
      <c r="AA301" s="319">
        <f>IF(ISNUMBER(SEARCH("일1",$H301)),1,"")</f>
        <v/>
      </c>
      <c r="AB301" s="319">
        <f>IF(OR(ISNUMBER(SEARCH("일2",$H301)),ISNUMBER(SEARCH("일1.2",$H301))),1,"")</f>
        <v/>
      </c>
      <c r="AC301" s="319">
        <f>IF(OR(ISNUMBER(SEARCH("일3",$H301)),ISNUMBER(SEARCH("일1.3",$H301)),ISNUMBER(SEARCH("일2.3",$H301)),ISNUMBER(SEARCH("일1.2.3",$H301))),1,"")</f>
        <v/>
      </c>
      <c r="AD301" s="319">
        <f>SUM(I301:AC301)</f>
        <v/>
      </c>
      <c r="AE301" s="323" t="n"/>
    </row>
    <row r="302" ht="24" customHeight="1">
      <c r="A302" s="168" t="n"/>
      <c r="B302" s="319" t="n"/>
      <c r="C302" s="319" t="n"/>
      <c r="D302" s="319" t="n"/>
      <c r="E302" s="341" t="n"/>
      <c r="F302" s="341" t="n"/>
      <c r="G302" s="342" t="n"/>
      <c r="H302" s="322" t="n"/>
      <c r="I302" s="319">
        <f>IF(ISNUMBER(SEARCH("월1",$H302)),1,"")</f>
        <v/>
      </c>
      <c r="J302" s="319">
        <f>IF(OR(ISNUMBER(SEARCH("월2",$H302)),ISNUMBER(SEARCH("월1.2",$H302))),1,"")</f>
        <v/>
      </c>
      <c r="K302" s="319">
        <f>IF(OR(ISNUMBER(SEARCH("월3",$H302)),ISNUMBER(SEARCH("월1.3",$H302)),ISNUMBER(SEARCH("월2.3",$H302)),ISNUMBER(SEARCH("월1.2.3",$H302))),1,"")</f>
        <v/>
      </c>
      <c r="L302" s="319">
        <f>IF(ISNUMBER(SEARCH("화1",$H302)),1,"")</f>
        <v/>
      </c>
      <c r="M302" s="319">
        <f>IF(OR(ISNUMBER(SEARCH("화2",$H302)),ISNUMBER(SEARCH("화1.2",$H302))),1,"")</f>
        <v/>
      </c>
      <c r="N302" s="319">
        <f>IF(OR(ISNUMBER(SEARCH("화3",$H302)),ISNUMBER(SEARCH("화1.3",$H302)),ISNUMBER(SEARCH("화2.3",$H302)),ISNUMBER(SEARCH("화1.2.3",$H302))),1,"")</f>
        <v/>
      </c>
      <c r="O302" s="319">
        <f>IF(ISNUMBER(SEARCH("수1",$H302)),1,"")</f>
        <v/>
      </c>
      <c r="P302" s="319">
        <f>IF(OR(ISNUMBER(SEARCH("수2",$H302)),ISNUMBER(SEARCH("수1.2",$H302))),1,"")</f>
        <v/>
      </c>
      <c r="Q302" s="319">
        <f>IF(OR(ISNUMBER(SEARCH("수3",$H302)),ISNUMBER(SEARCH("수1.3",$H302)),ISNUMBER(SEARCH("수2.3",$H302)),ISNUMBER(SEARCH("수1.2.3",$H302))),1,"")</f>
        <v/>
      </c>
      <c r="R302" s="319">
        <f>IF(ISNUMBER(SEARCH("목1",$H302)),1,"")</f>
        <v/>
      </c>
      <c r="S302" s="319">
        <f>IF(OR(ISNUMBER(SEARCH("목2",$H302)),ISNUMBER(SEARCH("목1.2",$H302))),1,"")</f>
        <v/>
      </c>
      <c r="T302" s="319">
        <f>IF(OR(ISNUMBER(SEARCH("목3",$H302)),ISNUMBER(SEARCH("목1.3",$H302)),ISNUMBER(SEARCH("목2.3",$H302)),ISNUMBER(SEARCH("목1.2.3",$H302))),1,"")</f>
        <v/>
      </c>
      <c r="U302" s="319">
        <f>IF(ISNUMBER(SEARCH("금1",$H302)),1,"")</f>
        <v/>
      </c>
      <c r="V302" s="319">
        <f>IF(OR(ISNUMBER(SEARCH("금2",$H302)),ISNUMBER(SEARCH("금1.2",$H302))),1,"")</f>
        <v/>
      </c>
      <c r="W302" s="319">
        <f>IF(OR(ISNUMBER(SEARCH("금3",$H302)),ISNUMBER(SEARCH("금1.3",$H302)),ISNUMBER(SEARCH("금2.3",$H302)),ISNUMBER(SEARCH("금1.2.3",$H302))),1,"")</f>
        <v/>
      </c>
      <c r="X302" s="319">
        <f>IF(ISNUMBER(SEARCH("토1",$H302)),1,"")</f>
        <v/>
      </c>
      <c r="Y302" s="319">
        <f>IF(OR(ISNUMBER(SEARCH("토2",$H302)),ISNUMBER(SEARCH("토1.2",$H302))),1,"")</f>
        <v/>
      </c>
      <c r="Z302" s="319">
        <f>IF(OR(ISNUMBER(SEARCH("토3",$H302)),ISNUMBER(SEARCH("토1.3",$H302)),ISNUMBER(SEARCH("토2.3",$H302)),ISNUMBER(SEARCH("토1.2.3",$H302))),1,"")</f>
        <v/>
      </c>
      <c r="AA302" s="319">
        <f>IF(ISNUMBER(SEARCH("일1",$H302)),1,"")</f>
        <v/>
      </c>
      <c r="AB302" s="319">
        <f>IF(OR(ISNUMBER(SEARCH("일2",$H302)),ISNUMBER(SEARCH("일1.2",$H302))),1,"")</f>
        <v/>
      </c>
      <c r="AC302" s="319">
        <f>IF(OR(ISNUMBER(SEARCH("일3",$H302)),ISNUMBER(SEARCH("일1.3",$H302)),ISNUMBER(SEARCH("일2.3",$H302)),ISNUMBER(SEARCH("일1.2.3",$H302))),1,"")</f>
        <v/>
      </c>
      <c r="AD302" s="319">
        <f>SUM(I302:AC302)</f>
        <v/>
      </c>
      <c r="AE302" s="323" t="n"/>
    </row>
    <row r="303" ht="24" customHeight="1">
      <c r="A303" s="168" t="n"/>
      <c r="B303" s="319" t="n"/>
      <c r="C303" s="319" t="n"/>
      <c r="D303" s="319" t="n"/>
      <c r="E303" s="341" t="n"/>
      <c r="F303" s="341" t="n"/>
      <c r="G303" s="342" t="n"/>
      <c r="H303" s="322" t="n"/>
      <c r="I303" s="319">
        <f>IF(ISNUMBER(SEARCH("월1",$H303)),1,"")</f>
        <v/>
      </c>
      <c r="J303" s="319">
        <f>IF(OR(ISNUMBER(SEARCH("월2",$H303)),ISNUMBER(SEARCH("월1.2",$H303))),1,"")</f>
        <v/>
      </c>
      <c r="K303" s="319">
        <f>IF(OR(ISNUMBER(SEARCH("월3",$H303)),ISNUMBER(SEARCH("월1.3",$H303)),ISNUMBER(SEARCH("월2.3",$H303)),ISNUMBER(SEARCH("월1.2.3",$H303))),1,"")</f>
        <v/>
      </c>
      <c r="L303" s="319">
        <f>IF(ISNUMBER(SEARCH("화1",$H303)),1,"")</f>
        <v/>
      </c>
      <c r="M303" s="319">
        <f>IF(OR(ISNUMBER(SEARCH("화2",$H303)),ISNUMBER(SEARCH("화1.2",$H303))),1,"")</f>
        <v/>
      </c>
      <c r="N303" s="319">
        <f>IF(OR(ISNUMBER(SEARCH("화3",$H303)),ISNUMBER(SEARCH("화1.3",$H303)),ISNUMBER(SEARCH("화2.3",$H303)),ISNUMBER(SEARCH("화1.2.3",$H303))),1,"")</f>
        <v/>
      </c>
      <c r="O303" s="319">
        <f>IF(ISNUMBER(SEARCH("수1",$H303)),1,"")</f>
        <v/>
      </c>
      <c r="P303" s="319">
        <f>IF(OR(ISNUMBER(SEARCH("수2",$H303)),ISNUMBER(SEARCH("수1.2",$H303))),1,"")</f>
        <v/>
      </c>
      <c r="Q303" s="319">
        <f>IF(OR(ISNUMBER(SEARCH("수3",$H303)),ISNUMBER(SEARCH("수1.3",$H303)),ISNUMBER(SEARCH("수2.3",$H303)),ISNUMBER(SEARCH("수1.2.3",$H303))),1,"")</f>
        <v/>
      </c>
      <c r="R303" s="319">
        <f>IF(ISNUMBER(SEARCH("목1",$H303)),1,"")</f>
        <v/>
      </c>
      <c r="S303" s="319">
        <f>IF(OR(ISNUMBER(SEARCH("목2",$H303)),ISNUMBER(SEARCH("목1.2",$H303))),1,"")</f>
        <v/>
      </c>
      <c r="T303" s="319">
        <f>IF(OR(ISNUMBER(SEARCH("목3",$H303)),ISNUMBER(SEARCH("목1.3",$H303)),ISNUMBER(SEARCH("목2.3",$H303)),ISNUMBER(SEARCH("목1.2.3",$H303))),1,"")</f>
        <v/>
      </c>
      <c r="U303" s="319">
        <f>IF(ISNUMBER(SEARCH("금1",$H303)),1,"")</f>
        <v/>
      </c>
      <c r="V303" s="319">
        <f>IF(OR(ISNUMBER(SEARCH("금2",$H303)),ISNUMBER(SEARCH("금1.2",$H303))),1,"")</f>
        <v/>
      </c>
      <c r="W303" s="319">
        <f>IF(OR(ISNUMBER(SEARCH("금3",$H303)),ISNUMBER(SEARCH("금1.3",$H303)),ISNUMBER(SEARCH("금2.3",$H303)),ISNUMBER(SEARCH("금1.2.3",$H303))),1,"")</f>
        <v/>
      </c>
      <c r="X303" s="319">
        <f>IF(ISNUMBER(SEARCH("토1",$H303)),1,"")</f>
        <v/>
      </c>
      <c r="Y303" s="319">
        <f>IF(OR(ISNUMBER(SEARCH("토2",$H303)),ISNUMBER(SEARCH("토1.2",$H303))),1,"")</f>
        <v/>
      </c>
      <c r="Z303" s="319">
        <f>IF(OR(ISNUMBER(SEARCH("토3",$H303)),ISNUMBER(SEARCH("토1.3",$H303)),ISNUMBER(SEARCH("토2.3",$H303)),ISNUMBER(SEARCH("토1.2.3",$H303))),1,"")</f>
        <v/>
      </c>
      <c r="AA303" s="319">
        <f>IF(ISNUMBER(SEARCH("일1",$H303)),1,"")</f>
        <v/>
      </c>
      <c r="AB303" s="319">
        <f>IF(OR(ISNUMBER(SEARCH("일2",$H303)),ISNUMBER(SEARCH("일1.2",$H303))),1,"")</f>
        <v/>
      </c>
      <c r="AC303" s="319">
        <f>IF(OR(ISNUMBER(SEARCH("일3",$H303)),ISNUMBER(SEARCH("일1.3",$H303)),ISNUMBER(SEARCH("일2.3",$H303)),ISNUMBER(SEARCH("일1.2.3",$H303))),1,"")</f>
        <v/>
      </c>
      <c r="AD303" s="319">
        <f>SUM(I303:AC303)</f>
        <v/>
      </c>
      <c r="AE303" s="323" t="n"/>
    </row>
    <row r="304" ht="24" customHeight="1">
      <c r="A304" s="168" t="n"/>
      <c r="B304" s="319" t="n"/>
      <c r="C304" s="319" t="n"/>
      <c r="D304" s="319" t="n"/>
      <c r="E304" s="341" t="n"/>
      <c r="F304" s="341" t="n"/>
      <c r="G304" s="342" t="n"/>
      <c r="H304" s="322" t="n"/>
      <c r="I304" s="319">
        <f>IF(ISNUMBER(SEARCH("월1",$H304)),1,"")</f>
        <v/>
      </c>
      <c r="J304" s="319">
        <f>IF(OR(ISNUMBER(SEARCH("월2",$H304)),ISNUMBER(SEARCH("월1.2",$H304))),1,"")</f>
        <v/>
      </c>
      <c r="K304" s="319">
        <f>IF(OR(ISNUMBER(SEARCH("월3",$H304)),ISNUMBER(SEARCH("월1.3",$H304)),ISNUMBER(SEARCH("월2.3",$H304)),ISNUMBER(SEARCH("월1.2.3",$H304))),1,"")</f>
        <v/>
      </c>
      <c r="L304" s="319">
        <f>IF(ISNUMBER(SEARCH("화1",$H304)),1,"")</f>
        <v/>
      </c>
      <c r="M304" s="319">
        <f>IF(OR(ISNUMBER(SEARCH("화2",$H304)),ISNUMBER(SEARCH("화1.2",$H304))),1,"")</f>
        <v/>
      </c>
      <c r="N304" s="319">
        <f>IF(OR(ISNUMBER(SEARCH("화3",$H304)),ISNUMBER(SEARCH("화1.3",$H304)),ISNUMBER(SEARCH("화2.3",$H304)),ISNUMBER(SEARCH("화1.2.3",$H304))),1,"")</f>
        <v/>
      </c>
      <c r="O304" s="319">
        <f>IF(ISNUMBER(SEARCH("수1",$H304)),1,"")</f>
        <v/>
      </c>
      <c r="P304" s="319">
        <f>IF(OR(ISNUMBER(SEARCH("수2",$H304)),ISNUMBER(SEARCH("수1.2",$H304))),1,"")</f>
        <v/>
      </c>
      <c r="Q304" s="319">
        <f>IF(OR(ISNUMBER(SEARCH("수3",$H304)),ISNUMBER(SEARCH("수1.3",$H304)),ISNUMBER(SEARCH("수2.3",$H304)),ISNUMBER(SEARCH("수1.2.3",$H304))),1,"")</f>
        <v/>
      </c>
      <c r="R304" s="319">
        <f>IF(ISNUMBER(SEARCH("목1",$H304)),1,"")</f>
        <v/>
      </c>
      <c r="S304" s="319">
        <f>IF(OR(ISNUMBER(SEARCH("목2",$H304)),ISNUMBER(SEARCH("목1.2",$H304))),1,"")</f>
        <v/>
      </c>
      <c r="T304" s="319">
        <f>IF(OR(ISNUMBER(SEARCH("목3",$H304)),ISNUMBER(SEARCH("목1.3",$H304)),ISNUMBER(SEARCH("목2.3",$H304)),ISNUMBER(SEARCH("목1.2.3",$H304))),1,"")</f>
        <v/>
      </c>
      <c r="U304" s="319">
        <f>IF(ISNUMBER(SEARCH("금1",$H304)),1,"")</f>
        <v/>
      </c>
      <c r="V304" s="319">
        <f>IF(OR(ISNUMBER(SEARCH("금2",$H304)),ISNUMBER(SEARCH("금1.2",$H304))),1,"")</f>
        <v/>
      </c>
      <c r="W304" s="319">
        <f>IF(OR(ISNUMBER(SEARCH("금3",$H304)),ISNUMBER(SEARCH("금1.3",$H304)),ISNUMBER(SEARCH("금2.3",$H304)),ISNUMBER(SEARCH("금1.2.3",$H304))),1,"")</f>
        <v/>
      </c>
      <c r="X304" s="319">
        <f>IF(ISNUMBER(SEARCH("토1",$H304)),1,"")</f>
        <v/>
      </c>
      <c r="Y304" s="319">
        <f>IF(OR(ISNUMBER(SEARCH("토2",$H304)),ISNUMBER(SEARCH("토1.2",$H304))),1,"")</f>
        <v/>
      </c>
      <c r="Z304" s="319">
        <f>IF(OR(ISNUMBER(SEARCH("토3",$H304)),ISNUMBER(SEARCH("토1.3",$H304)),ISNUMBER(SEARCH("토2.3",$H304)),ISNUMBER(SEARCH("토1.2.3",$H304))),1,"")</f>
        <v/>
      </c>
      <c r="AA304" s="319">
        <f>IF(ISNUMBER(SEARCH("일1",$H304)),1,"")</f>
        <v/>
      </c>
      <c r="AB304" s="319">
        <f>IF(OR(ISNUMBER(SEARCH("일2",$H304)),ISNUMBER(SEARCH("일1.2",$H304))),1,"")</f>
        <v/>
      </c>
      <c r="AC304" s="319">
        <f>IF(OR(ISNUMBER(SEARCH("일3",$H304)),ISNUMBER(SEARCH("일1.3",$H304)),ISNUMBER(SEARCH("일2.3",$H304)),ISNUMBER(SEARCH("일1.2.3",$H304))),1,"")</f>
        <v/>
      </c>
      <c r="AD304" s="319">
        <f>SUM(I304:AC304)</f>
        <v/>
      </c>
      <c r="AE304" s="323" t="n"/>
    </row>
    <row r="305" ht="24" customHeight="1">
      <c r="A305" s="168" t="n"/>
      <c r="B305" s="319" t="n"/>
      <c r="C305" s="319" t="n"/>
      <c r="D305" s="319" t="n"/>
      <c r="E305" s="341" t="n"/>
      <c r="F305" s="341" t="n"/>
      <c r="G305" s="342" t="n"/>
      <c r="H305" s="322" t="n"/>
      <c r="I305" s="319">
        <f>IF(ISNUMBER(SEARCH("월1",$H305)),1,"")</f>
        <v/>
      </c>
      <c r="J305" s="319">
        <f>IF(OR(ISNUMBER(SEARCH("월2",$H305)),ISNUMBER(SEARCH("월1.2",$H305))),1,"")</f>
        <v/>
      </c>
      <c r="K305" s="319">
        <f>IF(OR(ISNUMBER(SEARCH("월3",$H305)),ISNUMBER(SEARCH("월1.3",$H305)),ISNUMBER(SEARCH("월2.3",$H305)),ISNUMBER(SEARCH("월1.2.3",$H305))),1,"")</f>
        <v/>
      </c>
      <c r="L305" s="319">
        <f>IF(ISNUMBER(SEARCH("화1",$H305)),1,"")</f>
        <v/>
      </c>
      <c r="M305" s="319">
        <f>IF(OR(ISNUMBER(SEARCH("화2",$H305)),ISNUMBER(SEARCH("화1.2",$H305))),1,"")</f>
        <v/>
      </c>
      <c r="N305" s="319">
        <f>IF(OR(ISNUMBER(SEARCH("화3",$H305)),ISNUMBER(SEARCH("화1.3",$H305)),ISNUMBER(SEARCH("화2.3",$H305)),ISNUMBER(SEARCH("화1.2.3",$H305))),1,"")</f>
        <v/>
      </c>
      <c r="O305" s="319">
        <f>IF(ISNUMBER(SEARCH("수1",$H305)),1,"")</f>
        <v/>
      </c>
      <c r="P305" s="319">
        <f>IF(OR(ISNUMBER(SEARCH("수2",$H305)),ISNUMBER(SEARCH("수1.2",$H305))),1,"")</f>
        <v/>
      </c>
      <c r="Q305" s="319">
        <f>IF(OR(ISNUMBER(SEARCH("수3",$H305)),ISNUMBER(SEARCH("수1.3",$H305)),ISNUMBER(SEARCH("수2.3",$H305)),ISNUMBER(SEARCH("수1.2.3",$H305))),1,"")</f>
        <v/>
      </c>
      <c r="R305" s="319">
        <f>IF(ISNUMBER(SEARCH("목1",$H305)),1,"")</f>
        <v/>
      </c>
      <c r="S305" s="319">
        <f>IF(OR(ISNUMBER(SEARCH("목2",$H305)),ISNUMBER(SEARCH("목1.2",$H305))),1,"")</f>
        <v/>
      </c>
      <c r="T305" s="319">
        <f>IF(OR(ISNUMBER(SEARCH("목3",$H305)),ISNUMBER(SEARCH("목1.3",$H305)),ISNUMBER(SEARCH("목2.3",$H305)),ISNUMBER(SEARCH("목1.2.3",$H305))),1,"")</f>
        <v/>
      </c>
      <c r="U305" s="319">
        <f>IF(ISNUMBER(SEARCH("금1",$H305)),1,"")</f>
        <v/>
      </c>
      <c r="V305" s="319">
        <f>IF(OR(ISNUMBER(SEARCH("금2",$H305)),ISNUMBER(SEARCH("금1.2",$H305))),1,"")</f>
        <v/>
      </c>
      <c r="W305" s="319">
        <f>IF(OR(ISNUMBER(SEARCH("금3",$H305)),ISNUMBER(SEARCH("금1.3",$H305)),ISNUMBER(SEARCH("금2.3",$H305)),ISNUMBER(SEARCH("금1.2.3",$H305))),1,"")</f>
        <v/>
      </c>
      <c r="X305" s="319">
        <f>IF(ISNUMBER(SEARCH("토1",$H305)),1,"")</f>
        <v/>
      </c>
      <c r="Y305" s="319">
        <f>IF(OR(ISNUMBER(SEARCH("토2",$H305)),ISNUMBER(SEARCH("토1.2",$H305))),1,"")</f>
        <v/>
      </c>
      <c r="Z305" s="319">
        <f>IF(OR(ISNUMBER(SEARCH("토3",$H305)),ISNUMBER(SEARCH("토1.3",$H305)),ISNUMBER(SEARCH("토2.3",$H305)),ISNUMBER(SEARCH("토1.2.3",$H305))),1,"")</f>
        <v/>
      </c>
      <c r="AA305" s="319">
        <f>IF(ISNUMBER(SEARCH("일1",$H305)),1,"")</f>
        <v/>
      </c>
      <c r="AB305" s="319">
        <f>IF(OR(ISNUMBER(SEARCH("일2",$H305)),ISNUMBER(SEARCH("일1.2",$H305))),1,"")</f>
        <v/>
      </c>
      <c r="AC305" s="319">
        <f>IF(OR(ISNUMBER(SEARCH("일3",$H305)),ISNUMBER(SEARCH("일1.3",$H305)),ISNUMBER(SEARCH("일2.3",$H305)),ISNUMBER(SEARCH("일1.2.3",$H305))),1,"")</f>
        <v/>
      </c>
      <c r="AD305" s="319">
        <f>SUM(I305:AC305)</f>
        <v/>
      </c>
      <c r="AE305" s="323" t="n"/>
    </row>
    <row r="306" ht="24" customHeight="1">
      <c r="A306" s="168" t="n"/>
      <c r="B306" s="319" t="n"/>
      <c r="C306" s="319" t="n"/>
      <c r="D306" s="319" t="n"/>
      <c r="E306" s="341" t="n"/>
      <c r="F306" s="341" t="n"/>
      <c r="G306" s="342" t="n"/>
      <c r="H306" s="322" t="n"/>
      <c r="I306" s="319">
        <f>IF(ISNUMBER(SEARCH("월1",$H306)),1,"")</f>
        <v/>
      </c>
      <c r="J306" s="319">
        <f>IF(OR(ISNUMBER(SEARCH("월2",$H306)),ISNUMBER(SEARCH("월1.2",$H306))),1,"")</f>
        <v/>
      </c>
      <c r="K306" s="319">
        <f>IF(OR(ISNUMBER(SEARCH("월3",$H306)),ISNUMBER(SEARCH("월1.3",$H306)),ISNUMBER(SEARCH("월2.3",$H306)),ISNUMBER(SEARCH("월1.2.3",$H306))),1,"")</f>
        <v/>
      </c>
      <c r="L306" s="319">
        <f>IF(ISNUMBER(SEARCH("화1",$H306)),1,"")</f>
        <v/>
      </c>
      <c r="M306" s="319">
        <f>IF(OR(ISNUMBER(SEARCH("화2",$H306)),ISNUMBER(SEARCH("화1.2",$H306))),1,"")</f>
        <v/>
      </c>
      <c r="N306" s="319">
        <f>IF(OR(ISNUMBER(SEARCH("화3",$H306)),ISNUMBER(SEARCH("화1.3",$H306)),ISNUMBER(SEARCH("화2.3",$H306)),ISNUMBER(SEARCH("화1.2.3",$H306))),1,"")</f>
        <v/>
      </c>
      <c r="O306" s="319">
        <f>IF(ISNUMBER(SEARCH("수1",$H306)),1,"")</f>
        <v/>
      </c>
      <c r="P306" s="319">
        <f>IF(OR(ISNUMBER(SEARCH("수2",$H306)),ISNUMBER(SEARCH("수1.2",$H306))),1,"")</f>
        <v/>
      </c>
      <c r="Q306" s="319">
        <f>IF(OR(ISNUMBER(SEARCH("수3",$H306)),ISNUMBER(SEARCH("수1.3",$H306)),ISNUMBER(SEARCH("수2.3",$H306)),ISNUMBER(SEARCH("수1.2.3",$H306))),1,"")</f>
        <v/>
      </c>
      <c r="R306" s="319">
        <f>IF(ISNUMBER(SEARCH("목1",$H306)),1,"")</f>
        <v/>
      </c>
      <c r="S306" s="319">
        <f>IF(OR(ISNUMBER(SEARCH("목2",$H306)),ISNUMBER(SEARCH("목1.2",$H306))),1,"")</f>
        <v/>
      </c>
      <c r="T306" s="319">
        <f>IF(OR(ISNUMBER(SEARCH("목3",$H306)),ISNUMBER(SEARCH("목1.3",$H306)),ISNUMBER(SEARCH("목2.3",$H306)),ISNUMBER(SEARCH("목1.2.3",$H306))),1,"")</f>
        <v/>
      </c>
      <c r="U306" s="319">
        <f>IF(ISNUMBER(SEARCH("금1",$H306)),1,"")</f>
        <v/>
      </c>
      <c r="V306" s="319">
        <f>IF(OR(ISNUMBER(SEARCH("금2",$H306)),ISNUMBER(SEARCH("금1.2",$H306))),1,"")</f>
        <v/>
      </c>
      <c r="W306" s="319">
        <f>IF(OR(ISNUMBER(SEARCH("금3",$H306)),ISNUMBER(SEARCH("금1.3",$H306)),ISNUMBER(SEARCH("금2.3",$H306)),ISNUMBER(SEARCH("금1.2.3",$H306))),1,"")</f>
        <v/>
      </c>
      <c r="X306" s="319">
        <f>IF(ISNUMBER(SEARCH("토1",$H306)),1,"")</f>
        <v/>
      </c>
      <c r="Y306" s="319">
        <f>IF(OR(ISNUMBER(SEARCH("토2",$H306)),ISNUMBER(SEARCH("토1.2",$H306))),1,"")</f>
        <v/>
      </c>
      <c r="Z306" s="319">
        <f>IF(OR(ISNUMBER(SEARCH("토3",$H306)),ISNUMBER(SEARCH("토1.3",$H306)),ISNUMBER(SEARCH("토2.3",$H306)),ISNUMBER(SEARCH("토1.2.3",$H306))),1,"")</f>
        <v/>
      </c>
      <c r="AA306" s="319">
        <f>IF(ISNUMBER(SEARCH("일1",$H306)),1,"")</f>
        <v/>
      </c>
      <c r="AB306" s="319">
        <f>IF(OR(ISNUMBER(SEARCH("일2",$H306)),ISNUMBER(SEARCH("일1.2",$H306))),1,"")</f>
        <v/>
      </c>
      <c r="AC306" s="319">
        <f>IF(OR(ISNUMBER(SEARCH("일3",$H306)),ISNUMBER(SEARCH("일1.3",$H306)),ISNUMBER(SEARCH("일2.3",$H306)),ISNUMBER(SEARCH("일1.2.3",$H306))),1,"")</f>
        <v/>
      </c>
      <c r="AD306" s="319">
        <f>SUM(I306:AC306)</f>
        <v/>
      </c>
      <c r="AE306" s="323" t="n"/>
    </row>
    <row r="307" ht="24" customHeight="1">
      <c r="A307" s="168" t="n"/>
      <c r="B307" s="319" t="n"/>
      <c r="C307" s="319" t="n"/>
      <c r="D307" s="319" t="n"/>
      <c r="E307" s="341" t="n"/>
      <c r="F307" s="341" t="n"/>
      <c r="G307" s="342" t="n"/>
      <c r="H307" s="322" t="n"/>
      <c r="I307" s="319">
        <f>IF(ISNUMBER(SEARCH("월1",$H307)),1,"")</f>
        <v/>
      </c>
      <c r="J307" s="319">
        <f>IF(OR(ISNUMBER(SEARCH("월2",$H307)),ISNUMBER(SEARCH("월1.2",$H307))),1,"")</f>
        <v/>
      </c>
      <c r="K307" s="319">
        <f>IF(OR(ISNUMBER(SEARCH("월3",$H307)),ISNUMBER(SEARCH("월1.3",$H307)),ISNUMBER(SEARCH("월2.3",$H307)),ISNUMBER(SEARCH("월1.2.3",$H307))),1,"")</f>
        <v/>
      </c>
      <c r="L307" s="319">
        <f>IF(ISNUMBER(SEARCH("화1",$H307)),1,"")</f>
        <v/>
      </c>
      <c r="M307" s="319">
        <f>IF(OR(ISNUMBER(SEARCH("화2",$H307)),ISNUMBER(SEARCH("화1.2",$H307))),1,"")</f>
        <v/>
      </c>
      <c r="N307" s="319">
        <f>IF(OR(ISNUMBER(SEARCH("화3",$H307)),ISNUMBER(SEARCH("화1.3",$H307)),ISNUMBER(SEARCH("화2.3",$H307)),ISNUMBER(SEARCH("화1.2.3",$H307))),1,"")</f>
        <v/>
      </c>
      <c r="O307" s="319">
        <f>IF(ISNUMBER(SEARCH("수1",$H307)),1,"")</f>
        <v/>
      </c>
      <c r="P307" s="319">
        <f>IF(OR(ISNUMBER(SEARCH("수2",$H307)),ISNUMBER(SEARCH("수1.2",$H307))),1,"")</f>
        <v/>
      </c>
      <c r="Q307" s="319">
        <f>IF(OR(ISNUMBER(SEARCH("수3",$H307)),ISNUMBER(SEARCH("수1.3",$H307)),ISNUMBER(SEARCH("수2.3",$H307)),ISNUMBER(SEARCH("수1.2.3",$H307))),1,"")</f>
        <v/>
      </c>
      <c r="R307" s="319">
        <f>IF(ISNUMBER(SEARCH("목1",$H307)),1,"")</f>
        <v/>
      </c>
      <c r="S307" s="319">
        <f>IF(OR(ISNUMBER(SEARCH("목2",$H307)),ISNUMBER(SEARCH("목1.2",$H307))),1,"")</f>
        <v/>
      </c>
      <c r="T307" s="319">
        <f>IF(OR(ISNUMBER(SEARCH("목3",$H307)),ISNUMBER(SEARCH("목1.3",$H307)),ISNUMBER(SEARCH("목2.3",$H307)),ISNUMBER(SEARCH("목1.2.3",$H307))),1,"")</f>
        <v/>
      </c>
      <c r="U307" s="319">
        <f>IF(ISNUMBER(SEARCH("금1",$H307)),1,"")</f>
        <v/>
      </c>
      <c r="V307" s="319">
        <f>IF(OR(ISNUMBER(SEARCH("금2",$H307)),ISNUMBER(SEARCH("금1.2",$H307))),1,"")</f>
        <v/>
      </c>
      <c r="W307" s="319">
        <f>IF(OR(ISNUMBER(SEARCH("금3",$H307)),ISNUMBER(SEARCH("금1.3",$H307)),ISNUMBER(SEARCH("금2.3",$H307)),ISNUMBER(SEARCH("금1.2.3",$H307))),1,"")</f>
        <v/>
      </c>
      <c r="X307" s="319">
        <f>IF(ISNUMBER(SEARCH("토1",$H307)),1,"")</f>
        <v/>
      </c>
      <c r="Y307" s="319">
        <f>IF(OR(ISNUMBER(SEARCH("토2",$H307)),ISNUMBER(SEARCH("토1.2",$H307))),1,"")</f>
        <v/>
      </c>
      <c r="Z307" s="319">
        <f>IF(OR(ISNUMBER(SEARCH("토3",$H307)),ISNUMBER(SEARCH("토1.3",$H307)),ISNUMBER(SEARCH("토2.3",$H307)),ISNUMBER(SEARCH("토1.2.3",$H307))),1,"")</f>
        <v/>
      </c>
      <c r="AA307" s="319">
        <f>IF(ISNUMBER(SEARCH("일1",$H307)),1,"")</f>
        <v/>
      </c>
      <c r="AB307" s="319">
        <f>IF(OR(ISNUMBER(SEARCH("일2",$H307)),ISNUMBER(SEARCH("일1.2",$H307))),1,"")</f>
        <v/>
      </c>
      <c r="AC307" s="319">
        <f>IF(OR(ISNUMBER(SEARCH("일3",$H307)),ISNUMBER(SEARCH("일1.3",$H307)),ISNUMBER(SEARCH("일2.3",$H307)),ISNUMBER(SEARCH("일1.2.3",$H307))),1,"")</f>
        <v/>
      </c>
      <c r="AD307" s="319">
        <f>SUM(I307:AC307)</f>
        <v/>
      </c>
      <c r="AE307" s="323" t="n"/>
    </row>
    <row r="308" ht="24" customHeight="1">
      <c r="A308" s="168" t="n"/>
      <c r="B308" s="319" t="n"/>
      <c r="C308" s="319" t="n"/>
      <c r="D308" s="319" t="n"/>
      <c r="E308" s="341" t="n"/>
      <c r="F308" s="341" t="n"/>
      <c r="G308" s="342" t="n"/>
      <c r="H308" s="322" t="n"/>
      <c r="I308" s="319">
        <f>IF(ISNUMBER(SEARCH("월1",$H308)),1,"")</f>
        <v/>
      </c>
      <c r="J308" s="319">
        <f>IF(OR(ISNUMBER(SEARCH("월2",$H308)),ISNUMBER(SEARCH("월1.2",$H308))),1,"")</f>
        <v/>
      </c>
      <c r="K308" s="319">
        <f>IF(OR(ISNUMBER(SEARCH("월3",$H308)),ISNUMBER(SEARCH("월1.3",$H308)),ISNUMBER(SEARCH("월2.3",$H308)),ISNUMBER(SEARCH("월1.2.3",$H308))),1,"")</f>
        <v/>
      </c>
      <c r="L308" s="319">
        <f>IF(ISNUMBER(SEARCH("화1",$H308)),1,"")</f>
        <v/>
      </c>
      <c r="M308" s="319">
        <f>IF(OR(ISNUMBER(SEARCH("화2",$H308)),ISNUMBER(SEARCH("화1.2",$H308))),1,"")</f>
        <v/>
      </c>
      <c r="N308" s="319">
        <f>IF(OR(ISNUMBER(SEARCH("화3",$H308)),ISNUMBER(SEARCH("화1.3",$H308)),ISNUMBER(SEARCH("화2.3",$H308)),ISNUMBER(SEARCH("화1.2.3",$H308))),1,"")</f>
        <v/>
      </c>
      <c r="O308" s="319">
        <f>IF(ISNUMBER(SEARCH("수1",$H308)),1,"")</f>
        <v/>
      </c>
      <c r="P308" s="319">
        <f>IF(OR(ISNUMBER(SEARCH("수2",$H308)),ISNUMBER(SEARCH("수1.2",$H308))),1,"")</f>
        <v/>
      </c>
      <c r="Q308" s="319">
        <f>IF(OR(ISNUMBER(SEARCH("수3",$H308)),ISNUMBER(SEARCH("수1.3",$H308)),ISNUMBER(SEARCH("수2.3",$H308)),ISNUMBER(SEARCH("수1.2.3",$H308))),1,"")</f>
        <v/>
      </c>
      <c r="R308" s="319">
        <f>IF(ISNUMBER(SEARCH("목1",$H308)),1,"")</f>
        <v/>
      </c>
      <c r="S308" s="319">
        <f>IF(OR(ISNUMBER(SEARCH("목2",$H308)),ISNUMBER(SEARCH("목1.2",$H308))),1,"")</f>
        <v/>
      </c>
      <c r="T308" s="319">
        <f>IF(OR(ISNUMBER(SEARCH("목3",$H308)),ISNUMBER(SEARCH("목1.3",$H308)),ISNUMBER(SEARCH("목2.3",$H308)),ISNUMBER(SEARCH("목1.2.3",$H308))),1,"")</f>
        <v/>
      </c>
      <c r="U308" s="319">
        <f>IF(ISNUMBER(SEARCH("금1",$H308)),1,"")</f>
        <v/>
      </c>
      <c r="V308" s="319">
        <f>IF(OR(ISNUMBER(SEARCH("금2",$H308)),ISNUMBER(SEARCH("금1.2",$H308))),1,"")</f>
        <v/>
      </c>
      <c r="W308" s="319">
        <f>IF(OR(ISNUMBER(SEARCH("금3",$H308)),ISNUMBER(SEARCH("금1.3",$H308)),ISNUMBER(SEARCH("금2.3",$H308)),ISNUMBER(SEARCH("금1.2.3",$H308))),1,"")</f>
        <v/>
      </c>
      <c r="X308" s="319">
        <f>IF(ISNUMBER(SEARCH("토1",$H308)),1,"")</f>
        <v/>
      </c>
      <c r="Y308" s="319">
        <f>IF(OR(ISNUMBER(SEARCH("토2",$H308)),ISNUMBER(SEARCH("토1.2",$H308))),1,"")</f>
        <v/>
      </c>
      <c r="Z308" s="319">
        <f>IF(OR(ISNUMBER(SEARCH("토3",$H308)),ISNUMBER(SEARCH("토1.3",$H308)),ISNUMBER(SEARCH("토2.3",$H308)),ISNUMBER(SEARCH("토1.2.3",$H308))),1,"")</f>
        <v/>
      </c>
      <c r="AA308" s="319">
        <f>IF(ISNUMBER(SEARCH("일1",$H308)),1,"")</f>
        <v/>
      </c>
      <c r="AB308" s="319">
        <f>IF(OR(ISNUMBER(SEARCH("일2",$H308)),ISNUMBER(SEARCH("일1.2",$H308))),1,"")</f>
        <v/>
      </c>
      <c r="AC308" s="319">
        <f>IF(OR(ISNUMBER(SEARCH("일3",$H308)),ISNUMBER(SEARCH("일1.3",$H308)),ISNUMBER(SEARCH("일2.3",$H308)),ISNUMBER(SEARCH("일1.2.3",$H308))),1,"")</f>
        <v/>
      </c>
      <c r="AD308" s="319">
        <f>SUM(I308:AC308)</f>
        <v/>
      </c>
      <c r="AE308" s="323" t="n"/>
    </row>
    <row r="309" ht="24" customHeight="1">
      <c r="A309" s="168" t="n"/>
      <c r="B309" s="319" t="n"/>
      <c r="C309" s="319" t="n"/>
      <c r="D309" s="319" t="n"/>
      <c r="E309" s="341" t="n"/>
      <c r="F309" s="341" t="n"/>
      <c r="G309" s="342" t="n"/>
      <c r="H309" s="322" t="n"/>
      <c r="I309" s="319">
        <f>IF(ISNUMBER(SEARCH("월1",$H309)),1,"")</f>
        <v/>
      </c>
      <c r="J309" s="319">
        <f>IF(OR(ISNUMBER(SEARCH("월2",$H309)),ISNUMBER(SEARCH("월1.2",$H309))),1,"")</f>
        <v/>
      </c>
      <c r="K309" s="319">
        <f>IF(OR(ISNUMBER(SEARCH("월3",$H309)),ISNUMBER(SEARCH("월1.3",$H309)),ISNUMBER(SEARCH("월2.3",$H309)),ISNUMBER(SEARCH("월1.2.3",$H309))),1,"")</f>
        <v/>
      </c>
      <c r="L309" s="319">
        <f>IF(ISNUMBER(SEARCH("화1",$H309)),1,"")</f>
        <v/>
      </c>
      <c r="M309" s="319">
        <f>IF(OR(ISNUMBER(SEARCH("화2",$H309)),ISNUMBER(SEARCH("화1.2",$H309))),1,"")</f>
        <v/>
      </c>
      <c r="N309" s="319">
        <f>IF(OR(ISNUMBER(SEARCH("화3",$H309)),ISNUMBER(SEARCH("화1.3",$H309)),ISNUMBER(SEARCH("화2.3",$H309)),ISNUMBER(SEARCH("화1.2.3",$H309))),1,"")</f>
        <v/>
      </c>
      <c r="O309" s="319">
        <f>IF(ISNUMBER(SEARCH("수1",$H309)),1,"")</f>
        <v/>
      </c>
      <c r="P309" s="319">
        <f>IF(OR(ISNUMBER(SEARCH("수2",$H309)),ISNUMBER(SEARCH("수1.2",$H309))),1,"")</f>
        <v/>
      </c>
      <c r="Q309" s="319">
        <f>IF(OR(ISNUMBER(SEARCH("수3",$H309)),ISNUMBER(SEARCH("수1.3",$H309)),ISNUMBER(SEARCH("수2.3",$H309)),ISNUMBER(SEARCH("수1.2.3",$H309))),1,"")</f>
        <v/>
      </c>
      <c r="R309" s="319">
        <f>IF(ISNUMBER(SEARCH("목1",$H309)),1,"")</f>
        <v/>
      </c>
      <c r="S309" s="319">
        <f>IF(OR(ISNUMBER(SEARCH("목2",$H309)),ISNUMBER(SEARCH("목1.2",$H309))),1,"")</f>
        <v/>
      </c>
      <c r="T309" s="319">
        <f>IF(OR(ISNUMBER(SEARCH("목3",$H309)),ISNUMBER(SEARCH("목1.3",$H309)),ISNUMBER(SEARCH("목2.3",$H309)),ISNUMBER(SEARCH("목1.2.3",$H309))),1,"")</f>
        <v/>
      </c>
      <c r="U309" s="319">
        <f>IF(ISNUMBER(SEARCH("금1",$H309)),1,"")</f>
        <v/>
      </c>
      <c r="V309" s="319">
        <f>IF(OR(ISNUMBER(SEARCH("금2",$H309)),ISNUMBER(SEARCH("금1.2",$H309))),1,"")</f>
        <v/>
      </c>
      <c r="W309" s="319">
        <f>IF(OR(ISNUMBER(SEARCH("금3",$H309)),ISNUMBER(SEARCH("금1.3",$H309)),ISNUMBER(SEARCH("금2.3",$H309)),ISNUMBER(SEARCH("금1.2.3",$H309))),1,"")</f>
        <v/>
      </c>
      <c r="X309" s="319">
        <f>IF(ISNUMBER(SEARCH("토1",$H309)),1,"")</f>
        <v/>
      </c>
      <c r="Y309" s="319">
        <f>IF(OR(ISNUMBER(SEARCH("토2",$H309)),ISNUMBER(SEARCH("토1.2",$H309))),1,"")</f>
        <v/>
      </c>
      <c r="Z309" s="319">
        <f>IF(OR(ISNUMBER(SEARCH("토3",$H309)),ISNUMBER(SEARCH("토1.3",$H309)),ISNUMBER(SEARCH("토2.3",$H309)),ISNUMBER(SEARCH("토1.2.3",$H309))),1,"")</f>
        <v/>
      </c>
      <c r="AA309" s="319">
        <f>IF(ISNUMBER(SEARCH("일1",$H309)),1,"")</f>
        <v/>
      </c>
      <c r="AB309" s="319">
        <f>IF(OR(ISNUMBER(SEARCH("일2",$H309)),ISNUMBER(SEARCH("일1.2",$H309))),1,"")</f>
        <v/>
      </c>
      <c r="AC309" s="319">
        <f>IF(OR(ISNUMBER(SEARCH("일3",$H309)),ISNUMBER(SEARCH("일1.3",$H309)),ISNUMBER(SEARCH("일2.3",$H309)),ISNUMBER(SEARCH("일1.2.3",$H309))),1,"")</f>
        <v/>
      </c>
      <c r="AD309" s="319">
        <f>SUM(I309:AC309)</f>
        <v/>
      </c>
      <c r="AE309" s="323" t="n"/>
    </row>
    <row r="310" ht="24" customHeight="1">
      <c r="A310" s="168" t="n"/>
      <c r="B310" s="319" t="n"/>
      <c r="C310" s="319" t="n"/>
      <c r="D310" s="319" t="n"/>
      <c r="E310" s="341" t="n"/>
      <c r="F310" s="341" t="n"/>
      <c r="G310" s="342" t="n"/>
      <c r="H310" s="322" t="n"/>
      <c r="I310" s="319">
        <f>IF(ISNUMBER(SEARCH("월1",$H310)),1,"")</f>
        <v/>
      </c>
      <c r="J310" s="319">
        <f>IF(OR(ISNUMBER(SEARCH("월2",$H310)),ISNUMBER(SEARCH("월1.2",$H310))),1,"")</f>
        <v/>
      </c>
      <c r="K310" s="319">
        <f>IF(OR(ISNUMBER(SEARCH("월3",$H310)),ISNUMBER(SEARCH("월1.3",$H310)),ISNUMBER(SEARCH("월2.3",$H310)),ISNUMBER(SEARCH("월1.2.3",$H310))),1,"")</f>
        <v/>
      </c>
      <c r="L310" s="319">
        <f>IF(ISNUMBER(SEARCH("화1",$H310)),1,"")</f>
        <v/>
      </c>
      <c r="M310" s="319">
        <f>IF(OR(ISNUMBER(SEARCH("화2",$H310)),ISNUMBER(SEARCH("화1.2",$H310))),1,"")</f>
        <v/>
      </c>
      <c r="N310" s="319">
        <f>IF(OR(ISNUMBER(SEARCH("화3",$H310)),ISNUMBER(SEARCH("화1.3",$H310)),ISNUMBER(SEARCH("화2.3",$H310)),ISNUMBER(SEARCH("화1.2.3",$H310))),1,"")</f>
        <v/>
      </c>
      <c r="O310" s="319">
        <f>IF(ISNUMBER(SEARCH("수1",$H310)),1,"")</f>
        <v/>
      </c>
      <c r="P310" s="319">
        <f>IF(OR(ISNUMBER(SEARCH("수2",$H310)),ISNUMBER(SEARCH("수1.2",$H310))),1,"")</f>
        <v/>
      </c>
      <c r="Q310" s="319">
        <f>IF(OR(ISNUMBER(SEARCH("수3",$H310)),ISNUMBER(SEARCH("수1.3",$H310)),ISNUMBER(SEARCH("수2.3",$H310)),ISNUMBER(SEARCH("수1.2.3",$H310))),1,"")</f>
        <v/>
      </c>
      <c r="R310" s="319">
        <f>IF(ISNUMBER(SEARCH("목1",$H310)),1,"")</f>
        <v/>
      </c>
      <c r="S310" s="319">
        <f>IF(OR(ISNUMBER(SEARCH("목2",$H310)),ISNUMBER(SEARCH("목1.2",$H310))),1,"")</f>
        <v/>
      </c>
      <c r="T310" s="319">
        <f>IF(OR(ISNUMBER(SEARCH("목3",$H310)),ISNUMBER(SEARCH("목1.3",$H310)),ISNUMBER(SEARCH("목2.3",$H310)),ISNUMBER(SEARCH("목1.2.3",$H310))),1,"")</f>
        <v/>
      </c>
      <c r="U310" s="319">
        <f>IF(ISNUMBER(SEARCH("금1",$H310)),1,"")</f>
        <v/>
      </c>
      <c r="V310" s="319">
        <f>IF(OR(ISNUMBER(SEARCH("금2",$H310)),ISNUMBER(SEARCH("금1.2",$H310))),1,"")</f>
        <v/>
      </c>
      <c r="W310" s="319">
        <f>IF(OR(ISNUMBER(SEARCH("금3",$H310)),ISNUMBER(SEARCH("금1.3",$H310)),ISNUMBER(SEARCH("금2.3",$H310)),ISNUMBER(SEARCH("금1.2.3",$H310))),1,"")</f>
        <v/>
      </c>
      <c r="X310" s="319">
        <f>IF(ISNUMBER(SEARCH("토1",$H310)),1,"")</f>
        <v/>
      </c>
      <c r="Y310" s="319">
        <f>IF(OR(ISNUMBER(SEARCH("토2",$H310)),ISNUMBER(SEARCH("토1.2",$H310))),1,"")</f>
        <v/>
      </c>
      <c r="Z310" s="319">
        <f>IF(OR(ISNUMBER(SEARCH("토3",$H310)),ISNUMBER(SEARCH("토1.3",$H310)),ISNUMBER(SEARCH("토2.3",$H310)),ISNUMBER(SEARCH("토1.2.3",$H310))),1,"")</f>
        <v/>
      </c>
      <c r="AA310" s="319">
        <f>IF(ISNUMBER(SEARCH("일1",$H310)),1,"")</f>
        <v/>
      </c>
      <c r="AB310" s="319">
        <f>IF(OR(ISNUMBER(SEARCH("일2",$H310)),ISNUMBER(SEARCH("일1.2",$H310))),1,"")</f>
        <v/>
      </c>
      <c r="AC310" s="319">
        <f>IF(OR(ISNUMBER(SEARCH("일3",$H310)),ISNUMBER(SEARCH("일1.3",$H310)),ISNUMBER(SEARCH("일2.3",$H310)),ISNUMBER(SEARCH("일1.2.3",$H310))),1,"")</f>
        <v/>
      </c>
      <c r="AD310" s="319">
        <f>SUM(I310:AC310)</f>
        <v/>
      </c>
      <c r="AE310" s="323" t="n"/>
    </row>
    <row r="311" ht="24" customHeight="1">
      <c r="A311" s="170" t="n"/>
      <c r="B311" s="324" t="n"/>
      <c r="C311" s="324" t="n"/>
      <c r="D311" s="324" t="n"/>
      <c r="E311" s="343" t="n"/>
      <c r="F311" s="343" t="n"/>
      <c r="G311" s="344" t="n"/>
      <c r="H311" s="327" t="n"/>
      <c r="I311" s="324">
        <f>IF(ISNUMBER(SEARCH("월1",$H311)),1,"")</f>
        <v/>
      </c>
      <c r="J311" s="324">
        <f>IF(OR(ISNUMBER(SEARCH("월2",$H311)),ISNUMBER(SEARCH("월1.2",$H311))),1,"")</f>
        <v/>
      </c>
      <c r="K311" s="324">
        <f>IF(OR(ISNUMBER(SEARCH("월3",$H311)),ISNUMBER(SEARCH("월1.3",$H311)),ISNUMBER(SEARCH("월2.3",$H311)),ISNUMBER(SEARCH("월1.2.3",$H311))),1,"")</f>
        <v/>
      </c>
      <c r="L311" s="324">
        <f>IF(ISNUMBER(SEARCH("화1",$H311)),1,"")</f>
        <v/>
      </c>
      <c r="M311" s="324">
        <f>IF(OR(ISNUMBER(SEARCH("화2",$H311)),ISNUMBER(SEARCH("화1.2",$H311))),1,"")</f>
        <v/>
      </c>
      <c r="N311" s="324">
        <f>IF(OR(ISNUMBER(SEARCH("화3",$H311)),ISNUMBER(SEARCH("화1.3",$H311)),ISNUMBER(SEARCH("화2.3",$H311)),ISNUMBER(SEARCH("화1.2.3",$H311))),1,"")</f>
        <v/>
      </c>
      <c r="O311" s="324">
        <f>IF(ISNUMBER(SEARCH("수1",$H311)),1,"")</f>
        <v/>
      </c>
      <c r="P311" s="324">
        <f>IF(OR(ISNUMBER(SEARCH("수2",$H311)),ISNUMBER(SEARCH("수1.2",$H311))),1,"")</f>
        <v/>
      </c>
      <c r="Q311" s="324">
        <f>IF(OR(ISNUMBER(SEARCH("수3",$H311)),ISNUMBER(SEARCH("수1.3",$H311)),ISNUMBER(SEARCH("수2.3",$H311)),ISNUMBER(SEARCH("수1.2.3",$H311))),1,"")</f>
        <v/>
      </c>
      <c r="R311" s="324">
        <f>IF(ISNUMBER(SEARCH("목1",$H311)),1,"")</f>
        <v/>
      </c>
      <c r="S311" s="324">
        <f>IF(OR(ISNUMBER(SEARCH("목2",$H311)),ISNUMBER(SEARCH("목1.2",$H311))),1,"")</f>
        <v/>
      </c>
      <c r="T311" s="324">
        <f>IF(OR(ISNUMBER(SEARCH("목3",$H311)),ISNUMBER(SEARCH("목1.3",$H311)),ISNUMBER(SEARCH("목2.3",$H311)),ISNUMBER(SEARCH("목1.2.3",$H311))),1,"")</f>
        <v/>
      </c>
      <c r="U311" s="324">
        <f>IF(ISNUMBER(SEARCH("금1",$H311)),1,"")</f>
        <v/>
      </c>
      <c r="V311" s="324">
        <f>IF(OR(ISNUMBER(SEARCH("금2",$H311)),ISNUMBER(SEARCH("금1.2",$H311))),1,"")</f>
        <v/>
      </c>
      <c r="W311" s="324">
        <f>IF(OR(ISNUMBER(SEARCH("금3",$H311)),ISNUMBER(SEARCH("금1.3",$H311)),ISNUMBER(SEARCH("금2.3",$H311)),ISNUMBER(SEARCH("금1.2.3",$H311))),1,"")</f>
        <v/>
      </c>
      <c r="X311" s="324">
        <f>IF(ISNUMBER(SEARCH("토1",$H311)),1,"")</f>
        <v/>
      </c>
      <c r="Y311" s="324">
        <f>IF(OR(ISNUMBER(SEARCH("토2",$H311)),ISNUMBER(SEARCH("토1.2",$H311))),1,"")</f>
        <v/>
      </c>
      <c r="Z311" s="324">
        <f>IF(OR(ISNUMBER(SEARCH("토3",$H311)),ISNUMBER(SEARCH("토1.3",$H311)),ISNUMBER(SEARCH("토2.3",$H311)),ISNUMBER(SEARCH("토1.2.3",$H311))),1,"")</f>
        <v/>
      </c>
      <c r="AA311" s="324">
        <f>IF(ISNUMBER(SEARCH("일1",$H311)),1,"")</f>
        <v/>
      </c>
      <c r="AB311" s="324">
        <f>IF(OR(ISNUMBER(SEARCH("일2",$H311)),ISNUMBER(SEARCH("일1.2",$H311))),1,"")</f>
        <v/>
      </c>
      <c r="AC311" s="324">
        <f>IF(OR(ISNUMBER(SEARCH("일3",$H311)),ISNUMBER(SEARCH("일1.3",$H311)),ISNUMBER(SEARCH("일2.3",$H311)),ISNUMBER(SEARCH("일1.2.3",$H311))),1,"")</f>
        <v/>
      </c>
      <c r="AD311" s="324">
        <f>SUM(I311:AC311)</f>
        <v/>
      </c>
      <c r="AE311" s="328" t="n"/>
    </row>
    <row r="312" ht="27" customHeight="1">
      <c r="A312" s="336" t="n"/>
      <c r="B312" s="337" t="n"/>
      <c r="C312" s="337" t="n"/>
      <c r="D312" s="337" t="n"/>
      <c r="E312" s="337" t="n"/>
      <c r="F312" s="337" t="n"/>
      <c r="G312" s="337" t="n"/>
      <c r="H312" s="337" t="n"/>
      <c r="I312" s="337" t="n"/>
      <c r="J312" s="337" t="n"/>
      <c r="K312" s="337" t="n"/>
      <c r="L312" s="337" t="n"/>
      <c r="M312" s="337" t="n"/>
      <c r="N312" s="337" t="n"/>
      <c r="O312" s="337" t="n"/>
      <c r="P312" s="337" t="n"/>
      <c r="Q312" s="337" t="n"/>
      <c r="R312" s="337" t="n"/>
      <c r="S312" s="337" t="n"/>
      <c r="T312" s="337" t="n"/>
      <c r="U312" s="337" t="n"/>
      <c r="V312" s="337" t="n"/>
      <c r="W312" s="337" t="n"/>
      <c r="X312" s="337" t="n"/>
      <c r="Y312" s="337" t="n"/>
      <c r="Z312" s="337" t="n"/>
      <c r="AA312" s="337" t="n"/>
      <c r="AB312" s="337" t="n"/>
      <c r="AC312" s="337" t="n"/>
      <c r="AD312" s="337" t="n"/>
      <c r="AE312" s="338" t="n"/>
    </row>
    <row r="313" ht="24" customHeight="1">
      <c r="A313" s="166" t="n"/>
      <c r="B313" s="314" t="n"/>
      <c r="C313" s="314" t="n"/>
      <c r="D313" s="314" t="n"/>
      <c r="E313" s="339" t="n"/>
      <c r="F313" s="339" t="n"/>
      <c r="G313" s="340" t="n"/>
      <c r="H313" s="317" t="n"/>
      <c r="I313" s="314">
        <f>IF(ISNUMBER(SEARCH("월1",$H313)),1,"")</f>
        <v/>
      </c>
      <c r="J313" s="314">
        <f>IF(OR(ISNUMBER(SEARCH("월2",$H313)),ISNUMBER(SEARCH("월1.2",$H313))),1,"")</f>
        <v/>
      </c>
      <c r="K313" s="314">
        <f>IF(OR(ISNUMBER(SEARCH("월3",$H313)),ISNUMBER(SEARCH("월1.3",$H313)),ISNUMBER(SEARCH("월2.3",$H313)),ISNUMBER(SEARCH("월1.2.3",$H313))),1,"")</f>
        <v/>
      </c>
      <c r="L313" s="314">
        <f>IF(ISNUMBER(SEARCH("화1",$H313)),1,"")</f>
        <v/>
      </c>
      <c r="M313" s="314">
        <f>IF(OR(ISNUMBER(SEARCH("화2",$H313)),ISNUMBER(SEARCH("화1.2",$H313))),1,"")</f>
        <v/>
      </c>
      <c r="N313" s="314">
        <f>IF(OR(ISNUMBER(SEARCH("화3",$H313)),ISNUMBER(SEARCH("화1.3",$H313)),ISNUMBER(SEARCH("화2.3",$H313)),ISNUMBER(SEARCH("화1.2.3",$H313))),1,"")</f>
        <v/>
      </c>
      <c r="O313" s="314">
        <f>IF(ISNUMBER(SEARCH("수1",$H313)),1,"")</f>
        <v/>
      </c>
      <c r="P313" s="314">
        <f>IF(OR(ISNUMBER(SEARCH("수2",$H313)),ISNUMBER(SEARCH("수1.2",$H313))),1,"")</f>
        <v/>
      </c>
      <c r="Q313" s="314">
        <f>IF(OR(ISNUMBER(SEARCH("수3",$H313)),ISNUMBER(SEARCH("수1.3",$H313)),ISNUMBER(SEARCH("수2.3",$H313)),ISNUMBER(SEARCH("수1.2.3",$H313))),1,"")</f>
        <v/>
      </c>
      <c r="R313" s="314">
        <f>IF(ISNUMBER(SEARCH("목1",$H313)),1,"")</f>
        <v/>
      </c>
      <c r="S313" s="314">
        <f>IF(OR(ISNUMBER(SEARCH("목2",$H313)),ISNUMBER(SEARCH("목1.2",$H313))),1,"")</f>
        <v/>
      </c>
      <c r="T313" s="314">
        <f>IF(OR(ISNUMBER(SEARCH("목3",$H313)),ISNUMBER(SEARCH("목1.3",$H313)),ISNUMBER(SEARCH("목2.3",$H313)),ISNUMBER(SEARCH("목1.2.3",$H313))),1,"")</f>
        <v/>
      </c>
      <c r="U313" s="314">
        <f>IF(ISNUMBER(SEARCH("금1",$H313)),1,"")</f>
        <v/>
      </c>
      <c r="V313" s="314">
        <f>IF(OR(ISNUMBER(SEARCH("금2",$H313)),ISNUMBER(SEARCH("금1.2",$H313))),1,"")</f>
        <v/>
      </c>
      <c r="W313" s="314">
        <f>IF(OR(ISNUMBER(SEARCH("금3",$H313)),ISNUMBER(SEARCH("금1.3",$H313)),ISNUMBER(SEARCH("금2.3",$H313)),ISNUMBER(SEARCH("금1.2.3",$H313))),1,"")</f>
        <v/>
      </c>
      <c r="X313" s="314">
        <f>IF(ISNUMBER(SEARCH("토1",$H313)),1,"")</f>
        <v/>
      </c>
      <c r="Y313" s="314">
        <f>IF(OR(ISNUMBER(SEARCH("토2",$H313)),ISNUMBER(SEARCH("토1.2",$H313))),1,"")</f>
        <v/>
      </c>
      <c r="Z313" s="314">
        <f>IF(OR(ISNUMBER(SEARCH("토3",$H313)),ISNUMBER(SEARCH("토1.3",$H313)),ISNUMBER(SEARCH("토2.3",$H313)),ISNUMBER(SEARCH("토1.2.3",$H313))),1,"")</f>
        <v/>
      </c>
      <c r="AA313" s="314">
        <f>IF(ISNUMBER(SEARCH("일1",$H313)),1,"")</f>
        <v/>
      </c>
      <c r="AB313" s="314">
        <f>IF(OR(ISNUMBER(SEARCH("일2",$H313)),ISNUMBER(SEARCH("일1.2",$H313))),1,"")</f>
        <v/>
      </c>
      <c r="AC313" s="314">
        <f>IF(OR(ISNUMBER(SEARCH("일3",$H313)),ISNUMBER(SEARCH("일1.3",$H313)),ISNUMBER(SEARCH("일2.3",$H313)),ISNUMBER(SEARCH("일1.2.3",$H313))),1,"")</f>
        <v/>
      </c>
      <c r="AD313" s="314">
        <f>SUM(I313:AC313)</f>
        <v/>
      </c>
      <c r="AE313" s="318" t="n"/>
    </row>
    <row r="314" ht="24" customHeight="1">
      <c r="A314" s="168" t="n"/>
      <c r="B314" s="319" t="n"/>
      <c r="C314" s="319" t="n"/>
      <c r="D314" s="319" t="n"/>
      <c r="E314" s="341" t="n"/>
      <c r="F314" s="341" t="n"/>
      <c r="G314" s="342" t="n"/>
      <c r="H314" s="322" t="n"/>
      <c r="I314" s="319">
        <f>IF(ISNUMBER(SEARCH("월1",$H314)),1,"")</f>
        <v/>
      </c>
      <c r="J314" s="319">
        <f>IF(OR(ISNUMBER(SEARCH("월2",$H314)),ISNUMBER(SEARCH("월1.2",$H314))),1,"")</f>
        <v/>
      </c>
      <c r="K314" s="319">
        <f>IF(OR(ISNUMBER(SEARCH("월3",$H314)),ISNUMBER(SEARCH("월1.3",$H314)),ISNUMBER(SEARCH("월2.3",$H314)),ISNUMBER(SEARCH("월1.2.3",$H314))),1,"")</f>
        <v/>
      </c>
      <c r="L314" s="319">
        <f>IF(ISNUMBER(SEARCH("화1",$H314)),1,"")</f>
        <v/>
      </c>
      <c r="M314" s="319">
        <f>IF(OR(ISNUMBER(SEARCH("화2",$H314)),ISNUMBER(SEARCH("화1.2",$H314))),1,"")</f>
        <v/>
      </c>
      <c r="N314" s="319">
        <f>IF(OR(ISNUMBER(SEARCH("화3",$H314)),ISNUMBER(SEARCH("화1.3",$H314)),ISNUMBER(SEARCH("화2.3",$H314)),ISNUMBER(SEARCH("화1.2.3",$H314))),1,"")</f>
        <v/>
      </c>
      <c r="O314" s="319">
        <f>IF(ISNUMBER(SEARCH("수1",$H314)),1,"")</f>
        <v/>
      </c>
      <c r="P314" s="319">
        <f>IF(OR(ISNUMBER(SEARCH("수2",$H314)),ISNUMBER(SEARCH("수1.2",$H314))),1,"")</f>
        <v/>
      </c>
      <c r="Q314" s="319">
        <f>IF(OR(ISNUMBER(SEARCH("수3",$H314)),ISNUMBER(SEARCH("수1.3",$H314)),ISNUMBER(SEARCH("수2.3",$H314)),ISNUMBER(SEARCH("수1.2.3",$H314))),1,"")</f>
        <v/>
      </c>
      <c r="R314" s="319">
        <f>IF(ISNUMBER(SEARCH("목1",$H314)),1,"")</f>
        <v/>
      </c>
      <c r="S314" s="319">
        <f>IF(OR(ISNUMBER(SEARCH("목2",$H314)),ISNUMBER(SEARCH("목1.2",$H314))),1,"")</f>
        <v/>
      </c>
      <c r="T314" s="319">
        <f>IF(OR(ISNUMBER(SEARCH("목3",$H314)),ISNUMBER(SEARCH("목1.3",$H314)),ISNUMBER(SEARCH("목2.3",$H314)),ISNUMBER(SEARCH("목1.2.3",$H314))),1,"")</f>
        <v/>
      </c>
      <c r="U314" s="319">
        <f>IF(ISNUMBER(SEARCH("금1",$H314)),1,"")</f>
        <v/>
      </c>
      <c r="V314" s="319">
        <f>IF(OR(ISNUMBER(SEARCH("금2",$H314)),ISNUMBER(SEARCH("금1.2",$H314))),1,"")</f>
        <v/>
      </c>
      <c r="W314" s="319">
        <f>IF(OR(ISNUMBER(SEARCH("금3",$H314)),ISNUMBER(SEARCH("금1.3",$H314)),ISNUMBER(SEARCH("금2.3",$H314)),ISNUMBER(SEARCH("금1.2.3",$H314))),1,"")</f>
        <v/>
      </c>
      <c r="X314" s="319">
        <f>IF(ISNUMBER(SEARCH("토1",$H314)),1,"")</f>
        <v/>
      </c>
      <c r="Y314" s="319">
        <f>IF(OR(ISNUMBER(SEARCH("토2",$H314)),ISNUMBER(SEARCH("토1.2",$H314))),1,"")</f>
        <v/>
      </c>
      <c r="Z314" s="319">
        <f>IF(OR(ISNUMBER(SEARCH("토3",$H314)),ISNUMBER(SEARCH("토1.3",$H314)),ISNUMBER(SEARCH("토2.3",$H314)),ISNUMBER(SEARCH("토1.2.3",$H314))),1,"")</f>
        <v/>
      </c>
      <c r="AA314" s="319">
        <f>IF(ISNUMBER(SEARCH("일1",$H314)),1,"")</f>
        <v/>
      </c>
      <c r="AB314" s="319">
        <f>IF(OR(ISNUMBER(SEARCH("일2",$H314)),ISNUMBER(SEARCH("일1.2",$H314))),1,"")</f>
        <v/>
      </c>
      <c r="AC314" s="319">
        <f>IF(OR(ISNUMBER(SEARCH("일3",$H314)),ISNUMBER(SEARCH("일1.3",$H314)),ISNUMBER(SEARCH("일2.3",$H314)),ISNUMBER(SEARCH("일1.2.3",$H314))),1,"")</f>
        <v/>
      </c>
      <c r="AD314" s="319">
        <f>SUM(I314:AC314)</f>
        <v/>
      </c>
      <c r="AE314" s="323" t="n"/>
    </row>
    <row r="315" ht="24" customHeight="1">
      <c r="A315" s="168" t="n"/>
      <c r="B315" s="319" t="n"/>
      <c r="C315" s="319" t="n"/>
      <c r="D315" s="319" t="n"/>
      <c r="E315" s="341" t="n"/>
      <c r="F315" s="341" t="n"/>
      <c r="G315" s="342" t="n"/>
      <c r="H315" s="322" t="n"/>
      <c r="I315" s="319">
        <f>IF(ISNUMBER(SEARCH("월1",$H315)),1,"")</f>
        <v/>
      </c>
      <c r="J315" s="319">
        <f>IF(OR(ISNUMBER(SEARCH("월2",$H315)),ISNUMBER(SEARCH("월1.2",$H315))),1,"")</f>
        <v/>
      </c>
      <c r="K315" s="319">
        <f>IF(OR(ISNUMBER(SEARCH("월3",$H315)),ISNUMBER(SEARCH("월1.3",$H315)),ISNUMBER(SEARCH("월2.3",$H315)),ISNUMBER(SEARCH("월1.2.3",$H315))),1,"")</f>
        <v/>
      </c>
      <c r="L315" s="319">
        <f>IF(ISNUMBER(SEARCH("화1",$H315)),1,"")</f>
        <v/>
      </c>
      <c r="M315" s="319">
        <f>IF(OR(ISNUMBER(SEARCH("화2",$H315)),ISNUMBER(SEARCH("화1.2",$H315))),1,"")</f>
        <v/>
      </c>
      <c r="N315" s="319">
        <f>IF(OR(ISNUMBER(SEARCH("화3",$H315)),ISNUMBER(SEARCH("화1.3",$H315)),ISNUMBER(SEARCH("화2.3",$H315)),ISNUMBER(SEARCH("화1.2.3",$H315))),1,"")</f>
        <v/>
      </c>
      <c r="O315" s="319">
        <f>IF(ISNUMBER(SEARCH("수1",$H315)),1,"")</f>
        <v/>
      </c>
      <c r="P315" s="319">
        <f>IF(OR(ISNUMBER(SEARCH("수2",$H315)),ISNUMBER(SEARCH("수1.2",$H315))),1,"")</f>
        <v/>
      </c>
      <c r="Q315" s="319">
        <f>IF(OR(ISNUMBER(SEARCH("수3",$H315)),ISNUMBER(SEARCH("수1.3",$H315)),ISNUMBER(SEARCH("수2.3",$H315)),ISNUMBER(SEARCH("수1.2.3",$H315))),1,"")</f>
        <v/>
      </c>
      <c r="R315" s="319">
        <f>IF(ISNUMBER(SEARCH("목1",$H315)),1,"")</f>
        <v/>
      </c>
      <c r="S315" s="319">
        <f>IF(OR(ISNUMBER(SEARCH("목2",$H315)),ISNUMBER(SEARCH("목1.2",$H315))),1,"")</f>
        <v/>
      </c>
      <c r="T315" s="319">
        <f>IF(OR(ISNUMBER(SEARCH("목3",$H315)),ISNUMBER(SEARCH("목1.3",$H315)),ISNUMBER(SEARCH("목2.3",$H315)),ISNUMBER(SEARCH("목1.2.3",$H315))),1,"")</f>
        <v/>
      </c>
      <c r="U315" s="319">
        <f>IF(ISNUMBER(SEARCH("금1",$H315)),1,"")</f>
        <v/>
      </c>
      <c r="V315" s="319">
        <f>IF(OR(ISNUMBER(SEARCH("금2",$H315)),ISNUMBER(SEARCH("금1.2",$H315))),1,"")</f>
        <v/>
      </c>
      <c r="W315" s="319">
        <f>IF(OR(ISNUMBER(SEARCH("금3",$H315)),ISNUMBER(SEARCH("금1.3",$H315)),ISNUMBER(SEARCH("금2.3",$H315)),ISNUMBER(SEARCH("금1.2.3",$H315))),1,"")</f>
        <v/>
      </c>
      <c r="X315" s="319">
        <f>IF(ISNUMBER(SEARCH("토1",$H315)),1,"")</f>
        <v/>
      </c>
      <c r="Y315" s="319">
        <f>IF(OR(ISNUMBER(SEARCH("토2",$H315)),ISNUMBER(SEARCH("토1.2",$H315))),1,"")</f>
        <v/>
      </c>
      <c r="Z315" s="319">
        <f>IF(OR(ISNUMBER(SEARCH("토3",$H315)),ISNUMBER(SEARCH("토1.3",$H315)),ISNUMBER(SEARCH("토2.3",$H315)),ISNUMBER(SEARCH("토1.2.3",$H315))),1,"")</f>
        <v/>
      </c>
      <c r="AA315" s="319">
        <f>IF(ISNUMBER(SEARCH("일1",$H315)),1,"")</f>
        <v/>
      </c>
      <c r="AB315" s="319">
        <f>IF(OR(ISNUMBER(SEARCH("일2",$H315)),ISNUMBER(SEARCH("일1.2",$H315))),1,"")</f>
        <v/>
      </c>
      <c r="AC315" s="319">
        <f>IF(OR(ISNUMBER(SEARCH("일3",$H315)),ISNUMBER(SEARCH("일1.3",$H315)),ISNUMBER(SEARCH("일2.3",$H315)),ISNUMBER(SEARCH("일1.2.3",$H315))),1,"")</f>
        <v/>
      </c>
      <c r="AD315" s="319">
        <f>SUM(I315:AC315)</f>
        <v/>
      </c>
      <c r="AE315" s="323" t="n"/>
    </row>
    <row r="316" ht="24" customHeight="1">
      <c r="A316" s="168" t="n"/>
      <c r="B316" s="319" t="n"/>
      <c r="C316" s="319" t="n"/>
      <c r="D316" s="319" t="n"/>
      <c r="E316" s="341" t="n"/>
      <c r="F316" s="341" t="n"/>
      <c r="G316" s="342" t="n"/>
      <c r="H316" s="322" t="n"/>
      <c r="I316" s="319">
        <f>IF(ISNUMBER(SEARCH("월1",$H316)),1,"")</f>
        <v/>
      </c>
      <c r="J316" s="319">
        <f>IF(OR(ISNUMBER(SEARCH("월2",$H316)),ISNUMBER(SEARCH("월1.2",$H316))),1,"")</f>
        <v/>
      </c>
      <c r="K316" s="319">
        <f>IF(OR(ISNUMBER(SEARCH("월3",$H316)),ISNUMBER(SEARCH("월1.3",$H316)),ISNUMBER(SEARCH("월2.3",$H316)),ISNUMBER(SEARCH("월1.2.3",$H316))),1,"")</f>
        <v/>
      </c>
      <c r="L316" s="319">
        <f>IF(ISNUMBER(SEARCH("화1",$H316)),1,"")</f>
        <v/>
      </c>
      <c r="M316" s="319">
        <f>IF(OR(ISNUMBER(SEARCH("화2",$H316)),ISNUMBER(SEARCH("화1.2",$H316))),1,"")</f>
        <v/>
      </c>
      <c r="N316" s="319">
        <f>IF(OR(ISNUMBER(SEARCH("화3",$H316)),ISNUMBER(SEARCH("화1.3",$H316)),ISNUMBER(SEARCH("화2.3",$H316)),ISNUMBER(SEARCH("화1.2.3",$H316))),1,"")</f>
        <v/>
      </c>
      <c r="O316" s="319">
        <f>IF(ISNUMBER(SEARCH("수1",$H316)),1,"")</f>
        <v/>
      </c>
      <c r="P316" s="319">
        <f>IF(OR(ISNUMBER(SEARCH("수2",$H316)),ISNUMBER(SEARCH("수1.2",$H316))),1,"")</f>
        <v/>
      </c>
      <c r="Q316" s="319">
        <f>IF(OR(ISNUMBER(SEARCH("수3",$H316)),ISNUMBER(SEARCH("수1.3",$H316)),ISNUMBER(SEARCH("수2.3",$H316)),ISNUMBER(SEARCH("수1.2.3",$H316))),1,"")</f>
        <v/>
      </c>
      <c r="R316" s="319">
        <f>IF(ISNUMBER(SEARCH("목1",$H316)),1,"")</f>
        <v/>
      </c>
      <c r="S316" s="319">
        <f>IF(OR(ISNUMBER(SEARCH("목2",$H316)),ISNUMBER(SEARCH("목1.2",$H316))),1,"")</f>
        <v/>
      </c>
      <c r="T316" s="319">
        <f>IF(OR(ISNUMBER(SEARCH("목3",$H316)),ISNUMBER(SEARCH("목1.3",$H316)),ISNUMBER(SEARCH("목2.3",$H316)),ISNUMBER(SEARCH("목1.2.3",$H316))),1,"")</f>
        <v/>
      </c>
      <c r="U316" s="319">
        <f>IF(ISNUMBER(SEARCH("금1",$H316)),1,"")</f>
        <v/>
      </c>
      <c r="V316" s="319">
        <f>IF(OR(ISNUMBER(SEARCH("금2",$H316)),ISNUMBER(SEARCH("금1.2",$H316))),1,"")</f>
        <v/>
      </c>
      <c r="W316" s="319">
        <f>IF(OR(ISNUMBER(SEARCH("금3",$H316)),ISNUMBER(SEARCH("금1.3",$H316)),ISNUMBER(SEARCH("금2.3",$H316)),ISNUMBER(SEARCH("금1.2.3",$H316))),1,"")</f>
        <v/>
      </c>
      <c r="X316" s="319">
        <f>IF(ISNUMBER(SEARCH("토1",$H316)),1,"")</f>
        <v/>
      </c>
      <c r="Y316" s="319">
        <f>IF(OR(ISNUMBER(SEARCH("토2",$H316)),ISNUMBER(SEARCH("토1.2",$H316))),1,"")</f>
        <v/>
      </c>
      <c r="Z316" s="319">
        <f>IF(OR(ISNUMBER(SEARCH("토3",$H316)),ISNUMBER(SEARCH("토1.3",$H316)),ISNUMBER(SEARCH("토2.3",$H316)),ISNUMBER(SEARCH("토1.2.3",$H316))),1,"")</f>
        <v/>
      </c>
      <c r="AA316" s="319">
        <f>IF(ISNUMBER(SEARCH("일1",$H316)),1,"")</f>
        <v/>
      </c>
      <c r="AB316" s="319">
        <f>IF(OR(ISNUMBER(SEARCH("일2",$H316)),ISNUMBER(SEARCH("일1.2",$H316))),1,"")</f>
        <v/>
      </c>
      <c r="AC316" s="319">
        <f>IF(OR(ISNUMBER(SEARCH("일3",$H316)),ISNUMBER(SEARCH("일1.3",$H316)),ISNUMBER(SEARCH("일2.3",$H316)),ISNUMBER(SEARCH("일1.2.3",$H316))),1,"")</f>
        <v/>
      </c>
      <c r="AD316" s="319">
        <f>SUM(I316:AC316)</f>
        <v/>
      </c>
      <c r="AE316" s="323" t="n"/>
    </row>
    <row r="317" ht="24" customHeight="1">
      <c r="A317" s="168" t="n"/>
      <c r="B317" s="319" t="n"/>
      <c r="C317" s="319" t="n"/>
      <c r="D317" s="319" t="n"/>
      <c r="E317" s="341" t="n"/>
      <c r="F317" s="341" t="n"/>
      <c r="G317" s="342" t="n"/>
      <c r="H317" s="322" t="n"/>
      <c r="I317" s="319">
        <f>IF(ISNUMBER(SEARCH("월1",$H317)),1,"")</f>
        <v/>
      </c>
      <c r="J317" s="319">
        <f>IF(OR(ISNUMBER(SEARCH("월2",$H317)),ISNUMBER(SEARCH("월1.2",$H317))),1,"")</f>
        <v/>
      </c>
      <c r="K317" s="319">
        <f>IF(OR(ISNUMBER(SEARCH("월3",$H317)),ISNUMBER(SEARCH("월1.3",$H317)),ISNUMBER(SEARCH("월2.3",$H317)),ISNUMBER(SEARCH("월1.2.3",$H317))),1,"")</f>
        <v/>
      </c>
      <c r="L317" s="319">
        <f>IF(ISNUMBER(SEARCH("화1",$H317)),1,"")</f>
        <v/>
      </c>
      <c r="M317" s="319">
        <f>IF(OR(ISNUMBER(SEARCH("화2",$H317)),ISNUMBER(SEARCH("화1.2",$H317))),1,"")</f>
        <v/>
      </c>
      <c r="N317" s="319">
        <f>IF(OR(ISNUMBER(SEARCH("화3",$H317)),ISNUMBER(SEARCH("화1.3",$H317)),ISNUMBER(SEARCH("화2.3",$H317)),ISNUMBER(SEARCH("화1.2.3",$H317))),1,"")</f>
        <v/>
      </c>
      <c r="O317" s="319">
        <f>IF(ISNUMBER(SEARCH("수1",$H317)),1,"")</f>
        <v/>
      </c>
      <c r="P317" s="319">
        <f>IF(OR(ISNUMBER(SEARCH("수2",$H317)),ISNUMBER(SEARCH("수1.2",$H317))),1,"")</f>
        <v/>
      </c>
      <c r="Q317" s="319">
        <f>IF(OR(ISNUMBER(SEARCH("수3",$H317)),ISNUMBER(SEARCH("수1.3",$H317)),ISNUMBER(SEARCH("수2.3",$H317)),ISNUMBER(SEARCH("수1.2.3",$H317))),1,"")</f>
        <v/>
      </c>
      <c r="R317" s="319">
        <f>IF(ISNUMBER(SEARCH("목1",$H317)),1,"")</f>
        <v/>
      </c>
      <c r="S317" s="319">
        <f>IF(OR(ISNUMBER(SEARCH("목2",$H317)),ISNUMBER(SEARCH("목1.2",$H317))),1,"")</f>
        <v/>
      </c>
      <c r="T317" s="319">
        <f>IF(OR(ISNUMBER(SEARCH("목3",$H317)),ISNUMBER(SEARCH("목1.3",$H317)),ISNUMBER(SEARCH("목2.3",$H317)),ISNUMBER(SEARCH("목1.2.3",$H317))),1,"")</f>
        <v/>
      </c>
      <c r="U317" s="319">
        <f>IF(ISNUMBER(SEARCH("금1",$H317)),1,"")</f>
        <v/>
      </c>
      <c r="V317" s="319">
        <f>IF(OR(ISNUMBER(SEARCH("금2",$H317)),ISNUMBER(SEARCH("금1.2",$H317))),1,"")</f>
        <v/>
      </c>
      <c r="W317" s="319">
        <f>IF(OR(ISNUMBER(SEARCH("금3",$H317)),ISNUMBER(SEARCH("금1.3",$H317)),ISNUMBER(SEARCH("금2.3",$H317)),ISNUMBER(SEARCH("금1.2.3",$H317))),1,"")</f>
        <v/>
      </c>
      <c r="X317" s="319">
        <f>IF(ISNUMBER(SEARCH("토1",$H317)),1,"")</f>
        <v/>
      </c>
      <c r="Y317" s="319">
        <f>IF(OR(ISNUMBER(SEARCH("토2",$H317)),ISNUMBER(SEARCH("토1.2",$H317))),1,"")</f>
        <v/>
      </c>
      <c r="Z317" s="319">
        <f>IF(OR(ISNUMBER(SEARCH("토3",$H317)),ISNUMBER(SEARCH("토1.3",$H317)),ISNUMBER(SEARCH("토2.3",$H317)),ISNUMBER(SEARCH("토1.2.3",$H317))),1,"")</f>
        <v/>
      </c>
      <c r="AA317" s="319">
        <f>IF(ISNUMBER(SEARCH("일1",$H317)),1,"")</f>
        <v/>
      </c>
      <c r="AB317" s="319">
        <f>IF(OR(ISNUMBER(SEARCH("일2",$H317)),ISNUMBER(SEARCH("일1.2",$H317))),1,"")</f>
        <v/>
      </c>
      <c r="AC317" s="319">
        <f>IF(OR(ISNUMBER(SEARCH("일3",$H317)),ISNUMBER(SEARCH("일1.3",$H317)),ISNUMBER(SEARCH("일2.3",$H317)),ISNUMBER(SEARCH("일1.2.3",$H317))),1,"")</f>
        <v/>
      </c>
      <c r="AD317" s="319">
        <f>SUM(I317:AC317)</f>
        <v/>
      </c>
      <c r="AE317" s="323" t="n"/>
    </row>
    <row r="318" ht="24" customHeight="1">
      <c r="A318" s="168" t="n"/>
      <c r="B318" s="319" t="n"/>
      <c r="C318" s="319" t="n"/>
      <c r="D318" s="319" t="n"/>
      <c r="E318" s="341" t="n"/>
      <c r="F318" s="341" t="n"/>
      <c r="G318" s="342" t="n"/>
      <c r="H318" s="322" t="n"/>
      <c r="I318" s="319">
        <f>IF(ISNUMBER(SEARCH("월1",$H318)),1,"")</f>
        <v/>
      </c>
      <c r="J318" s="319">
        <f>IF(OR(ISNUMBER(SEARCH("월2",$H318)),ISNUMBER(SEARCH("월1.2",$H318))),1,"")</f>
        <v/>
      </c>
      <c r="K318" s="319">
        <f>IF(OR(ISNUMBER(SEARCH("월3",$H318)),ISNUMBER(SEARCH("월1.3",$H318)),ISNUMBER(SEARCH("월2.3",$H318)),ISNUMBER(SEARCH("월1.2.3",$H318))),1,"")</f>
        <v/>
      </c>
      <c r="L318" s="319">
        <f>IF(ISNUMBER(SEARCH("화1",$H318)),1,"")</f>
        <v/>
      </c>
      <c r="M318" s="319">
        <f>IF(OR(ISNUMBER(SEARCH("화2",$H318)),ISNUMBER(SEARCH("화1.2",$H318))),1,"")</f>
        <v/>
      </c>
      <c r="N318" s="319">
        <f>IF(OR(ISNUMBER(SEARCH("화3",$H318)),ISNUMBER(SEARCH("화1.3",$H318)),ISNUMBER(SEARCH("화2.3",$H318)),ISNUMBER(SEARCH("화1.2.3",$H318))),1,"")</f>
        <v/>
      </c>
      <c r="O318" s="319">
        <f>IF(ISNUMBER(SEARCH("수1",$H318)),1,"")</f>
        <v/>
      </c>
      <c r="P318" s="319">
        <f>IF(OR(ISNUMBER(SEARCH("수2",$H318)),ISNUMBER(SEARCH("수1.2",$H318))),1,"")</f>
        <v/>
      </c>
      <c r="Q318" s="319">
        <f>IF(OR(ISNUMBER(SEARCH("수3",$H318)),ISNUMBER(SEARCH("수1.3",$H318)),ISNUMBER(SEARCH("수2.3",$H318)),ISNUMBER(SEARCH("수1.2.3",$H318))),1,"")</f>
        <v/>
      </c>
      <c r="R318" s="319">
        <f>IF(ISNUMBER(SEARCH("목1",$H318)),1,"")</f>
        <v/>
      </c>
      <c r="S318" s="319">
        <f>IF(OR(ISNUMBER(SEARCH("목2",$H318)),ISNUMBER(SEARCH("목1.2",$H318))),1,"")</f>
        <v/>
      </c>
      <c r="T318" s="319">
        <f>IF(OR(ISNUMBER(SEARCH("목3",$H318)),ISNUMBER(SEARCH("목1.3",$H318)),ISNUMBER(SEARCH("목2.3",$H318)),ISNUMBER(SEARCH("목1.2.3",$H318))),1,"")</f>
        <v/>
      </c>
      <c r="U318" s="319">
        <f>IF(ISNUMBER(SEARCH("금1",$H318)),1,"")</f>
        <v/>
      </c>
      <c r="V318" s="319">
        <f>IF(OR(ISNUMBER(SEARCH("금2",$H318)),ISNUMBER(SEARCH("금1.2",$H318))),1,"")</f>
        <v/>
      </c>
      <c r="W318" s="319">
        <f>IF(OR(ISNUMBER(SEARCH("금3",$H318)),ISNUMBER(SEARCH("금1.3",$H318)),ISNUMBER(SEARCH("금2.3",$H318)),ISNUMBER(SEARCH("금1.2.3",$H318))),1,"")</f>
        <v/>
      </c>
      <c r="X318" s="319">
        <f>IF(ISNUMBER(SEARCH("토1",$H318)),1,"")</f>
        <v/>
      </c>
      <c r="Y318" s="319">
        <f>IF(OR(ISNUMBER(SEARCH("토2",$H318)),ISNUMBER(SEARCH("토1.2",$H318))),1,"")</f>
        <v/>
      </c>
      <c r="Z318" s="319">
        <f>IF(OR(ISNUMBER(SEARCH("토3",$H318)),ISNUMBER(SEARCH("토1.3",$H318)),ISNUMBER(SEARCH("토2.3",$H318)),ISNUMBER(SEARCH("토1.2.3",$H318))),1,"")</f>
        <v/>
      </c>
      <c r="AA318" s="319">
        <f>IF(ISNUMBER(SEARCH("일1",$H318)),1,"")</f>
        <v/>
      </c>
      <c r="AB318" s="319">
        <f>IF(OR(ISNUMBER(SEARCH("일2",$H318)),ISNUMBER(SEARCH("일1.2",$H318))),1,"")</f>
        <v/>
      </c>
      <c r="AC318" s="319">
        <f>IF(OR(ISNUMBER(SEARCH("일3",$H318)),ISNUMBER(SEARCH("일1.3",$H318)),ISNUMBER(SEARCH("일2.3",$H318)),ISNUMBER(SEARCH("일1.2.3",$H318))),1,"")</f>
        <v/>
      </c>
      <c r="AD318" s="319">
        <f>SUM(I318:AC318)</f>
        <v/>
      </c>
      <c r="AE318" s="323" t="n"/>
    </row>
    <row r="319" ht="24" customHeight="1">
      <c r="A319" s="168" t="n"/>
      <c r="B319" s="319" t="n"/>
      <c r="C319" s="319" t="n"/>
      <c r="D319" s="319" t="n"/>
      <c r="E319" s="341" t="n"/>
      <c r="F319" s="341" t="n"/>
      <c r="G319" s="342" t="n"/>
      <c r="H319" s="322" t="n"/>
      <c r="I319" s="319">
        <f>IF(ISNUMBER(SEARCH("월1",$H319)),1,"")</f>
        <v/>
      </c>
      <c r="J319" s="319">
        <f>IF(OR(ISNUMBER(SEARCH("월2",$H319)),ISNUMBER(SEARCH("월1.2",$H319))),1,"")</f>
        <v/>
      </c>
      <c r="K319" s="319">
        <f>IF(OR(ISNUMBER(SEARCH("월3",$H319)),ISNUMBER(SEARCH("월1.3",$H319)),ISNUMBER(SEARCH("월2.3",$H319)),ISNUMBER(SEARCH("월1.2.3",$H319))),1,"")</f>
        <v/>
      </c>
      <c r="L319" s="319">
        <f>IF(ISNUMBER(SEARCH("화1",$H319)),1,"")</f>
        <v/>
      </c>
      <c r="M319" s="319">
        <f>IF(OR(ISNUMBER(SEARCH("화2",$H319)),ISNUMBER(SEARCH("화1.2",$H319))),1,"")</f>
        <v/>
      </c>
      <c r="N319" s="319">
        <f>IF(OR(ISNUMBER(SEARCH("화3",$H319)),ISNUMBER(SEARCH("화1.3",$H319)),ISNUMBER(SEARCH("화2.3",$H319)),ISNUMBER(SEARCH("화1.2.3",$H319))),1,"")</f>
        <v/>
      </c>
      <c r="O319" s="319">
        <f>IF(ISNUMBER(SEARCH("수1",$H319)),1,"")</f>
        <v/>
      </c>
      <c r="P319" s="319">
        <f>IF(OR(ISNUMBER(SEARCH("수2",$H319)),ISNUMBER(SEARCH("수1.2",$H319))),1,"")</f>
        <v/>
      </c>
      <c r="Q319" s="319">
        <f>IF(OR(ISNUMBER(SEARCH("수3",$H319)),ISNUMBER(SEARCH("수1.3",$H319)),ISNUMBER(SEARCH("수2.3",$H319)),ISNUMBER(SEARCH("수1.2.3",$H319))),1,"")</f>
        <v/>
      </c>
      <c r="R319" s="319">
        <f>IF(ISNUMBER(SEARCH("목1",$H319)),1,"")</f>
        <v/>
      </c>
      <c r="S319" s="319">
        <f>IF(OR(ISNUMBER(SEARCH("목2",$H319)),ISNUMBER(SEARCH("목1.2",$H319))),1,"")</f>
        <v/>
      </c>
      <c r="T319" s="319">
        <f>IF(OR(ISNUMBER(SEARCH("목3",$H319)),ISNUMBER(SEARCH("목1.3",$H319)),ISNUMBER(SEARCH("목2.3",$H319)),ISNUMBER(SEARCH("목1.2.3",$H319))),1,"")</f>
        <v/>
      </c>
      <c r="U319" s="319">
        <f>IF(ISNUMBER(SEARCH("금1",$H319)),1,"")</f>
        <v/>
      </c>
      <c r="V319" s="319">
        <f>IF(OR(ISNUMBER(SEARCH("금2",$H319)),ISNUMBER(SEARCH("금1.2",$H319))),1,"")</f>
        <v/>
      </c>
      <c r="W319" s="319">
        <f>IF(OR(ISNUMBER(SEARCH("금3",$H319)),ISNUMBER(SEARCH("금1.3",$H319)),ISNUMBER(SEARCH("금2.3",$H319)),ISNUMBER(SEARCH("금1.2.3",$H319))),1,"")</f>
        <v/>
      </c>
      <c r="X319" s="319">
        <f>IF(ISNUMBER(SEARCH("토1",$H319)),1,"")</f>
        <v/>
      </c>
      <c r="Y319" s="319">
        <f>IF(OR(ISNUMBER(SEARCH("토2",$H319)),ISNUMBER(SEARCH("토1.2",$H319))),1,"")</f>
        <v/>
      </c>
      <c r="Z319" s="319">
        <f>IF(OR(ISNUMBER(SEARCH("토3",$H319)),ISNUMBER(SEARCH("토1.3",$H319)),ISNUMBER(SEARCH("토2.3",$H319)),ISNUMBER(SEARCH("토1.2.3",$H319))),1,"")</f>
        <v/>
      </c>
      <c r="AA319" s="319">
        <f>IF(ISNUMBER(SEARCH("일1",$H319)),1,"")</f>
        <v/>
      </c>
      <c r="AB319" s="319">
        <f>IF(OR(ISNUMBER(SEARCH("일2",$H319)),ISNUMBER(SEARCH("일1.2",$H319))),1,"")</f>
        <v/>
      </c>
      <c r="AC319" s="319">
        <f>IF(OR(ISNUMBER(SEARCH("일3",$H319)),ISNUMBER(SEARCH("일1.3",$H319)),ISNUMBER(SEARCH("일2.3",$H319)),ISNUMBER(SEARCH("일1.2.3",$H319))),1,"")</f>
        <v/>
      </c>
      <c r="AD319" s="319">
        <f>SUM(I319:AC319)</f>
        <v/>
      </c>
      <c r="AE319" s="323" t="n"/>
    </row>
    <row r="320" ht="24" customHeight="1">
      <c r="A320" s="168" t="n"/>
      <c r="B320" s="319" t="n"/>
      <c r="C320" s="319" t="n"/>
      <c r="D320" s="319" t="n"/>
      <c r="E320" s="341" t="n"/>
      <c r="F320" s="341" t="n"/>
      <c r="G320" s="342" t="n"/>
      <c r="H320" s="322" t="n"/>
      <c r="I320" s="319">
        <f>IF(ISNUMBER(SEARCH("월1",$H320)),1,"")</f>
        <v/>
      </c>
      <c r="J320" s="319">
        <f>IF(OR(ISNUMBER(SEARCH("월2",$H320)),ISNUMBER(SEARCH("월1.2",$H320))),1,"")</f>
        <v/>
      </c>
      <c r="K320" s="319">
        <f>IF(OR(ISNUMBER(SEARCH("월3",$H320)),ISNUMBER(SEARCH("월1.3",$H320)),ISNUMBER(SEARCH("월2.3",$H320)),ISNUMBER(SEARCH("월1.2.3",$H320))),1,"")</f>
        <v/>
      </c>
      <c r="L320" s="319">
        <f>IF(ISNUMBER(SEARCH("화1",$H320)),1,"")</f>
        <v/>
      </c>
      <c r="M320" s="319">
        <f>IF(OR(ISNUMBER(SEARCH("화2",$H320)),ISNUMBER(SEARCH("화1.2",$H320))),1,"")</f>
        <v/>
      </c>
      <c r="N320" s="319">
        <f>IF(OR(ISNUMBER(SEARCH("화3",$H320)),ISNUMBER(SEARCH("화1.3",$H320)),ISNUMBER(SEARCH("화2.3",$H320)),ISNUMBER(SEARCH("화1.2.3",$H320))),1,"")</f>
        <v/>
      </c>
      <c r="O320" s="319">
        <f>IF(ISNUMBER(SEARCH("수1",$H320)),1,"")</f>
        <v/>
      </c>
      <c r="P320" s="319">
        <f>IF(OR(ISNUMBER(SEARCH("수2",$H320)),ISNUMBER(SEARCH("수1.2",$H320))),1,"")</f>
        <v/>
      </c>
      <c r="Q320" s="319">
        <f>IF(OR(ISNUMBER(SEARCH("수3",$H320)),ISNUMBER(SEARCH("수1.3",$H320)),ISNUMBER(SEARCH("수2.3",$H320)),ISNUMBER(SEARCH("수1.2.3",$H320))),1,"")</f>
        <v/>
      </c>
      <c r="R320" s="319">
        <f>IF(ISNUMBER(SEARCH("목1",$H320)),1,"")</f>
        <v/>
      </c>
      <c r="S320" s="319">
        <f>IF(OR(ISNUMBER(SEARCH("목2",$H320)),ISNUMBER(SEARCH("목1.2",$H320))),1,"")</f>
        <v/>
      </c>
      <c r="T320" s="319">
        <f>IF(OR(ISNUMBER(SEARCH("목3",$H320)),ISNUMBER(SEARCH("목1.3",$H320)),ISNUMBER(SEARCH("목2.3",$H320)),ISNUMBER(SEARCH("목1.2.3",$H320))),1,"")</f>
        <v/>
      </c>
      <c r="U320" s="319">
        <f>IF(ISNUMBER(SEARCH("금1",$H320)),1,"")</f>
        <v/>
      </c>
      <c r="V320" s="319">
        <f>IF(OR(ISNUMBER(SEARCH("금2",$H320)),ISNUMBER(SEARCH("금1.2",$H320))),1,"")</f>
        <v/>
      </c>
      <c r="W320" s="319">
        <f>IF(OR(ISNUMBER(SEARCH("금3",$H320)),ISNUMBER(SEARCH("금1.3",$H320)),ISNUMBER(SEARCH("금2.3",$H320)),ISNUMBER(SEARCH("금1.2.3",$H320))),1,"")</f>
        <v/>
      </c>
      <c r="X320" s="319">
        <f>IF(ISNUMBER(SEARCH("토1",$H320)),1,"")</f>
        <v/>
      </c>
      <c r="Y320" s="319">
        <f>IF(OR(ISNUMBER(SEARCH("토2",$H320)),ISNUMBER(SEARCH("토1.2",$H320))),1,"")</f>
        <v/>
      </c>
      <c r="Z320" s="319">
        <f>IF(OR(ISNUMBER(SEARCH("토3",$H320)),ISNUMBER(SEARCH("토1.3",$H320)),ISNUMBER(SEARCH("토2.3",$H320)),ISNUMBER(SEARCH("토1.2.3",$H320))),1,"")</f>
        <v/>
      </c>
      <c r="AA320" s="319">
        <f>IF(ISNUMBER(SEARCH("일1",$H320)),1,"")</f>
        <v/>
      </c>
      <c r="AB320" s="319">
        <f>IF(OR(ISNUMBER(SEARCH("일2",$H320)),ISNUMBER(SEARCH("일1.2",$H320))),1,"")</f>
        <v/>
      </c>
      <c r="AC320" s="319">
        <f>IF(OR(ISNUMBER(SEARCH("일3",$H320)),ISNUMBER(SEARCH("일1.3",$H320)),ISNUMBER(SEARCH("일2.3",$H320)),ISNUMBER(SEARCH("일1.2.3",$H320))),1,"")</f>
        <v/>
      </c>
      <c r="AD320" s="319">
        <f>SUM(I320:AC320)</f>
        <v/>
      </c>
      <c r="AE320" s="323" t="n"/>
    </row>
    <row r="321" ht="24" customHeight="1">
      <c r="A321" s="168" t="n"/>
      <c r="B321" s="319" t="n"/>
      <c r="C321" s="319" t="n"/>
      <c r="D321" s="319" t="n"/>
      <c r="E321" s="341" t="n"/>
      <c r="F321" s="341" t="n"/>
      <c r="G321" s="342" t="n"/>
      <c r="H321" s="322" t="n"/>
      <c r="I321" s="319">
        <f>IF(ISNUMBER(SEARCH("월1",$H321)),1,"")</f>
        <v/>
      </c>
      <c r="J321" s="319">
        <f>IF(OR(ISNUMBER(SEARCH("월2",$H321)),ISNUMBER(SEARCH("월1.2",$H321))),1,"")</f>
        <v/>
      </c>
      <c r="K321" s="319">
        <f>IF(OR(ISNUMBER(SEARCH("월3",$H321)),ISNUMBER(SEARCH("월1.3",$H321)),ISNUMBER(SEARCH("월2.3",$H321)),ISNUMBER(SEARCH("월1.2.3",$H321))),1,"")</f>
        <v/>
      </c>
      <c r="L321" s="319">
        <f>IF(ISNUMBER(SEARCH("화1",$H321)),1,"")</f>
        <v/>
      </c>
      <c r="M321" s="319">
        <f>IF(OR(ISNUMBER(SEARCH("화2",$H321)),ISNUMBER(SEARCH("화1.2",$H321))),1,"")</f>
        <v/>
      </c>
      <c r="N321" s="319">
        <f>IF(OR(ISNUMBER(SEARCH("화3",$H321)),ISNUMBER(SEARCH("화1.3",$H321)),ISNUMBER(SEARCH("화2.3",$H321)),ISNUMBER(SEARCH("화1.2.3",$H321))),1,"")</f>
        <v/>
      </c>
      <c r="O321" s="319">
        <f>IF(ISNUMBER(SEARCH("수1",$H321)),1,"")</f>
        <v/>
      </c>
      <c r="P321" s="319">
        <f>IF(OR(ISNUMBER(SEARCH("수2",$H321)),ISNUMBER(SEARCH("수1.2",$H321))),1,"")</f>
        <v/>
      </c>
      <c r="Q321" s="319">
        <f>IF(OR(ISNUMBER(SEARCH("수3",$H321)),ISNUMBER(SEARCH("수1.3",$H321)),ISNUMBER(SEARCH("수2.3",$H321)),ISNUMBER(SEARCH("수1.2.3",$H321))),1,"")</f>
        <v/>
      </c>
      <c r="R321" s="319">
        <f>IF(ISNUMBER(SEARCH("목1",$H321)),1,"")</f>
        <v/>
      </c>
      <c r="S321" s="319">
        <f>IF(OR(ISNUMBER(SEARCH("목2",$H321)),ISNUMBER(SEARCH("목1.2",$H321))),1,"")</f>
        <v/>
      </c>
      <c r="T321" s="319">
        <f>IF(OR(ISNUMBER(SEARCH("목3",$H321)),ISNUMBER(SEARCH("목1.3",$H321)),ISNUMBER(SEARCH("목2.3",$H321)),ISNUMBER(SEARCH("목1.2.3",$H321))),1,"")</f>
        <v/>
      </c>
      <c r="U321" s="319">
        <f>IF(ISNUMBER(SEARCH("금1",$H321)),1,"")</f>
        <v/>
      </c>
      <c r="V321" s="319">
        <f>IF(OR(ISNUMBER(SEARCH("금2",$H321)),ISNUMBER(SEARCH("금1.2",$H321))),1,"")</f>
        <v/>
      </c>
      <c r="W321" s="319">
        <f>IF(OR(ISNUMBER(SEARCH("금3",$H321)),ISNUMBER(SEARCH("금1.3",$H321)),ISNUMBER(SEARCH("금2.3",$H321)),ISNUMBER(SEARCH("금1.2.3",$H321))),1,"")</f>
        <v/>
      </c>
      <c r="X321" s="319">
        <f>IF(ISNUMBER(SEARCH("토1",$H321)),1,"")</f>
        <v/>
      </c>
      <c r="Y321" s="319">
        <f>IF(OR(ISNUMBER(SEARCH("토2",$H321)),ISNUMBER(SEARCH("토1.2",$H321))),1,"")</f>
        <v/>
      </c>
      <c r="Z321" s="319">
        <f>IF(OR(ISNUMBER(SEARCH("토3",$H321)),ISNUMBER(SEARCH("토1.3",$H321)),ISNUMBER(SEARCH("토2.3",$H321)),ISNUMBER(SEARCH("토1.2.3",$H321))),1,"")</f>
        <v/>
      </c>
      <c r="AA321" s="319">
        <f>IF(ISNUMBER(SEARCH("일1",$H321)),1,"")</f>
        <v/>
      </c>
      <c r="AB321" s="319">
        <f>IF(OR(ISNUMBER(SEARCH("일2",$H321)),ISNUMBER(SEARCH("일1.2",$H321))),1,"")</f>
        <v/>
      </c>
      <c r="AC321" s="319">
        <f>IF(OR(ISNUMBER(SEARCH("일3",$H321)),ISNUMBER(SEARCH("일1.3",$H321)),ISNUMBER(SEARCH("일2.3",$H321)),ISNUMBER(SEARCH("일1.2.3",$H321))),1,"")</f>
        <v/>
      </c>
      <c r="AD321" s="319">
        <f>SUM(I321:AC321)</f>
        <v/>
      </c>
      <c r="AE321" s="323" t="n"/>
    </row>
    <row r="322" ht="24" customHeight="1">
      <c r="A322" s="168" t="n"/>
      <c r="B322" s="319" t="n"/>
      <c r="C322" s="319" t="n"/>
      <c r="D322" s="319" t="n"/>
      <c r="E322" s="341" t="n"/>
      <c r="F322" s="341" t="n"/>
      <c r="G322" s="342" t="n"/>
      <c r="H322" s="322" t="n"/>
      <c r="I322" s="319">
        <f>IF(ISNUMBER(SEARCH("월1",$H322)),1,"")</f>
        <v/>
      </c>
      <c r="J322" s="319">
        <f>IF(OR(ISNUMBER(SEARCH("월2",$H322)),ISNUMBER(SEARCH("월1.2",$H322))),1,"")</f>
        <v/>
      </c>
      <c r="K322" s="319">
        <f>IF(OR(ISNUMBER(SEARCH("월3",$H322)),ISNUMBER(SEARCH("월1.3",$H322)),ISNUMBER(SEARCH("월2.3",$H322)),ISNUMBER(SEARCH("월1.2.3",$H322))),1,"")</f>
        <v/>
      </c>
      <c r="L322" s="319">
        <f>IF(ISNUMBER(SEARCH("화1",$H322)),1,"")</f>
        <v/>
      </c>
      <c r="M322" s="319">
        <f>IF(OR(ISNUMBER(SEARCH("화2",$H322)),ISNUMBER(SEARCH("화1.2",$H322))),1,"")</f>
        <v/>
      </c>
      <c r="N322" s="319">
        <f>IF(OR(ISNUMBER(SEARCH("화3",$H322)),ISNUMBER(SEARCH("화1.3",$H322)),ISNUMBER(SEARCH("화2.3",$H322)),ISNUMBER(SEARCH("화1.2.3",$H322))),1,"")</f>
        <v/>
      </c>
      <c r="O322" s="319">
        <f>IF(ISNUMBER(SEARCH("수1",$H322)),1,"")</f>
        <v/>
      </c>
      <c r="P322" s="319">
        <f>IF(OR(ISNUMBER(SEARCH("수2",$H322)),ISNUMBER(SEARCH("수1.2",$H322))),1,"")</f>
        <v/>
      </c>
      <c r="Q322" s="319">
        <f>IF(OR(ISNUMBER(SEARCH("수3",$H322)),ISNUMBER(SEARCH("수1.3",$H322)),ISNUMBER(SEARCH("수2.3",$H322)),ISNUMBER(SEARCH("수1.2.3",$H322))),1,"")</f>
        <v/>
      </c>
      <c r="R322" s="319">
        <f>IF(ISNUMBER(SEARCH("목1",$H322)),1,"")</f>
        <v/>
      </c>
      <c r="S322" s="319">
        <f>IF(OR(ISNUMBER(SEARCH("목2",$H322)),ISNUMBER(SEARCH("목1.2",$H322))),1,"")</f>
        <v/>
      </c>
      <c r="T322" s="319">
        <f>IF(OR(ISNUMBER(SEARCH("목3",$H322)),ISNUMBER(SEARCH("목1.3",$H322)),ISNUMBER(SEARCH("목2.3",$H322)),ISNUMBER(SEARCH("목1.2.3",$H322))),1,"")</f>
        <v/>
      </c>
      <c r="U322" s="319">
        <f>IF(ISNUMBER(SEARCH("금1",$H322)),1,"")</f>
        <v/>
      </c>
      <c r="V322" s="319">
        <f>IF(OR(ISNUMBER(SEARCH("금2",$H322)),ISNUMBER(SEARCH("금1.2",$H322))),1,"")</f>
        <v/>
      </c>
      <c r="W322" s="319">
        <f>IF(OR(ISNUMBER(SEARCH("금3",$H322)),ISNUMBER(SEARCH("금1.3",$H322)),ISNUMBER(SEARCH("금2.3",$H322)),ISNUMBER(SEARCH("금1.2.3",$H322))),1,"")</f>
        <v/>
      </c>
      <c r="X322" s="319">
        <f>IF(ISNUMBER(SEARCH("토1",$H322)),1,"")</f>
        <v/>
      </c>
      <c r="Y322" s="319">
        <f>IF(OR(ISNUMBER(SEARCH("토2",$H322)),ISNUMBER(SEARCH("토1.2",$H322))),1,"")</f>
        <v/>
      </c>
      <c r="Z322" s="319">
        <f>IF(OR(ISNUMBER(SEARCH("토3",$H322)),ISNUMBER(SEARCH("토1.3",$H322)),ISNUMBER(SEARCH("토2.3",$H322)),ISNUMBER(SEARCH("토1.2.3",$H322))),1,"")</f>
        <v/>
      </c>
      <c r="AA322" s="319">
        <f>IF(ISNUMBER(SEARCH("일1",$H322)),1,"")</f>
        <v/>
      </c>
      <c r="AB322" s="319">
        <f>IF(OR(ISNUMBER(SEARCH("일2",$H322)),ISNUMBER(SEARCH("일1.2",$H322))),1,"")</f>
        <v/>
      </c>
      <c r="AC322" s="319">
        <f>IF(OR(ISNUMBER(SEARCH("일3",$H322)),ISNUMBER(SEARCH("일1.3",$H322)),ISNUMBER(SEARCH("일2.3",$H322)),ISNUMBER(SEARCH("일1.2.3",$H322))),1,"")</f>
        <v/>
      </c>
      <c r="AD322" s="319">
        <f>SUM(I322:AC322)</f>
        <v/>
      </c>
      <c r="AE322" s="323" t="n"/>
    </row>
    <row r="323" ht="24" customHeight="1">
      <c r="A323" s="168" t="n"/>
      <c r="B323" s="319" t="n"/>
      <c r="C323" s="319" t="n"/>
      <c r="D323" s="319" t="n"/>
      <c r="E323" s="341" t="n"/>
      <c r="F323" s="341" t="n"/>
      <c r="G323" s="342" t="n"/>
      <c r="H323" s="322" t="n"/>
      <c r="I323" s="319">
        <f>IF(ISNUMBER(SEARCH("월1",$H323)),1,"")</f>
        <v/>
      </c>
      <c r="J323" s="319">
        <f>IF(OR(ISNUMBER(SEARCH("월2",$H323)),ISNUMBER(SEARCH("월1.2",$H323))),1,"")</f>
        <v/>
      </c>
      <c r="K323" s="319">
        <f>IF(OR(ISNUMBER(SEARCH("월3",$H323)),ISNUMBER(SEARCH("월1.3",$H323)),ISNUMBER(SEARCH("월2.3",$H323)),ISNUMBER(SEARCH("월1.2.3",$H323))),1,"")</f>
        <v/>
      </c>
      <c r="L323" s="319">
        <f>IF(ISNUMBER(SEARCH("화1",$H323)),1,"")</f>
        <v/>
      </c>
      <c r="M323" s="319">
        <f>IF(OR(ISNUMBER(SEARCH("화2",$H323)),ISNUMBER(SEARCH("화1.2",$H323))),1,"")</f>
        <v/>
      </c>
      <c r="N323" s="319">
        <f>IF(OR(ISNUMBER(SEARCH("화3",$H323)),ISNUMBER(SEARCH("화1.3",$H323)),ISNUMBER(SEARCH("화2.3",$H323)),ISNUMBER(SEARCH("화1.2.3",$H323))),1,"")</f>
        <v/>
      </c>
      <c r="O323" s="319">
        <f>IF(ISNUMBER(SEARCH("수1",$H323)),1,"")</f>
        <v/>
      </c>
      <c r="P323" s="319">
        <f>IF(OR(ISNUMBER(SEARCH("수2",$H323)),ISNUMBER(SEARCH("수1.2",$H323))),1,"")</f>
        <v/>
      </c>
      <c r="Q323" s="319">
        <f>IF(OR(ISNUMBER(SEARCH("수3",$H323)),ISNUMBER(SEARCH("수1.3",$H323)),ISNUMBER(SEARCH("수2.3",$H323)),ISNUMBER(SEARCH("수1.2.3",$H323))),1,"")</f>
        <v/>
      </c>
      <c r="R323" s="319">
        <f>IF(ISNUMBER(SEARCH("목1",$H323)),1,"")</f>
        <v/>
      </c>
      <c r="S323" s="319">
        <f>IF(OR(ISNUMBER(SEARCH("목2",$H323)),ISNUMBER(SEARCH("목1.2",$H323))),1,"")</f>
        <v/>
      </c>
      <c r="T323" s="319">
        <f>IF(OR(ISNUMBER(SEARCH("목3",$H323)),ISNUMBER(SEARCH("목1.3",$H323)),ISNUMBER(SEARCH("목2.3",$H323)),ISNUMBER(SEARCH("목1.2.3",$H323))),1,"")</f>
        <v/>
      </c>
      <c r="U323" s="319">
        <f>IF(ISNUMBER(SEARCH("금1",$H323)),1,"")</f>
        <v/>
      </c>
      <c r="V323" s="319">
        <f>IF(OR(ISNUMBER(SEARCH("금2",$H323)),ISNUMBER(SEARCH("금1.2",$H323))),1,"")</f>
        <v/>
      </c>
      <c r="W323" s="319">
        <f>IF(OR(ISNUMBER(SEARCH("금3",$H323)),ISNUMBER(SEARCH("금1.3",$H323)),ISNUMBER(SEARCH("금2.3",$H323)),ISNUMBER(SEARCH("금1.2.3",$H323))),1,"")</f>
        <v/>
      </c>
      <c r="X323" s="319">
        <f>IF(ISNUMBER(SEARCH("토1",$H323)),1,"")</f>
        <v/>
      </c>
      <c r="Y323" s="319">
        <f>IF(OR(ISNUMBER(SEARCH("토2",$H323)),ISNUMBER(SEARCH("토1.2",$H323))),1,"")</f>
        <v/>
      </c>
      <c r="Z323" s="319">
        <f>IF(OR(ISNUMBER(SEARCH("토3",$H323)),ISNUMBER(SEARCH("토1.3",$H323)),ISNUMBER(SEARCH("토2.3",$H323)),ISNUMBER(SEARCH("토1.2.3",$H323))),1,"")</f>
        <v/>
      </c>
      <c r="AA323" s="319">
        <f>IF(ISNUMBER(SEARCH("일1",$H323)),1,"")</f>
        <v/>
      </c>
      <c r="AB323" s="319">
        <f>IF(OR(ISNUMBER(SEARCH("일2",$H323)),ISNUMBER(SEARCH("일1.2",$H323))),1,"")</f>
        <v/>
      </c>
      <c r="AC323" s="319">
        <f>IF(OR(ISNUMBER(SEARCH("일3",$H323)),ISNUMBER(SEARCH("일1.3",$H323)),ISNUMBER(SEARCH("일2.3",$H323)),ISNUMBER(SEARCH("일1.2.3",$H323))),1,"")</f>
        <v/>
      </c>
      <c r="AD323" s="319">
        <f>SUM(I323:AC323)</f>
        <v/>
      </c>
      <c r="AE323" s="323" t="n"/>
    </row>
    <row r="324" ht="24" customHeight="1">
      <c r="A324" s="168" t="n"/>
      <c r="B324" s="319" t="n"/>
      <c r="C324" s="319" t="n"/>
      <c r="D324" s="319" t="n"/>
      <c r="E324" s="341" t="n"/>
      <c r="F324" s="341" t="n"/>
      <c r="G324" s="342" t="n"/>
      <c r="H324" s="322" t="n"/>
      <c r="I324" s="319">
        <f>IF(ISNUMBER(SEARCH("월1",$H324)),1,"")</f>
        <v/>
      </c>
      <c r="J324" s="319">
        <f>IF(OR(ISNUMBER(SEARCH("월2",$H324)),ISNUMBER(SEARCH("월1.2",$H324))),1,"")</f>
        <v/>
      </c>
      <c r="K324" s="319">
        <f>IF(OR(ISNUMBER(SEARCH("월3",$H324)),ISNUMBER(SEARCH("월1.3",$H324)),ISNUMBER(SEARCH("월2.3",$H324)),ISNUMBER(SEARCH("월1.2.3",$H324))),1,"")</f>
        <v/>
      </c>
      <c r="L324" s="319">
        <f>IF(ISNUMBER(SEARCH("화1",$H324)),1,"")</f>
        <v/>
      </c>
      <c r="M324" s="319">
        <f>IF(OR(ISNUMBER(SEARCH("화2",$H324)),ISNUMBER(SEARCH("화1.2",$H324))),1,"")</f>
        <v/>
      </c>
      <c r="N324" s="319">
        <f>IF(OR(ISNUMBER(SEARCH("화3",$H324)),ISNUMBER(SEARCH("화1.3",$H324)),ISNUMBER(SEARCH("화2.3",$H324)),ISNUMBER(SEARCH("화1.2.3",$H324))),1,"")</f>
        <v/>
      </c>
      <c r="O324" s="319">
        <f>IF(ISNUMBER(SEARCH("수1",$H324)),1,"")</f>
        <v/>
      </c>
      <c r="P324" s="319">
        <f>IF(OR(ISNUMBER(SEARCH("수2",$H324)),ISNUMBER(SEARCH("수1.2",$H324))),1,"")</f>
        <v/>
      </c>
      <c r="Q324" s="319">
        <f>IF(OR(ISNUMBER(SEARCH("수3",$H324)),ISNUMBER(SEARCH("수1.3",$H324)),ISNUMBER(SEARCH("수2.3",$H324)),ISNUMBER(SEARCH("수1.2.3",$H324))),1,"")</f>
        <v/>
      </c>
      <c r="R324" s="319">
        <f>IF(ISNUMBER(SEARCH("목1",$H324)),1,"")</f>
        <v/>
      </c>
      <c r="S324" s="319">
        <f>IF(OR(ISNUMBER(SEARCH("목2",$H324)),ISNUMBER(SEARCH("목1.2",$H324))),1,"")</f>
        <v/>
      </c>
      <c r="T324" s="319">
        <f>IF(OR(ISNUMBER(SEARCH("목3",$H324)),ISNUMBER(SEARCH("목1.3",$H324)),ISNUMBER(SEARCH("목2.3",$H324)),ISNUMBER(SEARCH("목1.2.3",$H324))),1,"")</f>
        <v/>
      </c>
      <c r="U324" s="319">
        <f>IF(ISNUMBER(SEARCH("금1",$H324)),1,"")</f>
        <v/>
      </c>
      <c r="V324" s="319">
        <f>IF(OR(ISNUMBER(SEARCH("금2",$H324)),ISNUMBER(SEARCH("금1.2",$H324))),1,"")</f>
        <v/>
      </c>
      <c r="W324" s="319">
        <f>IF(OR(ISNUMBER(SEARCH("금3",$H324)),ISNUMBER(SEARCH("금1.3",$H324)),ISNUMBER(SEARCH("금2.3",$H324)),ISNUMBER(SEARCH("금1.2.3",$H324))),1,"")</f>
        <v/>
      </c>
      <c r="X324" s="319">
        <f>IF(ISNUMBER(SEARCH("토1",$H324)),1,"")</f>
        <v/>
      </c>
      <c r="Y324" s="319">
        <f>IF(OR(ISNUMBER(SEARCH("토2",$H324)),ISNUMBER(SEARCH("토1.2",$H324))),1,"")</f>
        <v/>
      </c>
      <c r="Z324" s="319">
        <f>IF(OR(ISNUMBER(SEARCH("토3",$H324)),ISNUMBER(SEARCH("토1.3",$H324)),ISNUMBER(SEARCH("토2.3",$H324)),ISNUMBER(SEARCH("토1.2.3",$H324))),1,"")</f>
        <v/>
      </c>
      <c r="AA324" s="319">
        <f>IF(ISNUMBER(SEARCH("일1",$H324)),1,"")</f>
        <v/>
      </c>
      <c r="AB324" s="319">
        <f>IF(OR(ISNUMBER(SEARCH("일2",$H324)),ISNUMBER(SEARCH("일1.2",$H324))),1,"")</f>
        <v/>
      </c>
      <c r="AC324" s="319">
        <f>IF(OR(ISNUMBER(SEARCH("일3",$H324)),ISNUMBER(SEARCH("일1.3",$H324)),ISNUMBER(SEARCH("일2.3",$H324)),ISNUMBER(SEARCH("일1.2.3",$H324))),1,"")</f>
        <v/>
      </c>
      <c r="AD324" s="319">
        <f>SUM(I324:AC324)</f>
        <v/>
      </c>
      <c r="AE324" s="323" t="n"/>
    </row>
    <row r="325" ht="24" customHeight="1">
      <c r="A325" s="168" t="n"/>
      <c r="B325" s="319" t="n"/>
      <c r="C325" s="319" t="n"/>
      <c r="D325" s="319" t="n"/>
      <c r="E325" s="341" t="n"/>
      <c r="F325" s="341" t="n"/>
      <c r="G325" s="342" t="n"/>
      <c r="H325" s="322" t="n"/>
      <c r="I325" s="319">
        <f>IF(ISNUMBER(SEARCH("월1",$H325)),1,"")</f>
        <v/>
      </c>
      <c r="J325" s="319">
        <f>IF(OR(ISNUMBER(SEARCH("월2",$H325)),ISNUMBER(SEARCH("월1.2",$H325))),1,"")</f>
        <v/>
      </c>
      <c r="K325" s="319">
        <f>IF(OR(ISNUMBER(SEARCH("월3",$H325)),ISNUMBER(SEARCH("월1.3",$H325)),ISNUMBER(SEARCH("월2.3",$H325)),ISNUMBER(SEARCH("월1.2.3",$H325))),1,"")</f>
        <v/>
      </c>
      <c r="L325" s="319">
        <f>IF(ISNUMBER(SEARCH("화1",$H325)),1,"")</f>
        <v/>
      </c>
      <c r="M325" s="319">
        <f>IF(OR(ISNUMBER(SEARCH("화2",$H325)),ISNUMBER(SEARCH("화1.2",$H325))),1,"")</f>
        <v/>
      </c>
      <c r="N325" s="319">
        <f>IF(OR(ISNUMBER(SEARCH("화3",$H325)),ISNUMBER(SEARCH("화1.3",$H325)),ISNUMBER(SEARCH("화2.3",$H325)),ISNUMBER(SEARCH("화1.2.3",$H325))),1,"")</f>
        <v/>
      </c>
      <c r="O325" s="319">
        <f>IF(ISNUMBER(SEARCH("수1",$H325)),1,"")</f>
        <v/>
      </c>
      <c r="P325" s="319">
        <f>IF(OR(ISNUMBER(SEARCH("수2",$H325)),ISNUMBER(SEARCH("수1.2",$H325))),1,"")</f>
        <v/>
      </c>
      <c r="Q325" s="319">
        <f>IF(OR(ISNUMBER(SEARCH("수3",$H325)),ISNUMBER(SEARCH("수1.3",$H325)),ISNUMBER(SEARCH("수2.3",$H325)),ISNUMBER(SEARCH("수1.2.3",$H325))),1,"")</f>
        <v/>
      </c>
      <c r="R325" s="319">
        <f>IF(ISNUMBER(SEARCH("목1",$H325)),1,"")</f>
        <v/>
      </c>
      <c r="S325" s="319">
        <f>IF(OR(ISNUMBER(SEARCH("목2",$H325)),ISNUMBER(SEARCH("목1.2",$H325))),1,"")</f>
        <v/>
      </c>
      <c r="T325" s="319">
        <f>IF(OR(ISNUMBER(SEARCH("목3",$H325)),ISNUMBER(SEARCH("목1.3",$H325)),ISNUMBER(SEARCH("목2.3",$H325)),ISNUMBER(SEARCH("목1.2.3",$H325))),1,"")</f>
        <v/>
      </c>
      <c r="U325" s="319">
        <f>IF(ISNUMBER(SEARCH("금1",$H325)),1,"")</f>
        <v/>
      </c>
      <c r="V325" s="319">
        <f>IF(OR(ISNUMBER(SEARCH("금2",$H325)),ISNUMBER(SEARCH("금1.2",$H325))),1,"")</f>
        <v/>
      </c>
      <c r="W325" s="319">
        <f>IF(OR(ISNUMBER(SEARCH("금3",$H325)),ISNUMBER(SEARCH("금1.3",$H325)),ISNUMBER(SEARCH("금2.3",$H325)),ISNUMBER(SEARCH("금1.2.3",$H325))),1,"")</f>
        <v/>
      </c>
      <c r="X325" s="319">
        <f>IF(ISNUMBER(SEARCH("토1",$H325)),1,"")</f>
        <v/>
      </c>
      <c r="Y325" s="319">
        <f>IF(OR(ISNUMBER(SEARCH("토2",$H325)),ISNUMBER(SEARCH("토1.2",$H325))),1,"")</f>
        <v/>
      </c>
      <c r="Z325" s="319">
        <f>IF(OR(ISNUMBER(SEARCH("토3",$H325)),ISNUMBER(SEARCH("토1.3",$H325)),ISNUMBER(SEARCH("토2.3",$H325)),ISNUMBER(SEARCH("토1.2.3",$H325))),1,"")</f>
        <v/>
      </c>
      <c r="AA325" s="319">
        <f>IF(ISNUMBER(SEARCH("일1",$H325)),1,"")</f>
        <v/>
      </c>
      <c r="AB325" s="319">
        <f>IF(OR(ISNUMBER(SEARCH("일2",$H325)),ISNUMBER(SEARCH("일1.2",$H325))),1,"")</f>
        <v/>
      </c>
      <c r="AC325" s="319">
        <f>IF(OR(ISNUMBER(SEARCH("일3",$H325)),ISNUMBER(SEARCH("일1.3",$H325)),ISNUMBER(SEARCH("일2.3",$H325)),ISNUMBER(SEARCH("일1.2.3",$H325))),1,"")</f>
        <v/>
      </c>
      <c r="AD325" s="319">
        <f>SUM(I325:AC325)</f>
        <v/>
      </c>
      <c r="AE325" s="323" t="n"/>
    </row>
    <row r="326" ht="24" customHeight="1">
      <c r="A326" s="168" t="n"/>
      <c r="B326" s="319" t="n"/>
      <c r="C326" s="319" t="n"/>
      <c r="D326" s="319" t="n"/>
      <c r="E326" s="341" t="n"/>
      <c r="F326" s="341" t="n"/>
      <c r="G326" s="342" t="n"/>
      <c r="H326" s="322" t="n"/>
      <c r="I326" s="319">
        <f>IF(ISNUMBER(SEARCH("월1",$H326)),1,"")</f>
        <v/>
      </c>
      <c r="J326" s="319">
        <f>IF(OR(ISNUMBER(SEARCH("월2",$H326)),ISNUMBER(SEARCH("월1.2",$H326))),1,"")</f>
        <v/>
      </c>
      <c r="K326" s="319">
        <f>IF(OR(ISNUMBER(SEARCH("월3",$H326)),ISNUMBER(SEARCH("월1.3",$H326)),ISNUMBER(SEARCH("월2.3",$H326)),ISNUMBER(SEARCH("월1.2.3",$H326))),1,"")</f>
        <v/>
      </c>
      <c r="L326" s="319">
        <f>IF(ISNUMBER(SEARCH("화1",$H326)),1,"")</f>
        <v/>
      </c>
      <c r="M326" s="319">
        <f>IF(OR(ISNUMBER(SEARCH("화2",$H326)),ISNUMBER(SEARCH("화1.2",$H326))),1,"")</f>
        <v/>
      </c>
      <c r="N326" s="319">
        <f>IF(OR(ISNUMBER(SEARCH("화3",$H326)),ISNUMBER(SEARCH("화1.3",$H326)),ISNUMBER(SEARCH("화2.3",$H326)),ISNUMBER(SEARCH("화1.2.3",$H326))),1,"")</f>
        <v/>
      </c>
      <c r="O326" s="319">
        <f>IF(ISNUMBER(SEARCH("수1",$H326)),1,"")</f>
        <v/>
      </c>
      <c r="P326" s="319">
        <f>IF(OR(ISNUMBER(SEARCH("수2",$H326)),ISNUMBER(SEARCH("수1.2",$H326))),1,"")</f>
        <v/>
      </c>
      <c r="Q326" s="319">
        <f>IF(OR(ISNUMBER(SEARCH("수3",$H326)),ISNUMBER(SEARCH("수1.3",$H326)),ISNUMBER(SEARCH("수2.3",$H326)),ISNUMBER(SEARCH("수1.2.3",$H326))),1,"")</f>
        <v/>
      </c>
      <c r="R326" s="319">
        <f>IF(ISNUMBER(SEARCH("목1",$H326)),1,"")</f>
        <v/>
      </c>
      <c r="S326" s="319">
        <f>IF(OR(ISNUMBER(SEARCH("목2",$H326)),ISNUMBER(SEARCH("목1.2",$H326))),1,"")</f>
        <v/>
      </c>
      <c r="T326" s="319">
        <f>IF(OR(ISNUMBER(SEARCH("목3",$H326)),ISNUMBER(SEARCH("목1.3",$H326)),ISNUMBER(SEARCH("목2.3",$H326)),ISNUMBER(SEARCH("목1.2.3",$H326))),1,"")</f>
        <v/>
      </c>
      <c r="U326" s="319">
        <f>IF(ISNUMBER(SEARCH("금1",$H326)),1,"")</f>
        <v/>
      </c>
      <c r="V326" s="319">
        <f>IF(OR(ISNUMBER(SEARCH("금2",$H326)),ISNUMBER(SEARCH("금1.2",$H326))),1,"")</f>
        <v/>
      </c>
      <c r="W326" s="319">
        <f>IF(OR(ISNUMBER(SEARCH("금3",$H326)),ISNUMBER(SEARCH("금1.3",$H326)),ISNUMBER(SEARCH("금2.3",$H326)),ISNUMBER(SEARCH("금1.2.3",$H326))),1,"")</f>
        <v/>
      </c>
      <c r="X326" s="319">
        <f>IF(ISNUMBER(SEARCH("토1",$H326)),1,"")</f>
        <v/>
      </c>
      <c r="Y326" s="319">
        <f>IF(OR(ISNUMBER(SEARCH("토2",$H326)),ISNUMBER(SEARCH("토1.2",$H326))),1,"")</f>
        <v/>
      </c>
      <c r="Z326" s="319">
        <f>IF(OR(ISNUMBER(SEARCH("토3",$H326)),ISNUMBER(SEARCH("토1.3",$H326)),ISNUMBER(SEARCH("토2.3",$H326)),ISNUMBER(SEARCH("토1.2.3",$H326))),1,"")</f>
        <v/>
      </c>
      <c r="AA326" s="319">
        <f>IF(ISNUMBER(SEARCH("일1",$H326)),1,"")</f>
        <v/>
      </c>
      <c r="AB326" s="319">
        <f>IF(OR(ISNUMBER(SEARCH("일2",$H326)),ISNUMBER(SEARCH("일1.2",$H326))),1,"")</f>
        <v/>
      </c>
      <c r="AC326" s="319">
        <f>IF(OR(ISNUMBER(SEARCH("일3",$H326)),ISNUMBER(SEARCH("일1.3",$H326)),ISNUMBER(SEARCH("일2.3",$H326)),ISNUMBER(SEARCH("일1.2.3",$H326))),1,"")</f>
        <v/>
      </c>
      <c r="AD326" s="319">
        <f>SUM(I326:AC326)</f>
        <v/>
      </c>
      <c r="AE326" s="323" t="n"/>
    </row>
    <row r="327" ht="24" customHeight="1">
      <c r="A327" s="168" t="n"/>
      <c r="B327" s="319" t="n"/>
      <c r="C327" s="319" t="n"/>
      <c r="D327" s="319" t="n"/>
      <c r="E327" s="341" t="n"/>
      <c r="F327" s="341" t="n"/>
      <c r="G327" s="342" t="n"/>
      <c r="H327" s="322" t="n"/>
      <c r="I327" s="319">
        <f>IF(ISNUMBER(SEARCH("월1",$H327)),1,"")</f>
        <v/>
      </c>
      <c r="J327" s="319">
        <f>IF(OR(ISNUMBER(SEARCH("월2",$H327)),ISNUMBER(SEARCH("월1.2",$H327))),1,"")</f>
        <v/>
      </c>
      <c r="K327" s="319">
        <f>IF(OR(ISNUMBER(SEARCH("월3",$H327)),ISNUMBER(SEARCH("월1.3",$H327)),ISNUMBER(SEARCH("월2.3",$H327)),ISNUMBER(SEARCH("월1.2.3",$H327))),1,"")</f>
        <v/>
      </c>
      <c r="L327" s="319">
        <f>IF(ISNUMBER(SEARCH("화1",$H327)),1,"")</f>
        <v/>
      </c>
      <c r="M327" s="319">
        <f>IF(OR(ISNUMBER(SEARCH("화2",$H327)),ISNUMBER(SEARCH("화1.2",$H327))),1,"")</f>
        <v/>
      </c>
      <c r="N327" s="319">
        <f>IF(OR(ISNUMBER(SEARCH("화3",$H327)),ISNUMBER(SEARCH("화1.3",$H327)),ISNUMBER(SEARCH("화2.3",$H327)),ISNUMBER(SEARCH("화1.2.3",$H327))),1,"")</f>
        <v/>
      </c>
      <c r="O327" s="319">
        <f>IF(ISNUMBER(SEARCH("수1",$H327)),1,"")</f>
        <v/>
      </c>
      <c r="P327" s="319">
        <f>IF(OR(ISNUMBER(SEARCH("수2",$H327)),ISNUMBER(SEARCH("수1.2",$H327))),1,"")</f>
        <v/>
      </c>
      <c r="Q327" s="319">
        <f>IF(OR(ISNUMBER(SEARCH("수3",$H327)),ISNUMBER(SEARCH("수1.3",$H327)),ISNUMBER(SEARCH("수2.3",$H327)),ISNUMBER(SEARCH("수1.2.3",$H327))),1,"")</f>
        <v/>
      </c>
      <c r="R327" s="319">
        <f>IF(ISNUMBER(SEARCH("목1",$H327)),1,"")</f>
        <v/>
      </c>
      <c r="S327" s="319">
        <f>IF(OR(ISNUMBER(SEARCH("목2",$H327)),ISNUMBER(SEARCH("목1.2",$H327))),1,"")</f>
        <v/>
      </c>
      <c r="T327" s="319">
        <f>IF(OR(ISNUMBER(SEARCH("목3",$H327)),ISNUMBER(SEARCH("목1.3",$H327)),ISNUMBER(SEARCH("목2.3",$H327)),ISNUMBER(SEARCH("목1.2.3",$H327))),1,"")</f>
        <v/>
      </c>
      <c r="U327" s="319">
        <f>IF(ISNUMBER(SEARCH("금1",$H327)),1,"")</f>
        <v/>
      </c>
      <c r="V327" s="319">
        <f>IF(OR(ISNUMBER(SEARCH("금2",$H327)),ISNUMBER(SEARCH("금1.2",$H327))),1,"")</f>
        <v/>
      </c>
      <c r="W327" s="319">
        <f>IF(OR(ISNUMBER(SEARCH("금3",$H327)),ISNUMBER(SEARCH("금1.3",$H327)),ISNUMBER(SEARCH("금2.3",$H327)),ISNUMBER(SEARCH("금1.2.3",$H327))),1,"")</f>
        <v/>
      </c>
      <c r="X327" s="319">
        <f>IF(ISNUMBER(SEARCH("토1",$H327)),1,"")</f>
        <v/>
      </c>
      <c r="Y327" s="319">
        <f>IF(OR(ISNUMBER(SEARCH("토2",$H327)),ISNUMBER(SEARCH("토1.2",$H327))),1,"")</f>
        <v/>
      </c>
      <c r="Z327" s="319">
        <f>IF(OR(ISNUMBER(SEARCH("토3",$H327)),ISNUMBER(SEARCH("토1.3",$H327)),ISNUMBER(SEARCH("토2.3",$H327)),ISNUMBER(SEARCH("토1.2.3",$H327))),1,"")</f>
        <v/>
      </c>
      <c r="AA327" s="319">
        <f>IF(ISNUMBER(SEARCH("일1",$H327)),1,"")</f>
        <v/>
      </c>
      <c r="AB327" s="319">
        <f>IF(OR(ISNUMBER(SEARCH("일2",$H327)),ISNUMBER(SEARCH("일1.2",$H327))),1,"")</f>
        <v/>
      </c>
      <c r="AC327" s="319">
        <f>IF(OR(ISNUMBER(SEARCH("일3",$H327)),ISNUMBER(SEARCH("일1.3",$H327)),ISNUMBER(SEARCH("일2.3",$H327)),ISNUMBER(SEARCH("일1.2.3",$H327))),1,"")</f>
        <v/>
      </c>
      <c r="AD327" s="319">
        <f>SUM(I327:AC327)</f>
        <v/>
      </c>
      <c r="AE327" s="323" t="n"/>
    </row>
    <row r="328" ht="24" customHeight="1">
      <c r="A328" s="168" t="n"/>
      <c r="B328" s="319" t="n"/>
      <c r="C328" s="319" t="n"/>
      <c r="D328" s="319" t="n"/>
      <c r="E328" s="341" t="n"/>
      <c r="F328" s="341" t="n"/>
      <c r="G328" s="342" t="n"/>
      <c r="H328" s="322" t="n"/>
      <c r="I328" s="319">
        <f>IF(ISNUMBER(SEARCH("월1",$H328)),1,"")</f>
        <v/>
      </c>
      <c r="J328" s="319">
        <f>IF(OR(ISNUMBER(SEARCH("월2",$H328)),ISNUMBER(SEARCH("월1.2",$H328))),1,"")</f>
        <v/>
      </c>
      <c r="K328" s="319">
        <f>IF(OR(ISNUMBER(SEARCH("월3",$H328)),ISNUMBER(SEARCH("월1.3",$H328)),ISNUMBER(SEARCH("월2.3",$H328)),ISNUMBER(SEARCH("월1.2.3",$H328))),1,"")</f>
        <v/>
      </c>
      <c r="L328" s="319">
        <f>IF(ISNUMBER(SEARCH("화1",$H328)),1,"")</f>
        <v/>
      </c>
      <c r="M328" s="319">
        <f>IF(OR(ISNUMBER(SEARCH("화2",$H328)),ISNUMBER(SEARCH("화1.2",$H328))),1,"")</f>
        <v/>
      </c>
      <c r="N328" s="319">
        <f>IF(OR(ISNUMBER(SEARCH("화3",$H328)),ISNUMBER(SEARCH("화1.3",$H328)),ISNUMBER(SEARCH("화2.3",$H328)),ISNUMBER(SEARCH("화1.2.3",$H328))),1,"")</f>
        <v/>
      </c>
      <c r="O328" s="319">
        <f>IF(ISNUMBER(SEARCH("수1",$H328)),1,"")</f>
        <v/>
      </c>
      <c r="P328" s="319">
        <f>IF(OR(ISNUMBER(SEARCH("수2",$H328)),ISNUMBER(SEARCH("수1.2",$H328))),1,"")</f>
        <v/>
      </c>
      <c r="Q328" s="319">
        <f>IF(OR(ISNUMBER(SEARCH("수3",$H328)),ISNUMBER(SEARCH("수1.3",$H328)),ISNUMBER(SEARCH("수2.3",$H328)),ISNUMBER(SEARCH("수1.2.3",$H328))),1,"")</f>
        <v/>
      </c>
      <c r="R328" s="319">
        <f>IF(ISNUMBER(SEARCH("목1",$H328)),1,"")</f>
        <v/>
      </c>
      <c r="S328" s="319">
        <f>IF(OR(ISNUMBER(SEARCH("목2",$H328)),ISNUMBER(SEARCH("목1.2",$H328))),1,"")</f>
        <v/>
      </c>
      <c r="T328" s="319">
        <f>IF(OR(ISNUMBER(SEARCH("목3",$H328)),ISNUMBER(SEARCH("목1.3",$H328)),ISNUMBER(SEARCH("목2.3",$H328)),ISNUMBER(SEARCH("목1.2.3",$H328))),1,"")</f>
        <v/>
      </c>
      <c r="U328" s="319">
        <f>IF(ISNUMBER(SEARCH("금1",$H328)),1,"")</f>
        <v/>
      </c>
      <c r="V328" s="319">
        <f>IF(OR(ISNUMBER(SEARCH("금2",$H328)),ISNUMBER(SEARCH("금1.2",$H328))),1,"")</f>
        <v/>
      </c>
      <c r="W328" s="319">
        <f>IF(OR(ISNUMBER(SEARCH("금3",$H328)),ISNUMBER(SEARCH("금1.3",$H328)),ISNUMBER(SEARCH("금2.3",$H328)),ISNUMBER(SEARCH("금1.2.3",$H328))),1,"")</f>
        <v/>
      </c>
      <c r="X328" s="319">
        <f>IF(ISNUMBER(SEARCH("토1",$H328)),1,"")</f>
        <v/>
      </c>
      <c r="Y328" s="319">
        <f>IF(OR(ISNUMBER(SEARCH("토2",$H328)),ISNUMBER(SEARCH("토1.2",$H328))),1,"")</f>
        <v/>
      </c>
      <c r="Z328" s="319">
        <f>IF(OR(ISNUMBER(SEARCH("토3",$H328)),ISNUMBER(SEARCH("토1.3",$H328)),ISNUMBER(SEARCH("토2.3",$H328)),ISNUMBER(SEARCH("토1.2.3",$H328))),1,"")</f>
        <v/>
      </c>
      <c r="AA328" s="319">
        <f>IF(ISNUMBER(SEARCH("일1",$H328)),1,"")</f>
        <v/>
      </c>
      <c r="AB328" s="319">
        <f>IF(OR(ISNUMBER(SEARCH("일2",$H328)),ISNUMBER(SEARCH("일1.2",$H328))),1,"")</f>
        <v/>
      </c>
      <c r="AC328" s="319">
        <f>IF(OR(ISNUMBER(SEARCH("일3",$H328)),ISNUMBER(SEARCH("일1.3",$H328)),ISNUMBER(SEARCH("일2.3",$H328)),ISNUMBER(SEARCH("일1.2.3",$H328))),1,"")</f>
        <v/>
      </c>
      <c r="AD328" s="319">
        <f>SUM(I328:AC328)</f>
        <v/>
      </c>
      <c r="AE328" s="323" t="n"/>
    </row>
    <row r="329" ht="24" customHeight="1">
      <c r="A329" s="168" t="n"/>
      <c r="B329" s="319" t="n"/>
      <c r="C329" s="319" t="n"/>
      <c r="D329" s="319" t="n"/>
      <c r="E329" s="341" t="n"/>
      <c r="F329" s="341" t="n"/>
      <c r="G329" s="342" t="n"/>
      <c r="H329" s="322" t="n"/>
      <c r="I329" s="319">
        <f>IF(ISNUMBER(SEARCH("월1",$H329)),1,"")</f>
        <v/>
      </c>
      <c r="J329" s="319">
        <f>IF(OR(ISNUMBER(SEARCH("월2",$H329)),ISNUMBER(SEARCH("월1.2",$H329))),1,"")</f>
        <v/>
      </c>
      <c r="K329" s="319">
        <f>IF(OR(ISNUMBER(SEARCH("월3",$H329)),ISNUMBER(SEARCH("월1.3",$H329)),ISNUMBER(SEARCH("월2.3",$H329)),ISNUMBER(SEARCH("월1.2.3",$H329))),1,"")</f>
        <v/>
      </c>
      <c r="L329" s="319">
        <f>IF(ISNUMBER(SEARCH("화1",$H329)),1,"")</f>
        <v/>
      </c>
      <c r="M329" s="319">
        <f>IF(OR(ISNUMBER(SEARCH("화2",$H329)),ISNUMBER(SEARCH("화1.2",$H329))),1,"")</f>
        <v/>
      </c>
      <c r="N329" s="319">
        <f>IF(OR(ISNUMBER(SEARCH("화3",$H329)),ISNUMBER(SEARCH("화1.3",$H329)),ISNUMBER(SEARCH("화2.3",$H329)),ISNUMBER(SEARCH("화1.2.3",$H329))),1,"")</f>
        <v/>
      </c>
      <c r="O329" s="319">
        <f>IF(ISNUMBER(SEARCH("수1",$H329)),1,"")</f>
        <v/>
      </c>
      <c r="P329" s="319">
        <f>IF(OR(ISNUMBER(SEARCH("수2",$H329)),ISNUMBER(SEARCH("수1.2",$H329))),1,"")</f>
        <v/>
      </c>
      <c r="Q329" s="319">
        <f>IF(OR(ISNUMBER(SEARCH("수3",$H329)),ISNUMBER(SEARCH("수1.3",$H329)),ISNUMBER(SEARCH("수2.3",$H329)),ISNUMBER(SEARCH("수1.2.3",$H329))),1,"")</f>
        <v/>
      </c>
      <c r="R329" s="319">
        <f>IF(ISNUMBER(SEARCH("목1",$H329)),1,"")</f>
        <v/>
      </c>
      <c r="S329" s="319">
        <f>IF(OR(ISNUMBER(SEARCH("목2",$H329)),ISNUMBER(SEARCH("목1.2",$H329))),1,"")</f>
        <v/>
      </c>
      <c r="T329" s="319">
        <f>IF(OR(ISNUMBER(SEARCH("목3",$H329)),ISNUMBER(SEARCH("목1.3",$H329)),ISNUMBER(SEARCH("목2.3",$H329)),ISNUMBER(SEARCH("목1.2.3",$H329))),1,"")</f>
        <v/>
      </c>
      <c r="U329" s="319">
        <f>IF(ISNUMBER(SEARCH("금1",$H329)),1,"")</f>
        <v/>
      </c>
      <c r="V329" s="319">
        <f>IF(OR(ISNUMBER(SEARCH("금2",$H329)),ISNUMBER(SEARCH("금1.2",$H329))),1,"")</f>
        <v/>
      </c>
      <c r="W329" s="319">
        <f>IF(OR(ISNUMBER(SEARCH("금3",$H329)),ISNUMBER(SEARCH("금1.3",$H329)),ISNUMBER(SEARCH("금2.3",$H329)),ISNUMBER(SEARCH("금1.2.3",$H329))),1,"")</f>
        <v/>
      </c>
      <c r="X329" s="319">
        <f>IF(ISNUMBER(SEARCH("토1",$H329)),1,"")</f>
        <v/>
      </c>
      <c r="Y329" s="319">
        <f>IF(OR(ISNUMBER(SEARCH("토2",$H329)),ISNUMBER(SEARCH("토1.2",$H329))),1,"")</f>
        <v/>
      </c>
      <c r="Z329" s="319">
        <f>IF(OR(ISNUMBER(SEARCH("토3",$H329)),ISNUMBER(SEARCH("토1.3",$H329)),ISNUMBER(SEARCH("토2.3",$H329)),ISNUMBER(SEARCH("토1.2.3",$H329))),1,"")</f>
        <v/>
      </c>
      <c r="AA329" s="319">
        <f>IF(ISNUMBER(SEARCH("일1",$H329)),1,"")</f>
        <v/>
      </c>
      <c r="AB329" s="319">
        <f>IF(OR(ISNUMBER(SEARCH("일2",$H329)),ISNUMBER(SEARCH("일1.2",$H329))),1,"")</f>
        <v/>
      </c>
      <c r="AC329" s="319">
        <f>IF(OR(ISNUMBER(SEARCH("일3",$H329)),ISNUMBER(SEARCH("일1.3",$H329)),ISNUMBER(SEARCH("일2.3",$H329)),ISNUMBER(SEARCH("일1.2.3",$H329))),1,"")</f>
        <v/>
      </c>
      <c r="AD329" s="319">
        <f>SUM(I329:AC329)</f>
        <v/>
      </c>
      <c r="AE329" s="323" t="n"/>
    </row>
    <row r="330" ht="24" customHeight="1">
      <c r="A330" s="168" t="n"/>
      <c r="B330" s="319" t="n"/>
      <c r="C330" s="319" t="n"/>
      <c r="D330" s="319" t="n"/>
      <c r="E330" s="341" t="n"/>
      <c r="F330" s="341" t="n"/>
      <c r="G330" s="342" t="n"/>
      <c r="H330" s="322" t="n"/>
      <c r="I330" s="319">
        <f>IF(ISNUMBER(SEARCH("월1",$H330)),1,"")</f>
        <v/>
      </c>
      <c r="J330" s="319">
        <f>IF(OR(ISNUMBER(SEARCH("월2",$H330)),ISNUMBER(SEARCH("월1.2",$H330))),1,"")</f>
        <v/>
      </c>
      <c r="K330" s="319">
        <f>IF(OR(ISNUMBER(SEARCH("월3",$H330)),ISNUMBER(SEARCH("월1.3",$H330)),ISNUMBER(SEARCH("월2.3",$H330)),ISNUMBER(SEARCH("월1.2.3",$H330))),1,"")</f>
        <v/>
      </c>
      <c r="L330" s="319">
        <f>IF(ISNUMBER(SEARCH("화1",$H330)),1,"")</f>
        <v/>
      </c>
      <c r="M330" s="319">
        <f>IF(OR(ISNUMBER(SEARCH("화2",$H330)),ISNUMBER(SEARCH("화1.2",$H330))),1,"")</f>
        <v/>
      </c>
      <c r="N330" s="319">
        <f>IF(OR(ISNUMBER(SEARCH("화3",$H330)),ISNUMBER(SEARCH("화1.3",$H330)),ISNUMBER(SEARCH("화2.3",$H330)),ISNUMBER(SEARCH("화1.2.3",$H330))),1,"")</f>
        <v/>
      </c>
      <c r="O330" s="319">
        <f>IF(ISNUMBER(SEARCH("수1",$H330)),1,"")</f>
        <v/>
      </c>
      <c r="P330" s="319">
        <f>IF(OR(ISNUMBER(SEARCH("수2",$H330)),ISNUMBER(SEARCH("수1.2",$H330))),1,"")</f>
        <v/>
      </c>
      <c r="Q330" s="319">
        <f>IF(OR(ISNUMBER(SEARCH("수3",$H330)),ISNUMBER(SEARCH("수1.3",$H330)),ISNUMBER(SEARCH("수2.3",$H330)),ISNUMBER(SEARCH("수1.2.3",$H330))),1,"")</f>
        <v/>
      </c>
      <c r="R330" s="319">
        <f>IF(ISNUMBER(SEARCH("목1",$H330)),1,"")</f>
        <v/>
      </c>
      <c r="S330" s="319">
        <f>IF(OR(ISNUMBER(SEARCH("목2",$H330)),ISNUMBER(SEARCH("목1.2",$H330))),1,"")</f>
        <v/>
      </c>
      <c r="T330" s="319">
        <f>IF(OR(ISNUMBER(SEARCH("목3",$H330)),ISNUMBER(SEARCH("목1.3",$H330)),ISNUMBER(SEARCH("목2.3",$H330)),ISNUMBER(SEARCH("목1.2.3",$H330))),1,"")</f>
        <v/>
      </c>
      <c r="U330" s="319">
        <f>IF(ISNUMBER(SEARCH("금1",$H330)),1,"")</f>
        <v/>
      </c>
      <c r="V330" s="319">
        <f>IF(OR(ISNUMBER(SEARCH("금2",$H330)),ISNUMBER(SEARCH("금1.2",$H330))),1,"")</f>
        <v/>
      </c>
      <c r="W330" s="319">
        <f>IF(OR(ISNUMBER(SEARCH("금3",$H330)),ISNUMBER(SEARCH("금1.3",$H330)),ISNUMBER(SEARCH("금2.3",$H330)),ISNUMBER(SEARCH("금1.2.3",$H330))),1,"")</f>
        <v/>
      </c>
      <c r="X330" s="319">
        <f>IF(ISNUMBER(SEARCH("토1",$H330)),1,"")</f>
        <v/>
      </c>
      <c r="Y330" s="319">
        <f>IF(OR(ISNUMBER(SEARCH("토2",$H330)),ISNUMBER(SEARCH("토1.2",$H330))),1,"")</f>
        <v/>
      </c>
      <c r="Z330" s="319">
        <f>IF(OR(ISNUMBER(SEARCH("토3",$H330)),ISNUMBER(SEARCH("토1.3",$H330)),ISNUMBER(SEARCH("토2.3",$H330)),ISNUMBER(SEARCH("토1.2.3",$H330))),1,"")</f>
        <v/>
      </c>
      <c r="AA330" s="319">
        <f>IF(ISNUMBER(SEARCH("일1",$H330)),1,"")</f>
        <v/>
      </c>
      <c r="AB330" s="319">
        <f>IF(OR(ISNUMBER(SEARCH("일2",$H330)),ISNUMBER(SEARCH("일1.2",$H330))),1,"")</f>
        <v/>
      </c>
      <c r="AC330" s="319">
        <f>IF(OR(ISNUMBER(SEARCH("일3",$H330)),ISNUMBER(SEARCH("일1.3",$H330)),ISNUMBER(SEARCH("일2.3",$H330)),ISNUMBER(SEARCH("일1.2.3",$H330))),1,"")</f>
        <v/>
      </c>
      <c r="AD330" s="319">
        <f>SUM(I330:AC330)</f>
        <v/>
      </c>
      <c r="AE330" s="323" t="n"/>
    </row>
    <row r="331" ht="24" customHeight="1">
      <c r="A331" s="168" t="n"/>
      <c r="B331" s="319" t="n"/>
      <c r="C331" s="319" t="n"/>
      <c r="D331" s="319" t="n"/>
      <c r="E331" s="341" t="n"/>
      <c r="F331" s="341" t="n"/>
      <c r="G331" s="342" t="n"/>
      <c r="H331" s="322" t="n"/>
      <c r="I331" s="319">
        <f>IF(ISNUMBER(SEARCH("월1",$H331)),1,"")</f>
        <v/>
      </c>
      <c r="J331" s="319">
        <f>IF(OR(ISNUMBER(SEARCH("월2",$H331)),ISNUMBER(SEARCH("월1.2",$H331))),1,"")</f>
        <v/>
      </c>
      <c r="K331" s="319">
        <f>IF(OR(ISNUMBER(SEARCH("월3",$H331)),ISNUMBER(SEARCH("월1.3",$H331)),ISNUMBER(SEARCH("월2.3",$H331)),ISNUMBER(SEARCH("월1.2.3",$H331))),1,"")</f>
        <v/>
      </c>
      <c r="L331" s="319">
        <f>IF(ISNUMBER(SEARCH("화1",$H331)),1,"")</f>
        <v/>
      </c>
      <c r="M331" s="319">
        <f>IF(OR(ISNUMBER(SEARCH("화2",$H331)),ISNUMBER(SEARCH("화1.2",$H331))),1,"")</f>
        <v/>
      </c>
      <c r="N331" s="319">
        <f>IF(OR(ISNUMBER(SEARCH("화3",$H331)),ISNUMBER(SEARCH("화1.3",$H331)),ISNUMBER(SEARCH("화2.3",$H331)),ISNUMBER(SEARCH("화1.2.3",$H331))),1,"")</f>
        <v/>
      </c>
      <c r="O331" s="319">
        <f>IF(ISNUMBER(SEARCH("수1",$H331)),1,"")</f>
        <v/>
      </c>
      <c r="P331" s="319">
        <f>IF(OR(ISNUMBER(SEARCH("수2",$H331)),ISNUMBER(SEARCH("수1.2",$H331))),1,"")</f>
        <v/>
      </c>
      <c r="Q331" s="319">
        <f>IF(OR(ISNUMBER(SEARCH("수3",$H331)),ISNUMBER(SEARCH("수1.3",$H331)),ISNUMBER(SEARCH("수2.3",$H331)),ISNUMBER(SEARCH("수1.2.3",$H331))),1,"")</f>
        <v/>
      </c>
      <c r="R331" s="319">
        <f>IF(ISNUMBER(SEARCH("목1",$H331)),1,"")</f>
        <v/>
      </c>
      <c r="S331" s="319">
        <f>IF(OR(ISNUMBER(SEARCH("목2",$H331)),ISNUMBER(SEARCH("목1.2",$H331))),1,"")</f>
        <v/>
      </c>
      <c r="T331" s="319">
        <f>IF(OR(ISNUMBER(SEARCH("목3",$H331)),ISNUMBER(SEARCH("목1.3",$H331)),ISNUMBER(SEARCH("목2.3",$H331)),ISNUMBER(SEARCH("목1.2.3",$H331))),1,"")</f>
        <v/>
      </c>
      <c r="U331" s="319">
        <f>IF(ISNUMBER(SEARCH("금1",$H331)),1,"")</f>
        <v/>
      </c>
      <c r="V331" s="319">
        <f>IF(OR(ISNUMBER(SEARCH("금2",$H331)),ISNUMBER(SEARCH("금1.2",$H331))),1,"")</f>
        <v/>
      </c>
      <c r="W331" s="319">
        <f>IF(OR(ISNUMBER(SEARCH("금3",$H331)),ISNUMBER(SEARCH("금1.3",$H331)),ISNUMBER(SEARCH("금2.3",$H331)),ISNUMBER(SEARCH("금1.2.3",$H331))),1,"")</f>
        <v/>
      </c>
      <c r="X331" s="319">
        <f>IF(ISNUMBER(SEARCH("토1",$H331)),1,"")</f>
        <v/>
      </c>
      <c r="Y331" s="319">
        <f>IF(OR(ISNUMBER(SEARCH("토2",$H331)),ISNUMBER(SEARCH("토1.2",$H331))),1,"")</f>
        <v/>
      </c>
      <c r="Z331" s="319">
        <f>IF(OR(ISNUMBER(SEARCH("토3",$H331)),ISNUMBER(SEARCH("토1.3",$H331)),ISNUMBER(SEARCH("토2.3",$H331)),ISNUMBER(SEARCH("토1.2.3",$H331))),1,"")</f>
        <v/>
      </c>
      <c r="AA331" s="319">
        <f>IF(ISNUMBER(SEARCH("일1",$H331)),1,"")</f>
        <v/>
      </c>
      <c r="AB331" s="319">
        <f>IF(OR(ISNUMBER(SEARCH("일2",$H331)),ISNUMBER(SEARCH("일1.2",$H331))),1,"")</f>
        <v/>
      </c>
      <c r="AC331" s="319">
        <f>IF(OR(ISNUMBER(SEARCH("일3",$H331)),ISNUMBER(SEARCH("일1.3",$H331)),ISNUMBER(SEARCH("일2.3",$H331)),ISNUMBER(SEARCH("일1.2.3",$H331))),1,"")</f>
        <v/>
      </c>
      <c r="AD331" s="319">
        <f>SUM(I331:AC331)</f>
        <v/>
      </c>
      <c r="AE331" s="323" t="n"/>
    </row>
    <row r="332" ht="24" customHeight="1">
      <c r="A332" s="168" t="n"/>
      <c r="B332" s="319" t="n"/>
      <c r="C332" s="319" t="n"/>
      <c r="D332" s="319" t="n"/>
      <c r="E332" s="341" t="n"/>
      <c r="F332" s="341" t="n"/>
      <c r="G332" s="342" t="n"/>
      <c r="H332" s="322" t="n"/>
      <c r="I332" s="319">
        <f>IF(ISNUMBER(SEARCH("월1",$H332)),1,"")</f>
        <v/>
      </c>
      <c r="J332" s="319">
        <f>IF(OR(ISNUMBER(SEARCH("월2",$H332)),ISNUMBER(SEARCH("월1.2",$H332))),1,"")</f>
        <v/>
      </c>
      <c r="K332" s="319">
        <f>IF(OR(ISNUMBER(SEARCH("월3",$H332)),ISNUMBER(SEARCH("월1.3",$H332)),ISNUMBER(SEARCH("월2.3",$H332)),ISNUMBER(SEARCH("월1.2.3",$H332))),1,"")</f>
        <v/>
      </c>
      <c r="L332" s="319">
        <f>IF(ISNUMBER(SEARCH("화1",$H332)),1,"")</f>
        <v/>
      </c>
      <c r="M332" s="319">
        <f>IF(OR(ISNUMBER(SEARCH("화2",$H332)),ISNUMBER(SEARCH("화1.2",$H332))),1,"")</f>
        <v/>
      </c>
      <c r="N332" s="319">
        <f>IF(OR(ISNUMBER(SEARCH("화3",$H332)),ISNUMBER(SEARCH("화1.3",$H332)),ISNUMBER(SEARCH("화2.3",$H332)),ISNUMBER(SEARCH("화1.2.3",$H332))),1,"")</f>
        <v/>
      </c>
      <c r="O332" s="319">
        <f>IF(ISNUMBER(SEARCH("수1",$H332)),1,"")</f>
        <v/>
      </c>
      <c r="P332" s="319">
        <f>IF(OR(ISNUMBER(SEARCH("수2",$H332)),ISNUMBER(SEARCH("수1.2",$H332))),1,"")</f>
        <v/>
      </c>
      <c r="Q332" s="319">
        <f>IF(OR(ISNUMBER(SEARCH("수3",$H332)),ISNUMBER(SEARCH("수1.3",$H332)),ISNUMBER(SEARCH("수2.3",$H332)),ISNUMBER(SEARCH("수1.2.3",$H332))),1,"")</f>
        <v/>
      </c>
      <c r="R332" s="319">
        <f>IF(ISNUMBER(SEARCH("목1",$H332)),1,"")</f>
        <v/>
      </c>
      <c r="S332" s="319">
        <f>IF(OR(ISNUMBER(SEARCH("목2",$H332)),ISNUMBER(SEARCH("목1.2",$H332))),1,"")</f>
        <v/>
      </c>
      <c r="T332" s="319">
        <f>IF(OR(ISNUMBER(SEARCH("목3",$H332)),ISNUMBER(SEARCH("목1.3",$H332)),ISNUMBER(SEARCH("목2.3",$H332)),ISNUMBER(SEARCH("목1.2.3",$H332))),1,"")</f>
        <v/>
      </c>
      <c r="U332" s="319">
        <f>IF(ISNUMBER(SEARCH("금1",$H332)),1,"")</f>
        <v/>
      </c>
      <c r="V332" s="319">
        <f>IF(OR(ISNUMBER(SEARCH("금2",$H332)),ISNUMBER(SEARCH("금1.2",$H332))),1,"")</f>
        <v/>
      </c>
      <c r="W332" s="319">
        <f>IF(OR(ISNUMBER(SEARCH("금3",$H332)),ISNUMBER(SEARCH("금1.3",$H332)),ISNUMBER(SEARCH("금2.3",$H332)),ISNUMBER(SEARCH("금1.2.3",$H332))),1,"")</f>
        <v/>
      </c>
      <c r="X332" s="319">
        <f>IF(ISNUMBER(SEARCH("토1",$H332)),1,"")</f>
        <v/>
      </c>
      <c r="Y332" s="319">
        <f>IF(OR(ISNUMBER(SEARCH("토2",$H332)),ISNUMBER(SEARCH("토1.2",$H332))),1,"")</f>
        <v/>
      </c>
      <c r="Z332" s="319">
        <f>IF(OR(ISNUMBER(SEARCH("토3",$H332)),ISNUMBER(SEARCH("토1.3",$H332)),ISNUMBER(SEARCH("토2.3",$H332)),ISNUMBER(SEARCH("토1.2.3",$H332))),1,"")</f>
        <v/>
      </c>
      <c r="AA332" s="319">
        <f>IF(ISNUMBER(SEARCH("일1",$H332)),1,"")</f>
        <v/>
      </c>
      <c r="AB332" s="319">
        <f>IF(OR(ISNUMBER(SEARCH("일2",$H332)),ISNUMBER(SEARCH("일1.2",$H332))),1,"")</f>
        <v/>
      </c>
      <c r="AC332" s="319">
        <f>IF(OR(ISNUMBER(SEARCH("일3",$H332)),ISNUMBER(SEARCH("일1.3",$H332)),ISNUMBER(SEARCH("일2.3",$H332)),ISNUMBER(SEARCH("일1.2.3",$H332))),1,"")</f>
        <v/>
      </c>
      <c r="AD332" s="319">
        <f>SUM(I332:AC332)</f>
        <v/>
      </c>
      <c r="AE332" s="323" t="n"/>
    </row>
    <row r="333" ht="24" customHeight="1">
      <c r="A333" s="168" t="n"/>
      <c r="B333" s="319" t="n"/>
      <c r="C333" s="319" t="n"/>
      <c r="D333" s="319" t="n"/>
      <c r="E333" s="341" t="n"/>
      <c r="F333" s="341" t="n"/>
      <c r="G333" s="342" t="n"/>
      <c r="H333" s="322" t="n"/>
      <c r="I333" s="319">
        <f>IF(ISNUMBER(SEARCH("월1",$H333)),1,"")</f>
        <v/>
      </c>
      <c r="J333" s="319">
        <f>IF(OR(ISNUMBER(SEARCH("월2",$H333)),ISNUMBER(SEARCH("월1.2",$H333))),1,"")</f>
        <v/>
      </c>
      <c r="K333" s="319">
        <f>IF(OR(ISNUMBER(SEARCH("월3",$H333)),ISNUMBER(SEARCH("월1.3",$H333)),ISNUMBER(SEARCH("월2.3",$H333)),ISNUMBER(SEARCH("월1.2.3",$H333))),1,"")</f>
        <v/>
      </c>
      <c r="L333" s="319">
        <f>IF(ISNUMBER(SEARCH("화1",$H333)),1,"")</f>
        <v/>
      </c>
      <c r="M333" s="319">
        <f>IF(OR(ISNUMBER(SEARCH("화2",$H333)),ISNUMBER(SEARCH("화1.2",$H333))),1,"")</f>
        <v/>
      </c>
      <c r="N333" s="319">
        <f>IF(OR(ISNUMBER(SEARCH("화3",$H333)),ISNUMBER(SEARCH("화1.3",$H333)),ISNUMBER(SEARCH("화2.3",$H333)),ISNUMBER(SEARCH("화1.2.3",$H333))),1,"")</f>
        <v/>
      </c>
      <c r="O333" s="319">
        <f>IF(ISNUMBER(SEARCH("수1",$H333)),1,"")</f>
        <v/>
      </c>
      <c r="P333" s="319">
        <f>IF(OR(ISNUMBER(SEARCH("수2",$H333)),ISNUMBER(SEARCH("수1.2",$H333))),1,"")</f>
        <v/>
      </c>
      <c r="Q333" s="319">
        <f>IF(OR(ISNUMBER(SEARCH("수3",$H333)),ISNUMBER(SEARCH("수1.3",$H333)),ISNUMBER(SEARCH("수2.3",$H333)),ISNUMBER(SEARCH("수1.2.3",$H333))),1,"")</f>
        <v/>
      </c>
      <c r="R333" s="319">
        <f>IF(ISNUMBER(SEARCH("목1",$H333)),1,"")</f>
        <v/>
      </c>
      <c r="S333" s="319">
        <f>IF(OR(ISNUMBER(SEARCH("목2",$H333)),ISNUMBER(SEARCH("목1.2",$H333))),1,"")</f>
        <v/>
      </c>
      <c r="T333" s="319">
        <f>IF(OR(ISNUMBER(SEARCH("목3",$H333)),ISNUMBER(SEARCH("목1.3",$H333)),ISNUMBER(SEARCH("목2.3",$H333)),ISNUMBER(SEARCH("목1.2.3",$H333))),1,"")</f>
        <v/>
      </c>
      <c r="U333" s="319">
        <f>IF(ISNUMBER(SEARCH("금1",$H333)),1,"")</f>
        <v/>
      </c>
      <c r="V333" s="319">
        <f>IF(OR(ISNUMBER(SEARCH("금2",$H333)),ISNUMBER(SEARCH("금1.2",$H333))),1,"")</f>
        <v/>
      </c>
      <c r="W333" s="319">
        <f>IF(OR(ISNUMBER(SEARCH("금3",$H333)),ISNUMBER(SEARCH("금1.3",$H333)),ISNUMBER(SEARCH("금2.3",$H333)),ISNUMBER(SEARCH("금1.2.3",$H333))),1,"")</f>
        <v/>
      </c>
      <c r="X333" s="319">
        <f>IF(ISNUMBER(SEARCH("토1",$H333)),1,"")</f>
        <v/>
      </c>
      <c r="Y333" s="319">
        <f>IF(OR(ISNUMBER(SEARCH("토2",$H333)),ISNUMBER(SEARCH("토1.2",$H333))),1,"")</f>
        <v/>
      </c>
      <c r="Z333" s="319">
        <f>IF(OR(ISNUMBER(SEARCH("토3",$H333)),ISNUMBER(SEARCH("토1.3",$H333)),ISNUMBER(SEARCH("토2.3",$H333)),ISNUMBER(SEARCH("토1.2.3",$H333))),1,"")</f>
        <v/>
      </c>
      <c r="AA333" s="319">
        <f>IF(ISNUMBER(SEARCH("일1",$H333)),1,"")</f>
        <v/>
      </c>
      <c r="AB333" s="319">
        <f>IF(OR(ISNUMBER(SEARCH("일2",$H333)),ISNUMBER(SEARCH("일1.2",$H333))),1,"")</f>
        <v/>
      </c>
      <c r="AC333" s="319">
        <f>IF(OR(ISNUMBER(SEARCH("일3",$H333)),ISNUMBER(SEARCH("일1.3",$H333)),ISNUMBER(SEARCH("일2.3",$H333)),ISNUMBER(SEARCH("일1.2.3",$H333))),1,"")</f>
        <v/>
      </c>
      <c r="AD333" s="319">
        <f>SUM(I333:AC333)</f>
        <v/>
      </c>
      <c r="AE333" s="323" t="n"/>
    </row>
    <row r="334" ht="24" customHeight="1">
      <c r="A334" s="168" t="n"/>
      <c r="B334" s="319" t="n"/>
      <c r="C334" s="319" t="n"/>
      <c r="D334" s="319" t="n"/>
      <c r="E334" s="341" t="n"/>
      <c r="F334" s="341" t="n"/>
      <c r="G334" s="342" t="n"/>
      <c r="H334" s="322" t="n"/>
      <c r="I334" s="319">
        <f>IF(ISNUMBER(SEARCH("월1",$H334)),1,"")</f>
        <v/>
      </c>
      <c r="J334" s="319">
        <f>IF(OR(ISNUMBER(SEARCH("월2",$H334)),ISNUMBER(SEARCH("월1.2",$H334))),1,"")</f>
        <v/>
      </c>
      <c r="K334" s="319">
        <f>IF(OR(ISNUMBER(SEARCH("월3",$H334)),ISNUMBER(SEARCH("월1.3",$H334)),ISNUMBER(SEARCH("월2.3",$H334)),ISNUMBER(SEARCH("월1.2.3",$H334))),1,"")</f>
        <v/>
      </c>
      <c r="L334" s="319">
        <f>IF(ISNUMBER(SEARCH("화1",$H334)),1,"")</f>
        <v/>
      </c>
      <c r="M334" s="319">
        <f>IF(OR(ISNUMBER(SEARCH("화2",$H334)),ISNUMBER(SEARCH("화1.2",$H334))),1,"")</f>
        <v/>
      </c>
      <c r="N334" s="319">
        <f>IF(OR(ISNUMBER(SEARCH("화3",$H334)),ISNUMBER(SEARCH("화1.3",$H334)),ISNUMBER(SEARCH("화2.3",$H334)),ISNUMBER(SEARCH("화1.2.3",$H334))),1,"")</f>
        <v/>
      </c>
      <c r="O334" s="319">
        <f>IF(ISNUMBER(SEARCH("수1",$H334)),1,"")</f>
        <v/>
      </c>
      <c r="P334" s="319">
        <f>IF(OR(ISNUMBER(SEARCH("수2",$H334)),ISNUMBER(SEARCH("수1.2",$H334))),1,"")</f>
        <v/>
      </c>
      <c r="Q334" s="319">
        <f>IF(OR(ISNUMBER(SEARCH("수3",$H334)),ISNUMBER(SEARCH("수1.3",$H334)),ISNUMBER(SEARCH("수2.3",$H334)),ISNUMBER(SEARCH("수1.2.3",$H334))),1,"")</f>
        <v/>
      </c>
      <c r="R334" s="319">
        <f>IF(ISNUMBER(SEARCH("목1",$H334)),1,"")</f>
        <v/>
      </c>
      <c r="S334" s="319">
        <f>IF(OR(ISNUMBER(SEARCH("목2",$H334)),ISNUMBER(SEARCH("목1.2",$H334))),1,"")</f>
        <v/>
      </c>
      <c r="T334" s="319">
        <f>IF(OR(ISNUMBER(SEARCH("목3",$H334)),ISNUMBER(SEARCH("목1.3",$H334)),ISNUMBER(SEARCH("목2.3",$H334)),ISNUMBER(SEARCH("목1.2.3",$H334))),1,"")</f>
        <v/>
      </c>
      <c r="U334" s="319">
        <f>IF(ISNUMBER(SEARCH("금1",$H334)),1,"")</f>
        <v/>
      </c>
      <c r="V334" s="319">
        <f>IF(OR(ISNUMBER(SEARCH("금2",$H334)),ISNUMBER(SEARCH("금1.2",$H334))),1,"")</f>
        <v/>
      </c>
      <c r="W334" s="319">
        <f>IF(OR(ISNUMBER(SEARCH("금3",$H334)),ISNUMBER(SEARCH("금1.3",$H334)),ISNUMBER(SEARCH("금2.3",$H334)),ISNUMBER(SEARCH("금1.2.3",$H334))),1,"")</f>
        <v/>
      </c>
      <c r="X334" s="319">
        <f>IF(ISNUMBER(SEARCH("토1",$H334)),1,"")</f>
        <v/>
      </c>
      <c r="Y334" s="319">
        <f>IF(OR(ISNUMBER(SEARCH("토2",$H334)),ISNUMBER(SEARCH("토1.2",$H334))),1,"")</f>
        <v/>
      </c>
      <c r="Z334" s="319">
        <f>IF(OR(ISNUMBER(SEARCH("토3",$H334)),ISNUMBER(SEARCH("토1.3",$H334)),ISNUMBER(SEARCH("토2.3",$H334)),ISNUMBER(SEARCH("토1.2.3",$H334))),1,"")</f>
        <v/>
      </c>
      <c r="AA334" s="319">
        <f>IF(ISNUMBER(SEARCH("일1",$H334)),1,"")</f>
        <v/>
      </c>
      <c r="AB334" s="319">
        <f>IF(OR(ISNUMBER(SEARCH("일2",$H334)),ISNUMBER(SEARCH("일1.2",$H334))),1,"")</f>
        <v/>
      </c>
      <c r="AC334" s="319">
        <f>IF(OR(ISNUMBER(SEARCH("일3",$H334)),ISNUMBER(SEARCH("일1.3",$H334)),ISNUMBER(SEARCH("일2.3",$H334)),ISNUMBER(SEARCH("일1.2.3",$H334))),1,"")</f>
        <v/>
      </c>
      <c r="AD334" s="319">
        <f>SUM(I334:AC334)</f>
        <v/>
      </c>
      <c r="AE334" s="323" t="n"/>
    </row>
    <row r="335" ht="24" customHeight="1">
      <c r="A335" s="168" t="n"/>
      <c r="B335" s="319" t="n"/>
      <c r="C335" s="319" t="n"/>
      <c r="D335" s="319" t="n"/>
      <c r="E335" s="341" t="n"/>
      <c r="F335" s="341" t="n"/>
      <c r="G335" s="342" t="n"/>
      <c r="H335" s="322" t="n"/>
      <c r="I335" s="319">
        <f>IF(ISNUMBER(SEARCH("월1",$H335)),1,"")</f>
        <v/>
      </c>
      <c r="J335" s="319">
        <f>IF(OR(ISNUMBER(SEARCH("월2",$H335)),ISNUMBER(SEARCH("월1.2",$H335))),1,"")</f>
        <v/>
      </c>
      <c r="K335" s="319">
        <f>IF(OR(ISNUMBER(SEARCH("월3",$H335)),ISNUMBER(SEARCH("월1.3",$H335)),ISNUMBER(SEARCH("월2.3",$H335)),ISNUMBER(SEARCH("월1.2.3",$H335))),1,"")</f>
        <v/>
      </c>
      <c r="L335" s="319">
        <f>IF(ISNUMBER(SEARCH("화1",$H335)),1,"")</f>
        <v/>
      </c>
      <c r="M335" s="319">
        <f>IF(OR(ISNUMBER(SEARCH("화2",$H335)),ISNUMBER(SEARCH("화1.2",$H335))),1,"")</f>
        <v/>
      </c>
      <c r="N335" s="319">
        <f>IF(OR(ISNUMBER(SEARCH("화3",$H335)),ISNUMBER(SEARCH("화1.3",$H335)),ISNUMBER(SEARCH("화2.3",$H335)),ISNUMBER(SEARCH("화1.2.3",$H335))),1,"")</f>
        <v/>
      </c>
      <c r="O335" s="319">
        <f>IF(ISNUMBER(SEARCH("수1",$H335)),1,"")</f>
        <v/>
      </c>
      <c r="P335" s="319">
        <f>IF(OR(ISNUMBER(SEARCH("수2",$H335)),ISNUMBER(SEARCH("수1.2",$H335))),1,"")</f>
        <v/>
      </c>
      <c r="Q335" s="319">
        <f>IF(OR(ISNUMBER(SEARCH("수3",$H335)),ISNUMBER(SEARCH("수1.3",$H335)),ISNUMBER(SEARCH("수2.3",$H335)),ISNUMBER(SEARCH("수1.2.3",$H335))),1,"")</f>
        <v/>
      </c>
      <c r="R335" s="319">
        <f>IF(ISNUMBER(SEARCH("목1",$H335)),1,"")</f>
        <v/>
      </c>
      <c r="S335" s="319">
        <f>IF(OR(ISNUMBER(SEARCH("목2",$H335)),ISNUMBER(SEARCH("목1.2",$H335))),1,"")</f>
        <v/>
      </c>
      <c r="T335" s="319">
        <f>IF(OR(ISNUMBER(SEARCH("목3",$H335)),ISNUMBER(SEARCH("목1.3",$H335)),ISNUMBER(SEARCH("목2.3",$H335)),ISNUMBER(SEARCH("목1.2.3",$H335))),1,"")</f>
        <v/>
      </c>
      <c r="U335" s="319">
        <f>IF(ISNUMBER(SEARCH("금1",$H335)),1,"")</f>
        <v/>
      </c>
      <c r="V335" s="319">
        <f>IF(OR(ISNUMBER(SEARCH("금2",$H335)),ISNUMBER(SEARCH("금1.2",$H335))),1,"")</f>
        <v/>
      </c>
      <c r="W335" s="319">
        <f>IF(OR(ISNUMBER(SEARCH("금3",$H335)),ISNUMBER(SEARCH("금1.3",$H335)),ISNUMBER(SEARCH("금2.3",$H335)),ISNUMBER(SEARCH("금1.2.3",$H335))),1,"")</f>
        <v/>
      </c>
      <c r="X335" s="319">
        <f>IF(ISNUMBER(SEARCH("토1",$H335)),1,"")</f>
        <v/>
      </c>
      <c r="Y335" s="319">
        <f>IF(OR(ISNUMBER(SEARCH("토2",$H335)),ISNUMBER(SEARCH("토1.2",$H335))),1,"")</f>
        <v/>
      </c>
      <c r="Z335" s="319">
        <f>IF(OR(ISNUMBER(SEARCH("토3",$H335)),ISNUMBER(SEARCH("토1.3",$H335)),ISNUMBER(SEARCH("토2.3",$H335)),ISNUMBER(SEARCH("토1.2.3",$H335))),1,"")</f>
        <v/>
      </c>
      <c r="AA335" s="319">
        <f>IF(ISNUMBER(SEARCH("일1",$H335)),1,"")</f>
        <v/>
      </c>
      <c r="AB335" s="319">
        <f>IF(OR(ISNUMBER(SEARCH("일2",$H335)),ISNUMBER(SEARCH("일1.2",$H335))),1,"")</f>
        <v/>
      </c>
      <c r="AC335" s="319">
        <f>IF(OR(ISNUMBER(SEARCH("일3",$H335)),ISNUMBER(SEARCH("일1.3",$H335)),ISNUMBER(SEARCH("일2.3",$H335)),ISNUMBER(SEARCH("일1.2.3",$H335))),1,"")</f>
        <v/>
      </c>
      <c r="AD335" s="319">
        <f>SUM(I335:AC335)</f>
        <v/>
      </c>
      <c r="AE335" s="323" t="n"/>
    </row>
    <row r="336" ht="24" customHeight="1">
      <c r="A336" s="168" t="n"/>
      <c r="B336" s="319" t="n"/>
      <c r="C336" s="319" t="n"/>
      <c r="D336" s="319" t="n"/>
      <c r="E336" s="341" t="n"/>
      <c r="F336" s="341" t="n"/>
      <c r="G336" s="342" t="n"/>
      <c r="H336" s="322" t="n"/>
      <c r="I336" s="319">
        <f>IF(ISNUMBER(SEARCH("월1",$H336)),1,"")</f>
        <v/>
      </c>
      <c r="J336" s="319">
        <f>IF(OR(ISNUMBER(SEARCH("월2",$H336)),ISNUMBER(SEARCH("월1.2",$H336))),1,"")</f>
        <v/>
      </c>
      <c r="K336" s="319">
        <f>IF(OR(ISNUMBER(SEARCH("월3",$H336)),ISNUMBER(SEARCH("월1.3",$H336)),ISNUMBER(SEARCH("월2.3",$H336)),ISNUMBER(SEARCH("월1.2.3",$H336))),1,"")</f>
        <v/>
      </c>
      <c r="L336" s="319">
        <f>IF(ISNUMBER(SEARCH("화1",$H336)),1,"")</f>
        <v/>
      </c>
      <c r="M336" s="319">
        <f>IF(OR(ISNUMBER(SEARCH("화2",$H336)),ISNUMBER(SEARCH("화1.2",$H336))),1,"")</f>
        <v/>
      </c>
      <c r="N336" s="319">
        <f>IF(OR(ISNUMBER(SEARCH("화3",$H336)),ISNUMBER(SEARCH("화1.3",$H336)),ISNUMBER(SEARCH("화2.3",$H336)),ISNUMBER(SEARCH("화1.2.3",$H336))),1,"")</f>
        <v/>
      </c>
      <c r="O336" s="319">
        <f>IF(ISNUMBER(SEARCH("수1",$H336)),1,"")</f>
        <v/>
      </c>
      <c r="P336" s="319">
        <f>IF(OR(ISNUMBER(SEARCH("수2",$H336)),ISNUMBER(SEARCH("수1.2",$H336))),1,"")</f>
        <v/>
      </c>
      <c r="Q336" s="319">
        <f>IF(OR(ISNUMBER(SEARCH("수3",$H336)),ISNUMBER(SEARCH("수1.3",$H336)),ISNUMBER(SEARCH("수2.3",$H336)),ISNUMBER(SEARCH("수1.2.3",$H336))),1,"")</f>
        <v/>
      </c>
      <c r="R336" s="319">
        <f>IF(ISNUMBER(SEARCH("목1",$H336)),1,"")</f>
        <v/>
      </c>
      <c r="S336" s="319">
        <f>IF(OR(ISNUMBER(SEARCH("목2",$H336)),ISNUMBER(SEARCH("목1.2",$H336))),1,"")</f>
        <v/>
      </c>
      <c r="T336" s="319">
        <f>IF(OR(ISNUMBER(SEARCH("목3",$H336)),ISNUMBER(SEARCH("목1.3",$H336)),ISNUMBER(SEARCH("목2.3",$H336)),ISNUMBER(SEARCH("목1.2.3",$H336))),1,"")</f>
        <v/>
      </c>
      <c r="U336" s="319">
        <f>IF(ISNUMBER(SEARCH("금1",$H336)),1,"")</f>
        <v/>
      </c>
      <c r="V336" s="319">
        <f>IF(OR(ISNUMBER(SEARCH("금2",$H336)),ISNUMBER(SEARCH("금1.2",$H336))),1,"")</f>
        <v/>
      </c>
      <c r="W336" s="319">
        <f>IF(OR(ISNUMBER(SEARCH("금3",$H336)),ISNUMBER(SEARCH("금1.3",$H336)),ISNUMBER(SEARCH("금2.3",$H336)),ISNUMBER(SEARCH("금1.2.3",$H336))),1,"")</f>
        <v/>
      </c>
      <c r="X336" s="319">
        <f>IF(ISNUMBER(SEARCH("토1",$H336)),1,"")</f>
        <v/>
      </c>
      <c r="Y336" s="319">
        <f>IF(OR(ISNUMBER(SEARCH("토2",$H336)),ISNUMBER(SEARCH("토1.2",$H336))),1,"")</f>
        <v/>
      </c>
      <c r="Z336" s="319">
        <f>IF(OR(ISNUMBER(SEARCH("토3",$H336)),ISNUMBER(SEARCH("토1.3",$H336)),ISNUMBER(SEARCH("토2.3",$H336)),ISNUMBER(SEARCH("토1.2.3",$H336))),1,"")</f>
        <v/>
      </c>
      <c r="AA336" s="319">
        <f>IF(ISNUMBER(SEARCH("일1",$H336)),1,"")</f>
        <v/>
      </c>
      <c r="AB336" s="319">
        <f>IF(OR(ISNUMBER(SEARCH("일2",$H336)),ISNUMBER(SEARCH("일1.2",$H336))),1,"")</f>
        <v/>
      </c>
      <c r="AC336" s="319">
        <f>IF(OR(ISNUMBER(SEARCH("일3",$H336)),ISNUMBER(SEARCH("일1.3",$H336)),ISNUMBER(SEARCH("일2.3",$H336)),ISNUMBER(SEARCH("일1.2.3",$H336))),1,"")</f>
        <v/>
      </c>
      <c r="AD336" s="319">
        <f>SUM(I336:AC336)</f>
        <v/>
      </c>
      <c r="AE336" s="323" t="n"/>
    </row>
    <row r="337" ht="24" customHeight="1">
      <c r="A337" s="168" t="n"/>
      <c r="B337" s="319" t="n"/>
      <c r="C337" s="319" t="n"/>
      <c r="D337" s="319" t="n"/>
      <c r="E337" s="341" t="n"/>
      <c r="F337" s="341" t="n"/>
      <c r="G337" s="342" t="n"/>
      <c r="H337" s="322" t="n"/>
      <c r="I337" s="319">
        <f>IF(ISNUMBER(SEARCH("월1",$H337)),1,"")</f>
        <v/>
      </c>
      <c r="J337" s="319">
        <f>IF(OR(ISNUMBER(SEARCH("월2",$H337)),ISNUMBER(SEARCH("월1.2",$H337))),1,"")</f>
        <v/>
      </c>
      <c r="K337" s="319">
        <f>IF(OR(ISNUMBER(SEARCH("월3",$H337)),ISNUMBER(SEARCH("월1.3",$H337)),ISNUMBER(SEARCH("월2.3",$H337)),ISNUMBER(SEARCH("월1.2.3",$H337))),1,"")</f>
        <v/>
      </c>
      <c r="L337" s="319">
        <f>IF(ISNUMBER(SEARCH("화1",$H337)),1,"")</f>
        <v/>
      </c>
      <c r="M337" s="319">
        <f>IF(OR(ISNUMBER(SEARCH("화2",$H337)),ISNUMBER(SEARCH("화1.2",$H337))),1,"")</f>
        <v/>
      </c>
      <c r="N337" s="319">
        <f>IF(OR(ISNUMBER(SEARCH("화3",$H337)),ISNUMBER(SEARCH("화1.3",$H337)),ISNUMBER(SEARCH("화2.3",$H337)),ISNUMBER(SEARCH("화1.2.3",$H337))),1,"")</f>
        <v/>
      </c>
      <c r="O337" s="319">
        <f>IF(ISNUMBER(SEARCH("수1",$H337)),1,"")</f>
        <v/>
      </c>
      <c r="P337" s="319">
        <f>IF(OR(ISNUMBER(SEARCH("수2",$H337)),ISNUMBER(SEARCH("수1.2",$H337))),1,"")</f>
        <v/>
      </c>
      <c r="Q337" s="319">
        <f>IF(OR(ISNUMBER(SEARCH("수3",$H337)),ISNUMBER(SEARCH("수1.3",$H337)),ISNUMBER(SEARCH("수2.3",$H337)),ISNUMBER(SEARCH("수1.2.3",$H337))),1,"")</f>
        <v/>
      </c>
      <c r="R337" s="319">
        <f>IF(ISNUMBER(SEARCH("목1",$H337)),1,"")</f>
        <v/>
      </c>
      <c r="S337" s="319">
        <f>IF(OR(ISNUMBER(SEARCH("목2",$H337)),ISNUMBER(SEARCH("목1.2",$H337))),1,"")</f>
        <v/>
      </c>
      <c r="T337" s="319">
        <f>IF(OR(ISNUMBER(SEARCH("목3",$H337)),ISNUMBER(SEARCH("목1.3",$H337)),ISNUMBER(SEARCH("목2.3",$H337)),ISNUMBER(SEARCH("목1.2.3",$H337))),1,"")</f>
        <v/>
      </c>
      <c r="U337" s="319">
        <f>IF(ISNUMBER(SEARCH("금1",$H337)),1,"")</f>
        <v/>
      </c>
      <c r="V337" s="319">
        <f>IF(OR(ISNUMBER(SEARCH("금2",$H337)),ISNUMBER(SEARCH("금1.2",$H337))),1,"")</f>
        <v/>
      </c>
      <c r="W337" s="319">
        <f>IF(OR(ISNUMBER(SEARCH("금3",$H337)),ISNUMBER(SEARCH("금1.3",$H337)),ISNUMBER(SEARCH("금2.3",$H337)),ISNUMBER(SEARCH("금1.2.3",$H337))),1,"")</f>
        <v/>
      </c>
      <c r="X337" s="319">
        <f>IF(ISNUMBER(SEARCH("토1",$H337)),1,"")</f>
        <v/>
      </c>
      <c r="Y337" s="319">
        <f>IF(OR(ISNUMBER(SEARCH("토2",$H337)),ISNUMBER(SEARCH("토1.2",$H337))),1,"")</f>
        <v/>
      </c>
      <c r="Z337" s="319">
        <f>IF(OR(ISNUMBER(SEARCH("토3",$H337)),ISNUMBER(SEARCH("토1.3",$H337)),ISNUMBER(SEARCH("토2.3",$H337)),ISNUMBER(SEARCH("토1.2.3",$H337))),1,"")</f>
        <v/>
      </c>
      <c r="AA337" s="319">
        <f>IF(ISNUMBER(SEARCH("일1",$H337)),1,"")</f>
        <v/>
      </c>
      <c r="AB337" s="319">
        <f>IF(OR(ISNUMBER(SEARCH("일2",$H337)),ISNUMBER(SEARCH("일1.2",$H337))),1,"")</f>
        <v/>
      </c>
      <c r="AC337" s="319">
        <f>IF(OR(ISNUMBER(SEARCH("일3",$H337)),ISNUMBER(SEARCH("일1.3",$H337)),ISNUMBER(SEARCH("일2.3",$H337)),ISNUMBER(SEARCH("일1.2.3",$H337))),1,"")</f>
        <v/>
      </c>
      <c r="AD337" s="319">
        <f>SUM(I337:AC337)</f>
        <v/>
      </c>
      <c r="AE337" s="323" t="n"/>
    </row>
    <row r="338" ht="24" customHeight="1">
      <c r="A338" s="168" t="n"/>
      <c r="B338" s="319" t="n"/>
      <c r="C338" s="319" t="n"/>
      <c r="D338" s="319" t="n"/>
      <c r="E338" s="341" t="n"/>
      <c r="F338" s="341" t="n"/>
      <c r="G338" s="342" t="n"/>
      <c r="H338" s="322" t="n"/>
      <c r="I338" s="319">
        <f>IF(ISNUMBER(SEARCH("월1",$H338)),1,"")</f>
        <v/>
      </c>
      <c r="J338" s="319">
        <f>IF(OR(ISNUMBER(SEARCH("월2",$H338)),ISNUMBER(SEARCH("월1.2",$H338))),1,"")</f>
        <v/>
      </c>
      <c r="K338" s="319">
        <f>IF(OR(ISNUMBER(SEARCH("월3",$H338)),ISNUMBER(SEARCH("월1.3",$H338)),ISNUMBER(SEARCH("월2.3",$H338)),ISNUMBER(SEARCH("월1.2.3",$H338))),1,"")</f>
        <v/>
      </c>
      <c r="L338" s="319">
        <f>IF(ISNUMBER(SEARCH("화1",$H338)),1,"")</f>
        <v/>
      </c>
      <c r="M338" s="319">
        <f>IF(OR(ISNUMBER(SEARCH("화2",$H338)),ISNUMBER(SEARCH("화1.2",$H338))),1,"")</f>
        <v/>
      </c>
      <c r="N338" s="319">
        <f>IF(OR(ISNUMBER(SEARCH("화3",$H338)),ISNUMBER(SEARCH("화1.3",$H338)),ISNUMBER(SEARCH("화2.3",$H338)),ISNUMBER(SEARCH("화1.2.3",$H338))),1,"")</f>
        <v/>
      </c>
      <c r="O338" s="319">
        <f>IF(ISNUMBER(SEARCH("수1",$H338)),1,"")</f>
        <v/>
      </c>
      <c r="P338" s="319">
        <f>IF(OR(ISNUMBER(SEARCH("수2",$H338)),ISNUMBER(SEARCH("수1.2",$H338))),1,"")</f>
        <v/>
      </c>
      <c r="Q338" s="319">
        <f>IF(OR(ISNUMBER(SEARCH("수3",$H338)),ISNUMBER(SEARCH("수1.3",$H338)),ISNUMBER(SEARCH("수2.3",$H338)),ISNUMBER(SEARCH("수1.2.3",$H338))),1,"")</f>
        <v/>
      </c>
      <c r="R338" s="319">
        <f>IF(ISNUMBER(SEARCH("목1",$H338)),1,"")</f>
        <v/>
      </c>
      <c r="S338" s="319">
        <f>IF(OR(ISNUMBER(SEARCH("목2",$H338)),ISNUMBER(SEARCH("목1.2",$H338))),1,"")</f>
        <v/>
      </c>
      <c r="T338" s="319">
        <f>IF(OR(ISNUMBER(SEARCH("목3",$H338)),ISNUMBER(SEARCH("목1.3",$H338)),ISNUMBER(SEARCH("목2.3",$H338)),ISNUMBER(SEARCH("목1.2.3",$H338))),1,"")</f>
        <v/>
      </c>
      <c r="U338" s="319">
        <f>IF(ISNUMBER(SEARCH("금1",$H338)),1,"")</f>
        <v/>
      </c>
      <c r="V338" s="319">
        <f>IF(OR(ISNUMBER(SEARCH("금2",$H338)),ISNUMBER(SEARCH("금1.2",$H338))),1,"")</f>
        <v/>
      </c>
      <c r="W338" s="319">
        <f>IF(OR(ISNUMBER(SEARCH("금3",$H338)),ISNUMBER(SEARCH("금1.3",$H338)),ISNUMBER(SEARCH("금2.3",$H338)),ISNUMBER(SEARCH("금1.2.3",$H338))),1,"")</f>
        <v/>
      </c>
      <c r="X338" s="319">
        <f>IF(ISNUMBER(SEARCH("토1",$H338)),1,"")</f>
        <v/>
      </c>
      <c r="Y338" s="319">
        <f>IF(OR(ISNUMBER(SEARCH("토2",$H338)),ISNUMBER(SEARCH("토1.2",$H338))),1,"")</f>
        <v/>
      </c>
      <c r="Z338" s="319">
        <f>IF(OR(ISNUMBER(SEARCH("토3",$H338)),ISNUMBER(SEARCH("토1.3",$H338)),ISNUMBER(SEARCH("토2.3",$H338)),ISNUMBER(SEARCH("토1.2.3",$H338))),1,"")</f>
        <v/>
      </c>
      <c r="AA338" s="319">
        <f>IF(ISNUMBER(SEARCH("일1",$H338)),1,"")</f>
        <v/>
      </c>
      <c r="AB338" s="319">
        <f>IF(OR(ISNUMBER(SEARCH("일2",$H338)),ISNUMBER(SEARCH("일1.2",$H338))),1,"")</f>
        <v/>
      </c>
      <c r="AC338" s="319">
        <f>IF(OR(ISNUMBER(SEARCH("일3",$H338)),ISNUMBER(SEARCH("일1.3",$H338)),ISNUMBER(SEARCH("일2.3",$H338)),ISNUMBER(SEARCH("일1.2.3",$H338))),1,"")</f>
        <v/>
      </c>
      <c r="AD338" s="319">
        <f>SUM(I338:AC338)</f>
        <v/>
      </c>
      <c r="AE338" s="323" t="n"/>
    </row>
    <row r="339" ht="24" customHeight="1">
      <c r="A339" s="168" t="n"/>
      <c r="B339" s="319" t="n"/>
      <c r="C339" s="319" t="n"/>
      <c r="D339" s="319" t="n"/>
      <c r="E339" s="341" t="n"/>
      <c r="F339" s="341" t="n"/>
      <c r="G339" s="342" t="n"/>
      <c r="H339" s="322" t="n"/>
      <c r="I339" s="319">
        <f>IF(ISNUMBER(SEARCH("월1",$H339)),1,"")</f>
        <v/>
      </c>
      <c r="J339" s="319">
        <f>IF(OR(ISNUMBER(SEARCH("월2",$H339)),ISNUMBER(SEARCH("월1.2",$H339))),1,"")</f>
        <v/>
      </c>
      <c r="K339" s="319">
        <f>IF(OR(ISNUMBER(SEARCH("월3",$H339)),ISNUMBER(SEARCH("월1.3",$H339)),ISNUMBER(SEARCH("월2.3",$H339)),ISNUMBER(SEARCH("월1.2.3",$H339))),1,"")</f>
        <v/>
      </c>
      <c r="L339" s="319">
        <f>IF(ISNUMBER(SEARCH("화1",$H339)),1,"")</f>
        <v/>
      </c>
      <c r="M339" s="319">
        <f>IF(OR(ISNUMBER(SEARCH("화2",$H339)),ISNUMBER(SEARCH("화1.2",$H339))),1,"")</f>
        <v/>
      </c>
      <c r="N339" s="319">
        <f>IF(OR(ISNUMBER(SEARCH("화3",$H339)),ISNUMBER(SEARCH("화1.3",$H339)),ISNUMBER(SEARCH("화2.3",$H339)),ISNUMBER(SEARCH("화1.2.3",$H339))),1,"")</f>
        <v/>
      </c>
      <c r="O339" s="319">
        <f>IF(ISNUMBER(SEARCH("수1",$H339)),1,"")</f>
        <v/>
      </c>
      <c r="P339" s="319">
        <f>IF(OR(ISNUMBER(SEARCH("수2",$H339)),ISNUMBER(SEARCH("수1.2",$H339))),1,"")</f>
        <v/>
      </c>
      <c r="Q339" s="319">
        <f>IF(OR(ISNUMBER(SEARCH("수3",$H339)),ISNUMBER(SEARCH("수1.3",$H339)),ISNUMBER(SEARCH("수2.3",$H339)),ISNUMBER(SEARCH("수1.2.3",$H339))),1,"")</f>
        <v/>
      </c>
      <c r="R339" s="319">
        <f>IF(ISNUMBER(SEARCH("목1",$H339)),1,"")</f>
        <v/>
      </c>
      <c r="S339" s="319">
        <f>IF(OR(ISNUMBER(SEARCH("목2",$H339)),ISNUMBER(SEARCH("목1.2",$H339))),1,"")</f>
        <v/>
      </c>
      <c r="T339" s="319">
        <f>IF(OR(ISNUMBER(SEARCH("목3",$H339)),ISNUMBER(SEARCH("목1.3",$H339)),ISNUMBER(SEARCH("목2.3",$H339)),ISNUMBER(SEARCH("목1.2.3",$H339))),1,"")</f>
        <v/>
      </c>
      <c r="U339" s="319">
        <f>IF(ISNUMBER(SEARCH("금1",$H339)),1,"")</f>
        <v/>
      </c>
      <c r="V339" s="319">
        <f>IF(OR(ISNUMBER(SEARCH("금2",$H339)),ISNUMBER(SEARCH("금1.2",$H339))),1,"")</f>
        <v/>
      </c>
      <c r="W339" s="319">
        <f>IF(OR(ISNUMBER(SEARCH("금3",$H339)),ISNUMBER(SEARCH("금1.3",$H339)),ISNUMBER(SEARCH("금2.3",$H339)),ISNUMBER(SEARCH("금1.2.3",$H339))),1,"")</f>
        <v/>
      </c>
      <c r="X339" s="319">
        <f>IF(ISNUMBER(SEARCH("토1",$H339)),1,"")</f>
        <v/>
      </c>
      <c r="Y339" s="319">
        <f>IF(OR(ISNUMBER(SEARCH("토2",$H339)),ISNUMBER(SEARCH("토1.2",$H339))),1,"")</f>
        <v/>
      </c>
      <c r="Z339" s="319">
        <f>IF(OR(ISNUMBER(SEARCH("토3",$H339)),ISNUMBER(SEARCH("토1.3",$H339)),ISNUMBER(SEARCH("토2.3",$H339)),ISNUMBER(SEARCH("토1.2.3",$H339))),1,"")</f>
        <v/>
      </c>
      <c r="AA339" s="319">
        <f>IF(ISNUMBER(SEARCH("일1",$H339)),1,"")</f>
        <v/>
      </c>
      <c r="AB339" s="319">
        <f>IF(OR(ISNUMBER(SEARCH("일2",$H339)),ISNUMBER(SEARCH("일1.2",$H339))),1,"")</f>
        <v/>
      </c>
      <c r="AC339" s="319">
        <f>IF(OR(ISNUMBER(SEARCH("일3",$H339)),ISNUMBER(SEARCH("일1.3",$H339)),ISNUMBER(SEARCH("일2.3",$H339)),ISNUMBER(SEARCH("일1.2.3",$H339))),1,"")</f>
        <v/>
      </c>
      <c r="AD339" s="319">
        <f>SUM(I339:AC339)</f>
        <v/>
      </c>
      <c r="AE339" s="323" t="n"/>
    </row>
    <row r="340" ht="24" customHeight="1">
      <c r="A340" s="168" t="n"/>
      <c r="B340" s="319" t="n"/>
      <c r="C340" s="319" t="n"/>
      <c r="D340" s="319" t="n"/>
      <c r="E340" s="341" t="n"/>
      <c r="F340" s="341" t="n"/>
      <c r="G340" s="342" t="n"/>
      <c r="H340" s="322" t="n"/>
      <c r="I340" s="319">
        <f>IF(ISNUMBER(SEARCH("월1",$H340)),1,"")</f>
        <v/>
      </c>
      <c r="J340" s="319">
        <f>IF(OR(ISNUMBER(SEARCH("월2",$H340)),ISNUMBER(SEARCH("월1.2",$H340))),1,"")</f>
        <v/>
      </c>
      <c r="K340" s="319">
        <f>IF(OR(ISNUMBER(SEARCH("월3",$H340)),ISNUMBER(SEARCH("월1.3",$H340)),ISNUMBER(SEARCH("월2.3",$H340)),ISNUMBER(SEARCH("월1.2.3",$H340))),1,"")</f>
        <v/>
      </c>
      <c r="L340" s="319">
        <f>IF(ISNUMBER(SEARCH("화1",$H340)),1,"")</f>
        <v/>
      </c>
      <c r="M340" s="319">
        <f>IF(OR(ISNUMBER(SEARCH("화2",$H340)),ISNUMBER(SEARCH("화1.2",$H340))),1,"")</f>
        <v/>
      </c>
      <c r="N340" s="319">
        <f>IF(OR(ISNUMBER(SEARCH("화3",$H340)),ISNUMBER(SEARCH("화1.3",$H340)),ISNUMBER(SEARCH("화2.3",$H340)),ISNUMBER(SEARCH("화1.2.3",$H340))),1,"")</f>
        <v/>
      </c>
      <c r="O340" s="319">
        <f>IF(ISNUMBER(SEARCH("수1",$H340)),1,"")</f>
        <v/>
      </c>
      <c r="P340" s="319">
        <f>IF(OR(ISNUMBER(SEARCH("수2",$H340)),ISNUMBER(SEARCH("수1.2",$H340))),1,"")</f>
        <v/>
      </c>
      <c r="Q340" s="319">
        <f>IF(OR(ISNUMBER(SEARCH("수3",$H340)),ISNUMBER(SEARCH("수1.3",$H340)),ISNUMBER(SEARCH("수2.3",$H340)),ISNUMBER(SEARCH("수1.2.3",$H340))),1,"")</f>
        <v/>
      </c>
      <c r="R340" s="319">
        <f>IF(ISNUMBER(SEARCH("목1",$H340)),1,"")</f>
        <v/>
      </c>
      <c r="S340" s="319">
        <f>IF(OR(ISNUMBER(SEARCH("목2",$H340)),ISNUMBER(SEARCH("목1.2",$H340))),1,"")</f>
        <v/>
      </c>
      <c r="T340" s="319">
        <f>IF(OR(ISNUMBER(SEARCH("목3",$H340)),ISNUMBER(SEARCH("목1.3",$H340)),ISNUMBER(SEARCH("목2.3",$H340)),ISNUMBER(SEARCH("목1.2.3",$H340))),1,"")</f>
        <v/>
      </c>
      <c r="U340" s="319">
        <f>IF(ISNUMBER(SEARCH("금1",$H340)),1,"")</f>
        <v/>
      </c>
      <c r="V340" s="319">
        <f>IF(OR(ISNUMBER(SEARCH("금2",$H340)),ISNUMBER(SEARCH("금1.2",$H340))),1,"")</f>
        <v/>
      </c>
      <c r="W340" s="319">
        <f>IF(OR(ISNUMBER(SEARCH("금3",$H340)),ISNUMBER(SEARCH("금1.3",$H340)),ISNUMBER(SEARCH("금2.3",$H340)),ISNUMBER(SEARCH("금1.2.3",$H340))),1,"")</f>
        <v/>
      </c>
      <c r="X340" s="319">
        <f>IF(ISNUMBER(SEARCH("토1",$H340)),1,"")</f>
        <v/>
      </c>
      <c r="Y340" s="319">
        <f>IF(OR(ISNUMBER(SEARCH("토2",$H340)),ISNUMBER(SEARCH("토1.2",$H340))),1,"")</f>
        <v/>
      </c>
      <c r="Z340" s="319">
        <f>IF(OR(ISNUMBER(SEARCH("토3",$H340)),ISNUMBER(SEARCH("토1.3",$H340)),ISNUMBER(SEARCH("토2.3",$H340)),ISNUMBER(SEARCH("토1.2.3",$H340))),1,"")</f>
        <v/>
      </c>
      <c r="AA340" s="319">
        <f>IF(ISNUMBER(SEARCH("일1",$H340)),1,"")</f>
        <v/>
      </c>
      <c r="AB340" s="319">
        <f>IF(OR(ISNUMBER(SEARCH("일2",$H340)),ISNUMBER(SEARCH("일1.2",$H340))),1,"")</f>
        <v/>
      </c>
      <c r="AC340" s="319">
        <f>IF(OR(ISNUMBER(SEARCH("일3",$H340)),ISNUMBER(SEARCH("일1.3",$H340)),ISNUMBER(SEARCH("일2.3",$H340)),ISNUMBER(SEARCH("일1.2.3",$H340))),1,"")</f>
        <v/>
      </c>
      <c r="AD340" s="319">
        <f>SUM(I340:AC340)</f>
        <v/>
      </c>
      <c r="AE340" s="323" t="n"/>
    </row>
    <row r="341" ht="24" customHeight="1">
      <c r="A341" s="168" t="n"/>
      <c r="B341" s="319" t="n"/>
      <c r="C341" s="319" t="n"/>
      <c r="D341" s="319" t="n"/>
      <c r="E341" s="341" t="n"/>
      <c r="F341" s="341" t="n"/>
      <c r="G341" s="342" t="n"/>
      <c r="H341" s="322" t="n"/>
      <c r="I341" s="319">
        <f>IF(ISNUMBER(SEARCH("월1",$H341)),1,"")</f>
        <v/>
      </c>
      <c r="J341" s="319">
        <f>IF(OR(ISNUMBER(SEARCH("월2",$H341)),ISNUMBER(SEARCH("월1.2",$H341))),1,"")</f>
        <v/>
      </c>
      <c r="K341" s="319">
        <f>IF(OR(ISNUMBER(SEARCH("월3",$H341)),ISNUMBER(SEARCH("월1.3",$H341)),ISNUMBER(SEARCH("월2.3",$H341)),ISNUMBER(SEARCH("월1.2.3",$H341))),1,"")</f>
        <v/>
      </c>
      <c r="L341" s="319">
        <f>IF(ISNUMBER(SEARCH("화1",$H341)),1,"")</f>
        <v/>
      </c>
      <c r="M341" s="319">
        <f>IF(OR(ISNUMBER(SEARCH("화2",$H341)),ISNUMBER(SEARCH("화1.2",$H341))),1,"")</f>
        <v/>
      </c>
      <c r="N341" s="319">
        <f>IF(OR(ISNUMBER(SEARCH("화3",$H341)),ISNUMBER(SEARCH("화1.3",$H341)),ISNUMBER(SEARCH("화2.3",$H341)),ISNUMBER(SEARCH("화1.2.3",$H341))),1,"")</f>
        <v/>
      </c>
      <c r="O341" s="319">
        <f>IF(ISNUMBER(SEARCH("수1",$H341)),1,"")</f>
        <v/>
      </c>
      <c r="P341" s="319">
        <f>IF(OR(ISNUMBER(SEARCH("수2",$H341)),ISNUMBER(SEARCH("수1.2",$H341))),1,"")</f>
        <v/>
      </c>
      <c r="Q341" s="319">
        <f>IF(OR(ISNUMBER(SEARCH("수3",$H341)),ISNUMBER(SEARCH("수1.3",$H341)),ISNUMBER(SEARCH("수2.3",$H341)),ISNUMBER(SEARCH("수1.2.3",$H341))),1,"")</f>
        <v/>
      </c>
      <c r="R341" s="319">
        <f>IF(ISNUMBER(SEARCH("목1",$H341)),1,"")</f>
        <v/>
      </c>
      <c r="S341" s="319">
        <f>IF(OR(ISNUMBER(SEARCH("목2",$H341)),ISNUMBER(SEARCH("목1.2",$H341))),1,"")</f>
        <v/>
      </c>
      <c r="T341" s="319">
        <f>IF(OR(ISNUMBER(SEARCH("목3",$H341)),ISNUMBER(SEARCH("목1.3",$H341)),ISNUMBER(SEARCH("목2.3",$H341)),ISNUMBER(SEARCH("목1.2.3",$H341))),1,"")</f>
        <v/>
      </c>
      <c r="U341" s="319">
        <f>IF(ISNUMBER(SEARCH("금1",$H341)),1,"")</f>
        <v/>
      </c>
      <c r="V341" s="319">
        <f>IF(OR(ISNUMBER(SEARCH("금2",$H341)),ISNUMBER(SEARCH("금1.2",$H341))),1,"")</f>
        <v/>
      </c>
      <c r="W341" s="319">
        <f>IF(OR(ISNUMBER(SEARCH("금3",$H341)),ISNUMBER(SEARCH("금1.3",$H341)),ISNUMBER(SEARCH("금2.3",$H341)),ISNUMBER(SEARCH("금1.2.3",$H341))),1,"")</f>
        <v/>
      </c>
      <c r="X341" s="319">
        <f>IF(ISNUMBER(SEARCH("토1",$H341)),1,"")</f>
        <v/>
      </c>
      <c r="Y341" s="319">
        <f>IF(OR(ISNUMBER(SEARCH("토2",$H341)),ISNUMBER(SEARCH("토1.2",$H341))),1,"")</f>
        <v/>
      </c>
      <c r="Z341" s="319">
        <f>IF(OR(ISNUMBER(SEARCH("토3",$H341)),ISNUMBER(SEARCH("토1.3",$H341)),ISNUMBER(SEARCH("토2.3",$H341)),ISNUMBER(SEARCH("토1.2.3",$H341))),1,"")</f>
        <v/>
      </c>
      <c r="AA341" s="319">
        <f>IF(ISNUMBER(SEARCH("일1",$H341)),1,"")</f>
        <v/>
      </c>
      <c r="AB341" s="319">
        <f>IF(OR(ISNUMBER(SEARCH("일2",$H341)),ISNUMBER(SEARCH("일1.2",$H341))),1,"")</f>
        <v/>
      </c>
      <c r="AC341" s="319">
        <f>IF(OR(ISNUMBER(SEARCH("일3",$H341)),ISNUMBER(SEARCH("일1.3",$H341)),ISNUMBER(SEARCH("일2.3",$H341)),ISNUMBER(SEARCH("일1.2.3",$H341))),1,"")</f>
        <v/>
      </c>
      <c r="AD341" s="319">
        <f>SUM(I341:AC341)</f>
        <v/>
      </c>
      <c r="AE341" s="323" t="n"/>
    </row>
    <row r="342" ht="24" customHeight="1">
      <c r="A342" s="168" t="n"/>
      <c r="B342" s="319" t="n"/>
      <c r="C342" s="319" t="n"/>
      <c r="D342" s="319" t="n"/>
      <c r="E342" s="341" t="n"/>
      <c r="F342" s="341" t="n"/>
      <c r="G342" s="342" t="n"/>
      <c r="H342" s="322" t="n"/>
      <c r="I342" s="319">
        <f>IF(ISNUMBER(SEARCH("월1",$H342)),1,"")</f>
        <v/>
      </c>
      <c r="J342" s="319">
        <f>IF(OR(ISNUMBER(SEARCH("월2",$H342)),ISNUMBER(SEARCH("월1.2",$H342))),1,"")</f>
        <v/>
      </c>
      <c r="K342" s="319">
        <f>IF(OR(ISNUMBER(SEARCH("월3",$H342)),ISNUMBER(SEARCH("월1.3",$H342)),ISNUMBER(SEARCH("월2.3",$H342)),ISNUMBER(SEARCH("월1.2.3",$H342))),1,"")</f>
        <v/>
      </c>
      <c r="L342" s="319">
        <f>IF(ISNUMBER(SEARCH("화1",$H342)),1,"")</f>
        <v/>
      </c>
      <c r="M342" s="319">
        <f>IF(OR(ISNUMBER(SEARCH("화2",$H342)),ISNUMBER(SEARCH("화1.2",$H342))),1,"")</f>
        <v/>
      </c>
      <c r="N342" s="319">
        <f>IF(OR(ISNUMBER(SEARCH("화3",$H342)),ISNUMBER(SEARCH("화1.3",$H342)),ISNUMBER(SEARCH("화2.3",$H342)),ISNUMBER(SEARCH("화1.2.3",$H342))),1,"")</f>
        <v/>
      </c>
      <c r="O342" s="319">
        <f>IF(ISNUMBER(SEARCH("수1",$H342)),1,"")</f>
        <v/>
      </c>
      <c r="P342" s="319">
        <f>IF(OR(ISNUMBER(SEARCH("수2",$H342)),ISNUMBER(SEARCH("수1.2",$H342))),1,"")</f>
        <v/>
      </c>
      <c r="Q342" s="319">
        <f>IF(OR(ISNUMBER(SEARCH("수3",$H342)),ISNUMBER(SEARCH("수1.3",$H342)),ISNUMBER(SEARCH("수2.3",$H342)),ISNUMBER(SEARCH("수1.2.3",$H342))),1,"")</f>
        <v/>
      </c>
      <c r="R342" s="319">
        <f>IF(ISNUMBER(SEARCH("목1",$H342)),1,"")</f>
        <v/>
      </c>
      <c r="S342" s="319">
        <f>IF(OR(ISNUMBER(SEARCH("목2",$H342)),ISNUMBER(SEARCH("목1.2",$H342))),1,"")</f>
        <v/>
      </c>
      <c r="T342" s="319">
        <f>IF(OR(ISNUMBER(SEARCH("목3",$H342)),ISNUMBER(SEARCH("목1.3",$H342)),ISNUMBER(SEARCH("목2.3",$H342)),ISNUMBER(SEARCH("목1.2.3",$H342))),1,"")</f>
        <v/>
      </c>
      <c r="U342" s="319">
        <f>IF(ISNUMBER(SEARCH("금1",$H342)),1,"")</f>
        <v/>
      </c>
      <c r="V342" s="319">
        <f>IF(OR(ISNUMBER(SEARCH("금2",$H342)),ISNUMBER(SEARCH("금1.2",$H342))),1,"")</f>
        <v/>
      </c>
      <c r="W342" s="319">
        <f>IF(OR(ISNUMBER(SEARCH("금3",$H342)),ISNUMBER(SEARCH("금1.3",$H342)),ISNUMBER(SEARCH("금2.3",$H342)),ISNUMBER(SEARCH("금1.2.3",$H342))),1,"")</f>
        <v/>
      </c>
      <c r="X342" s="319">
        <f>IF(ISNUMBER(SEARCH("토1",$H342)),1,"")</f>
        <v/>
      </c>
      <c r="Y342" s="319">
        <f>IF(OR(ISNUMBER(SEARCH("토2",$H342)),ISNUMBER(SEARCH("토1.2",$H342))),1,"")</f>
        <v/>
      </c>
      <c r="Z342" s="319">
        <f>IF(OR(ISNUMBER(SEARCH("토3",$H342)),ISNUMBER(SEARCH("토1.3",$H342)),ISNUMBER(SEARCH("토2.3",$H342)),ISNUMBER(SEARCH("토1.2.3",$H342))),1,"")</f>
        <v/>
      </c>
      <c r="AA342" s="319">
        <f>IF(ISNUMBER(SEARCH("일1",$H342)),1,"")</f>
        <v/>
      </c>
      <c r="AB342" s="319">
        <f>IF(OR(ISNUMBER(SEARCH("일2",$H342)),ISNUMBER(SEARCH("일1.2",$H342))),1,"")</f>
        <v/>
      </c>
      <c r="AC342" s="319">
        <f>IF(OR(ISNUMBER(SEARCH("일3",$H342)),ISNUMBER(SEARCH("일1.3",$H342)),ISNUMBER(SEARCH("일2.3",$H342)),ISNUMBER(SEARCH("일1.2.3",$H342))),1,"")</f>
        <v/>
      </c>
      <c r="AD342" s="319">
        <f>SUM(I342:AC342)</f>
        <v/>
      </c>
      <c r="AE342" s="323" t="n"/>
    </row>
    <row r="343" ht="24" customHeight="1">
      <c r="A343" s="168" t="n"/>
      <c r="B343" s="319" t="n"/>
      <c r="C343" s="319" t="n"/>
      <c r="D343" s="319" t="n"/>
      <c r="E343" s="341" t="n"/>
      <c r="F343" s="341" t="n"/>
      <c r="G343" s="342" t="n"/>
      <c r="H343" s="322" t="n"/>
      <c r="I343" s="319">
        <f>IF(ISNUMBER(SEARCH("월1",$H343)),1,"")</f>
        <v/>
      </c>
      <c r="J343" s="319">
        <f>IF(OR(ISNUMBER(SEARCH("월2",$H343)),ISNUMBER(SEARCH("월1.2",$H343))),1,"")</f>
        <v/>
      </c>
      <c r="K343" s="319">
        <f>IF(OR(ISNUMBER(SEARCH("월3",$H343)),ISNUMBER(SEARCH("월1.3",$H343)),ISNUMBER(SEARCH("월2.3",$H343)),ISNUMBER(SEARCH("월1.2.3",$H343))),1,"")</f>
        <v/>
      </c>
      <c r="L343" s="319">
        <f>IF(ISNUMBER(SEARCH("화1",$H343)),1,"")</f>
        <v/>
      </c>
      <c r="M343" s="319">
        <f>IF(OR(ISNUMBER(SEARCH("화2",$H343)),ISNUMBER(SEARCH("화1.2",$H343))),1,"")</f>
        <v/>
      </c>
      <c r="N343" s="319">
        <f>IF(OR(ISNUMBER(SEARCH("화3",$H343)),ISNUMBER(SEARCH("화1.3",$H343)),ISNUMBER(SEARCH("화2.3",$H343)),ISNUMBER(SEARCH("화1.2.3",$H343))),1,"")</f>
        <v/>
      </c>
      <c r="O343" s="319">
        <f>IF(ISNUMBER(SEARCH("수1",$H343)),1,"")</f>
        <v/>
      </c>
      <c r="P343" s="319">
        <f>IF(OR(ISNUMBER(SEARCH("수2",$H343)),ISNUMBER(SEARCH("수1.2",$H343))),1,"")</f>
        <v/>
      </c>
      <c r="Q343" s="319">
        <f>IF(OR(ISNUMBER(SEARCH("수3",$H343)),ISNUMBER(SEARCH("수1.3",$H343)),ISNUMBER(SEARCH("수2.3",$H343)),ISNUMBER(SEARCH("수1.2.3",$H343))),1,"")</f>
        <v/>
      </c>
      <c r="R343" s="319">
        <f>IF(ISNUMBER(SEARCH("목1",$H343)),1,"")</f>
        <v/>
      </c>
      <c r="S343" s="319">
        <f>IF(OR(ISNUMBER(SEARCH("목2",$H343)),ISNUMBER(SEARCH("목1.2",$H343))),1,"")</f>
        <v/>
      </c>
      <c r="T343" s="319">
        <f>IF(OR(ISNUMBER(SEARCH("목3",$H343)),ISNUMBER(SEARCH("목1.3",$H343)),ISNUMBER(SEARCH("목2.3",$H343)),ISNUMBER(SEARCH("목1.2.3",$H343))),1,"")</f>
        <v/>
      </c>
      <c r="U343" s="319">
        <f>IF(ISNUMBER(SEARCH("금1",$H343)),1,"")</f>
        <v/>
      </c>
      <c r="V343" s="319">
        <f>IF(OR(ISNUMBER(SEARCH("금2",$H343)),ISNUMBER(SEARCH("금1.2",$H343))),1,"")</f>
        <v/>
      </c>
      <c r="W343" s="319">
        <f>IF(OR(ISNUMBER(SEARCH("금3",$H343)),ISNUMBER(SEARCH("금1.3",$H343)),ISNUMBER(SEARCH("금2.3",$H343)),ISNUMBER(SEARCH("금1.2.3",$H343))),1,"")</f>
        <v/>
      </c>
      <c r="X343" s="319">
        <f>IF(ISNUMBER(SEARCH("토1",$H343)),1,"")</f>
        <v/>
      </c>
      <c r="Y343" s="319">
        <f>IF(OR(ISNUMBER(SEARCH("토2",$H343)),ISNUMBER(SEARCH("토1.2",$H343))),1,"")</f>
        <v/>
      </c>
      <c r="Z343" s="319">
        <f>IF(OR(ISNUMBER(SEARCH("토3",$H343)),ISNUMBER(SEARCH("토1.3",$H343)),ISNUMBER(SEARCH("토2.3",$H343)),ISNUMBER(SEARCH("토1.2.3",$H343))),1,"")</f>
        <v/>
      </c>
      <c r="AA343" s="319">
        <f>IF(ISNUMBER(SEARCH("일1",$H343)),1,"")</f>
        <v/>
      </c>
      <c r="AB343" s="319">
        <f>IF(OR(ISNUMBER(SEARCH("일2",$H343)),ISNUMBER(SEARCH("일1.2",$H343))),1,"")</f>
        <v/>
      </c>
      <c r="AC343" s="319">
        <f>IF(OR(ISNUMBER(SEARCH("일3",$H343)),ISNUMBER(SEARCH("일1.3",$H343)),ISNUMBER(SEARCH("일2.3",$H343)),ISNUMBER(SEARCH("일1.2.3",$H343))),1,"")</f>
        <v/>
      </c>
      <c r="AD343" s="319">
        <f>SUM(I343:AC343)</f>
        <v/>
      </c>
      <c r="AE343" s="323" t="n"/>
    </row>
    <row r="344" ht="24" customHeight="1">
      <c r="A344" s="168" t="n"/>
      <c r="B344" s="319" t="n"/>
      <c r="C344" s="319" t="n"/>
      <c r="D344" s="319" t="n"/>
      <c r="E344" s="341" t="n"/>
      <c r="F344" s="341" t="n"/>
      <c r="G344" s="342" t="n"/>
      <c r="H344" s="322" t="n"/>
      <c r="I344" s="319">
        <f>IF(ISNUMBER(SEARCH("월1",$H344)),1,"")</f>
        <v/>
      </c>
      <c r="J344" s="319">
        <f>IF(OR(ISNUMBER(SEARCH("월2",$H344)),ISNUMBER(SEARCH("월1.2",$H344))),1,"")</f>
        <v/>
      </c>
      <c r="K344" s="319">
        <f>IF(OR(ISNUMBER(SEARCH("월3",$H344)),ISNUMBER(SEARCH("월1.3",$H344)),ISNUMBER(SEARCH("월2.3",$H344)),ISNUMBER(SEARCH("월1.2.3",$H344))),1,"")</f>
        <v/>
      </c>
      <c r="L344" s="319">
        <f>IF(ISNUMBER(SEARCH("화1",$H344)),1,"")</f>
        <v/>
      </c>
      <c r="M344" s="319">
        <f>IF(OR(ISNUMBER(SEARCH("화2",$H344)),ISNUMBER(SEARCH("화1.2",$H344))),1,"")</f>
        <v/>
      </c>
      <c r="N344" s="319">
        <f>IF(OR(ISNUMBER(SEARCH("화3",$H344)),ISNUMBER(SEARCH("화1.3",$H344)),ISNUMBER(SEARCH("화2.3",$H344)),ISNUMBER(SEARCH("화1.2.3",$H344))),1,"")</f>
        <v/>
      </c>
      <c r="O344" s="319">
        <f>IF(ISNUMBER(SEARCH("수1",$H344)),1,"")</f>
        <v/>
      </c>
      <c r="P344" s="319">
        <f>IF(OR(ISNUMBER(SEARCH("수2",$H344)),ISNUMBER(SEARCH("수1.2",$H344))),1,"")</f>
        <v/>
      </c>
      <c r="Q344" s="319">
        <f>IF(OR(ISNUMBER(SEARCH("수3",$H344)),ISNUMBER(SEARCH("수1.3",$H344)),ISNUMBER(SEARCH("수2.3",$H344)),ISNUMBER(SEARCH("수1.2.3",$H344))),1,"")</f>
        <v/>
      </c>
      <c r="R344" s="319">
        <f>IF(ISNUMBER(SEARCH("목1",$H344)),1,"")</f>
        <v/>
      </c>
      <c r="S344" s="319">
        <f>IF(OR(ISNUMBER(SEARCH("목2",$H344)),ISNUMBER(SEARCH("목1.2",$H344))),1,"")</f>
        <v/>
      </c>
      <c r="T344" s="319">
        <f>IF(OR(ISNUMBER(SEARCH("목3",$H344)),ISNUMBER(SEARCH("목1.3",$H344)),ISNUMBER(SEARCH("목2.3",$H344)),ISNUMBER(SEARCH("목1.2.3",$H344))),1,"")</f>
        <v/>
      </c>
      <c r="U344" s="319">
        <f>IF(ISNUMBER(SEARCH("금1",$H344)),1,"")</f>
        <v/>
      </c>
      <c r="V344" s="319">
        <f>IF(OR(ISNUMBER(SEARCH("금2",$H344)),ISNUMBER(SEARCH("금1.2",$H344))),1,"")</f>
        <v/>
      </c>
      <c r="W344" s="319">
        <f>IF(OR(ISNUMBER(SEARCH("금3",$H344)),ISNUMBER(SEARCH("금1.3",$H344)),ISNUMBER(SEARCH("금2.3",$H344)),ISNUMBER(SEARCH("금1.2.3",$H344))),1,"")</f>
        <v/>
      </c>
      <c r="X344" s="319">
        <f>IF(ISNUMBER(SEARCH("토1",$H344)),1,"")</f>
        <v/>
      </c>
      <c r="Y344" s="319">
        <f>IF(OR(ISNUMBER(SEARCH("토2",$H344)),ISNUMBER(SEARCH("토1.2",$H344))),1,"")</f>
        <v/>
      </c>
      <c r="Z344" s="319">
        <f>IF(OR(ISNUMBER(SEARCH("토3",$H344)),ISNUMBER(SEARCH("토1.3",$H344)),ISNUMBER(SEARCH("토2.3",$H344)),ISNUMBER(SEARCH("토1.2.3",$H344))),1,"")</f>
        <v/>
      </c>
      <c r="AA344" s="319">
        <f>IF(ISNUMBER(SEARCH("일1",$H344)),1,"")</f>
        <v/>
      </c>
      <c r="AB344" s="319">
        <f>IF(OR(ISNUMBER(SEARCH("일2",$H344)),ISNUMBER(SEARCH("일1.2",$H344))),1,"")</f>
        <v/>
      </c>
      <c r="AC344" s="319">
        <f>IF(OR(ISNUMBER(SEARCH("일3",$H344)),ISNUMBER(SEARCH("일1.3",$H344)),ISNUMBER(SEARCH("일2.3",$H344)),ISNUMBER(SEARCH("일1.2.3",$H344))),1,"")</f>
        <v/>
      </c>
      <c r="AD344" s="319">
        <f>SUM(I344:AC344)</f>
        <v/>
      </c>
      <c r="AE344" s="323" t="n"/>
    </row>
    <row r="345" ht="24" customHeight="1">
      <c r="A345" s="168" t="n"/>
      <c r="B345" s="319" t="n"/>
      <c r="C345" s="319" t="n"/>
      <c r="D345" s="319" t="n"/>
      <c r="E345" s="341" t="n"/>
      <c r="F345" s="341" t="n"/>
      <c r="G345" s="342" t="n"/>
      <c r="H345" s="322" t="n"/>
      <c r="I345" s="319">
        <f>IF(ISNUMBER(SEARCH("월1",$H345)),1,"")</f>
        <v/>
      </c>
      <c r="J345" s="319">
        <f>IF(OR(ISNUMBER(SEARCH("월2",$H345)),ISNUMBER(SEARCH("월1.2",$H345))),1,"")</f>
        <v/>
      </c>
      <c r="K345" s="319">
        <f>IF(OR(ISNUMBER(SEARCH("월3",$H345)),ISNUMBER(SEARCH("월1.3",$H345)),ISNUMBER(SEARCH("월2.3",$H345)),ISNUMBER(SEARCH("월1.2.3",$H345))),1,"")</f>
        <v/>
      </c>
      <c r="L345" s="319">
        <f>IF(ISNUMBER(SEARCH("화1",$H345)),1,"")</f>
        <v/>
      </c>
      <c r="M345" s="319">
        <f>IF(OR(ISNUMBER(SEARCH("화2",$H345)),ISNUMBER(SEARCH("화1.2",$H345))),1,"")</f>
        <v/>
      </c>
      <c r="N345" s="319">
        <f>IF(OR(ISNUMBER(SEARCH("화3",$H345)),ISNUMBER(SEARCH("화1.3",$H345)),ISNUMBER(SEARCH("화2.3",$H345)),ISNUMBER(SEARCH("화1.2.3",$H345))),1,"")</f>
        <v/>
      </c>
      <c r="O345" s="319">
        <f>IF(ISNUMBER(SEARCH("수1",$H345)),1,"")</f>
        <v/>
      </c>
      <c r="P345" s="319">
        <f>IF(OR(ISNUMBER(SEARCH("수2",$H345)),ISNUMBER(SEARCH("수1.2",$H345))),1,"")</f>
        <v/>
      </c>
      <c r="Q345" s="319">
        <f>IF(OR(ISNUMBER(SEARCH("수3",$H345)),ISNUMBER(SEARCH("수1.3",$H345)),ISNUMBER(SEARCH("수2.3",$H345)),ISNUMBER(SEARCH("수1.2.3",$H345))),1,"")</f>
        <v/>
      </c>
      <c r="R345" s="319">
        <f>IF(ISNUMBER(SEARCH("목1",$H345)),1,"")</f>
        <v/>
      </c>
      <c r="S345" s="319">
        <f>IF(OR(ISNUMBER(SEARCH("목2",$H345)),ISNUMBER(SEARCH("목1.2",$H345))),1,"")</f>
        <v/>
      </c>
      <c r="T345" s="319">
        <f>IF(OR(ISNUMBER(SEARCH("목3",$H345)),ISNUMBER(SEARCH("목1.3",$H345)),ISNUMBER(SEARCH("목2.3",$H345)),ISNUMBER(SEARCH("목1.2.3",$H345))),1,"")</f>
        <v/>
      </c>
      <c r="U345" s="319">
        <f>IF(ISNUMBER(SEARCH("금1",$H345)),1,"")</f>
        <v/>
      </c>
      <c r="V345" s="319">
        <f>IF(OR(ISNUMBER(SEARCH("금2",$H345)),ISNUMBER(SEARCH("금1.2",$H345))),1,"")</f>
        <v/>
      </c>
      <c r="W345" s="319">
        <f>IF(OR(ISNUMBER(SEARCH("금3",$H345)),ISNUMBER(SEARCH("금1.3",$H345)),ISNUMBER(SEARCH("금2.3",$H345)),ISNUMBER(SEARCH("금1.2.3",$H345))),1,"")</f>
        <v/>
      </c>
      <c r="X345" s="319">
        <f>IF(ISNUMBER(SEARCH("토1",$H345)),1,"")</f>
        <v/>
      </c>
      <c r="Y345" s="319">
        <f>IF(OR(ISNUMBER(SEARCH("토2",$H345)),ISNUMBER(SEARCH("토1.2",$H345))),1,"")</f>
        <v/>
      </c>
      <c r="Z345" s="319">
        <f>IF(OR(ISNUMBER(SEARCH("토3",$H345)),ISNUMBER(SEARCH("토1.3",$H345)),ISNUMBER(SEARCH("토2.3",$H345)),ISNUMBER(SEARCH("토1.2.3",$H345))),1,"")</f>
        <v/>
      </c>
      <c r="AA345" s="319">
        <f>IF(ISNUMBER(SEARCH("일1",$H345)),1,"")</f>
        <v/>
      </c>
      <c r="AB345" s="319">
        <f>IF(OR(ISNUMBER(SEARCH("일2",$H345)),ISNUMBER(SEARCH("일1.2",$H345))),1,"")</f>
        <v/>
      </c>
      <c r="AC345" s="319">
        <f>IF(OR(ISNUMBER(SEARCH("일3",$H345)),ISNUMBER(SEARCH("일1.3",$H345)),ISNUMBER(SEARCH("일2.3",$H345)),ISNUMBER(SEARCH("일1.2.3",$H345))),1,"")</f>
        <v/>
      </c>
      <c r="AD345" s="319">
        <f>SUM(I345:AC345)</f>
        <v/>
      </c>
      <c r="AE345" s="323" t="n"/>
    </row>
    <row r="346" ht="24" customHeight="1">
      <c r="A346" s="168" t="n"/>
      <c r="B346" s="319" t="n"/>
      <c r="C346" s="319" t="n"/>
      <c r="D346" s="319" t="n"/>
      <c r="E346" s="341" t="n"/>
      <c r="F346" s="341" t="n"/>
      <c r="G346" s="342" t="n"/>
      <c r="H346" s="322" t="n"/>
      <c r="I346" s="319">
        <f>IF(ISNUMBER(SEARCH("월1",$H346)),1,"")</f>
        <v/>
      </c>
      <c r="J346" s="319">
        <f>IF(OR(ISNUMBER(SEARCH("월2",$H346)),ISNUMBER(SEARCH("월1.2",$H346))),1,"")</f>
        <v/>
      </c>
      <c r="K346" s="319">
        <f>IF(OR(ISNUMBER(SEARCH("월3",$H346)),ISNUMBER(SEARCH("월1.3",$H346)),ISNUMBER(SEARCH("월2.3",$H346)),ISNUMBER(SEARCH("월1.2.3",$H346))),1,"")</f>
        <v/>
      </c>
      <c r="L346" s="319">
        <f>IF(ISNUMBER(SEARCH("화1",$H346)),1,"")</f>
        <v/>
      </c>
      <c r="M346" s="319">
        <f>IF(OR(ISNUMBER(SEARCH("화2",$H346)),ISNUMBER(SEARCH("화1.2",$H346))),1,"")</f>
        <v/>
      </c>
      <c r="N346" s="319">
        <f>IF(OR(ISNUMBER(SEARCH("화3",$H346)),ISNUMBER(SEARCH("화1.3",$H346)),ISNUMBER(SEARCH("화2.3",$H346)),ISNUMBER(SEARCH("화1.2.3",$H346))),1,"")</f>
        <v/>
      </c>
      <c r="O346" s="319">
        <f>IF(ISNUMBER(SEARCH("수1",$H346)),1,"")</f>
        <v/>
      </c>
      <c r="P346" s="319">
        <f>IF(OR(ISNUMBER(SEARCH("수2",$H346)),ISNUMBER(SEARCH("수1.2",$H346))),1,"")</f>
        <v/>
      </c>
      <c r="Q346" s="319">
        <f>IF(OR(ISNUMBER(SEARCH("수3",$H346)),ISNUMBER(SEARCH("수1.3",$H346)),ISNUMBER(SEARCH("수2.3",$H346)),ISNUMBER(SEARCH("수1.2.3",$H346))),1,"")</f>
        <v/>
      </c>
      <c r="R346" s="319">
        <f>IF(ISNUMBER(SEARCH("목1",$H346)),1,"")</f>
        <v/>
      </c>
      <c r="S346" s="319">
        <f>IF(OR(ISNUMBER(SEARCH("목2",$H346)),ISNUMBER(SEARCH("목1.2",$H346))),1,"")</f>
        <v/>
      </c>
      <c r="T346" s="319">
        <f>IF(OR(ISNUMBER(SEARCH("목3",$H346)),ISNUMBER(SEARCH("목1.3",$H346)),ISNUMBER(SEARCH("목2.3",$H346)),ISNUMBER(SEARCH("목1.2.3",$H346))),1,"")</f>
        <v/>
      </c>
      <c r="U346" s="319">
        <f>IF(ISNUMBER(SEARCH("금1",$H346)),1,"")</f>
        <v/>
      </c>
      <c r="V346" s="319">
        <f>IF(OR(ISNUMBER(SEARCH("금2",$H346)),ISNUMBER(SEARCH("금1.2",$H346))),1,"")</f>
        <v/>
      </c>
      <c r="W346" s="319">
        <f>IF(OR(ISNUMBER(SEARCH("금3",$H346)),ISNUMBER(SEARCH("금1.3",$H346)),ISNUMBER(SEARCH("금2.3",$H346)),ISNUMBER(SEARCH("금1.2.3",$H346))),1,"")</f>
        <v/>
      </c>
      <c r="X346" s="319">
        <f>IF(ISNUMBER(SEARCH("토1",$H346)),1,"")</f>
        <v/>
      </c>
      <c r="Y346" s="319">
        <f>IF(OR(ISNUMBER(SEARCH("토2",$H346)),ISNUMBER(SEARCH("토1.2",$H346))),1,"")</f>
        <v/>
      </c>
      <c r="Z346" s="319">
        <f>IF(OR(ISNUMBER(SEARCH("토3",$H346)),ISNUMBER(SEARCH("토1.3",$H346)),ISNUMBER(SEARCH("토2.3",$H346)),ISNUMBER(SEARCH("토1.2.3",$H346))),1,"")</f>
        <v/>
      </c>
      <c r="AA346" s="319">
        <f>IF(ISNUMBER(SEARCH("일1",$H346)),1,"")</f>
        <v/>
      </c>
      <c r="AB346" s="319">
        <f>IF(OR(ISNUMBER(SEARCH("일2",$H346)),ISNUMBER(SEARCH("일1.2",$H346))),1,"")</f>
        <v/>
      </c>
      <c r="AC346" s="319">
        <f>IF(OR(ISNUMBER(SEARCH("일3",$H346)),ISNUMBER(SEARCH("일1.3",$H346)),ISNUMBER(SEARCH("일2.3",$H346)),ISNUMBER(SEARCH("일1.2.3",$H346))),1,"")</f>
        <v/>
      </c>
      <c r="AD346" s="319">
        <f>SUM(I346:AC346)</f>
        <v/>
      </c>
      <c r="AE346" s="323" t="n"/>
    </row>
    <row r="347" ht="24" customHeight="1">
      <c r="A347" s="168" t="n"/>
      <c r="B347" s="319" t="n"/>
      <c r="C347" s="319" t="n"/>
      <c r="D347" s="319" t="n"/>
      <c r="E347" s="341" t="n"/>
      <c r="F347" s="341" t="n"/>
      <c r="G347" s="342" t="n"/>
      <c r="H347" s="322" t="n"/>
      <c r="I347" s="319">
        <f>IF(ISNUMBER(SEARCH("월1",$H347)),1,"")</f>
        <v/>
      </c>
      <c r="J347" s="319">
        <f>IF(OR(ISNUMBER(SEARCH("월2",$H347)),ISNUMBER(SEARCH("월1.2",$H347))),1,"")</f>
        <v/>
      </c>
      <c r="K347" s="319">
        <f>IF(OR(ISNUMBER(SEARCH("월3",$H347)),ISNUMBER(SEARCH("월1.3",$H347)),ISNUMBER(SEARCH("월2.3",$H347)),ISNUMBER(SEARCH("월1.2.3",$H347))),1,"")</f>
        <v/>
      </c>
      <c r="L347" s="319">
        <f>IF(ISNUMBER(SEARCH("화1",$H347)),1,"")</f>
        <v/>
      </c>
      <c r="M347" s="319">
        <f>IF(OR(ISNUMBER(SEARCH("화2",$H347)),ISNUMBER(SEARCH("화1.2",$H347))),1,"")</f>
        <v/>
      </c>
      <c r="N347" s="319">
        <f>IF(OR(ISNUMBER(SEARCH("화3",$H347)),ISNUMBER(SEARCH("화1.3",$H347)),ISNUMBER(SEARCH("화2.3",$H347)),ISNUMBER(SEARCH("화1.2.3",$H347))),1,"")</f>
        <v/>
      </c>
      <c r="O347" s="319">
        <f>IF(ISNUMBER(SEARCH("수1",$H347)),1,"")</f>
        <v/>
      </c>
      <c r="P347" s="319">
        <f>IF(OR(ISNUMBER(SEARCH("수2",$H347)),ISNUMBER(SEARCH("수1.2",$H347))),1,"")</f>
        <v/>
      </c>
      <c r="Q347" s="319">
        <f>IF(OR(ISNUMBER(SEARCH("수3",$H347)),ISNUMBER(SEARCH("수1.3",$H347)),ISNUMBER(SEARCH("수2.3",$H347)),ISNUMBER(SEARCH("수1.2.3",$H347))),1,"")</f>
        <v/>
      </c>
      <c r="R347" s="319">
        <f>IF(ISNUMBER(SEARCH("목1",$H347)),1,"")</f>
        <v/>
      </c>
      <c r="S347" s="319">
        <f>IF(OR(ISNUMBER(SEARCH("목2",$H347)),ISNUMBER(SEARCH("목1.2",$H347))),1,"")</f>
        <v/>
      </c>
      <c r="T347" s="319">
        <f>IF(OR(ISNUMBER(SEARCH("목3",$H347)),ISNUMBER(SEARCH("목1.3",$H347)),ISNUMBER(SEARCH("목2.3",$H347)),ISNUMBER(SEARCH("목1.2.3",$H347))),1,"")</f>
        <v/>
      </c>
      <c r="U347" s="319">
        <f>IF(ISNUMBER(SEARCH("금1",$H347)),1,"")</f>
        <v/>
      </c>
      <c r="V347" s="319">
        <f>IF(OR(ISNUMBER(SEARCH("금2",$H347)),ISNUMBER(SEARCH("금1.2",$H347))),1,"")</f>
        <v/>
      </c>
      <c r="W347" s="319">
        <f>IF(OR(ISNUMBER(SEARCH("금3",$H347)),ISNUMBER(SEARCH("금1.3",$H347)),ISNUMBER(SEARCH("금2.3",$H347)),ISNUMBER(SEARCH("금1.2.3",$H347))),1,"")</f>
        <v/>
      </c>
      <c r="X347" s="319">
        <f>IF(ISNUMBER(SEARCH("토1",$H347)),1,"")</f>
        <v/>
      </c>
      <c r="Y347" s="319">
        <f>IF(OR(ISNUMBER(SEARCH("토2",$H347)),ISNUMBER(SEARCH("토1.2",$H347))),1,"")</f>
        <v/>
      </c>
      <c r="Z347" s="319">
        <f>IF(OR(ISNUMBER(SEARCH("토3",$H347)),ISNUMBER(SEARCH("토1.3",$H347)),ISNUMBER(SEARCH("토2.3",$H347)),ISNUMBER(SEARCH("토1.2.3",$H347))),1,"")</f>
        <v/>
      </c>
      <c r="AA347" s="319">
        <f>IF(ISNUMBER(SEARCH("일1",$H347)),1,"")</f>
        <v/>
      </c>
      <c r="AB347" s="319">
        <f>IF(OR(ISNUMBER(SEARCH("일2",$H347)),ISNUMBER(SEARCH("일1.2",$H347))),1,"")</f>
        <v/>
      </c>
      <c r="AC347" s="319">
        <f>IF(OR(ISNUMBER(SEARCH("일3",$H347)),ISNUMBER(SEARCH("일1.3",$H347)),ISNUMBER(SEARCH("일2.3",$H347)),ISNUMBER(SEARCH("일1.2.3",$H347))),1,"")</f>
        <v/>
      </c>
      <c r="AD347" s="319">
        <f>SUM(I347:AC347)</f>
        <v/>
      </c>
      <c r="AE347" s="323" t="n"/>
    </row>
    <row r="348" ht="24" customHeight="1">
      <c r="A348" s="168" t="n"/>
      <c r="B348" s="319" t="n"/>
      <c r="C348" s="319" t="n"/>
      <c r="D348" s="319" t="n"/>
      <c r="E348" s="341" t="n"/>
      <c r="F348" s="341" t="n"/>
      <c r="G348" s="342" t="n"/>
      <c r="H348" s="322" t="n"/>
      <c r="I348" s="319">
        <f>IF(ISNUMBER(SEARCH("월1",$H348)),1,"")</f>
        <v/>
      </c>
      <c r="J348" s="319">
        <f>IF(OR(ISNUMBER(SEARCH("월2",$H348)),ISNUMBER(SEARCH("월1.2",$H348))),1,"")</f>
        <v/>
      </c>
      <c r="K348" s="319">
        <f>IF(OR(ISNUMBER(SEARCH("월3",$H348)),ISNUMBER(SEARCH("월1.3",$H348)),ISNUMBER(SEARCH("월2.3",$H348)),ISNUMBER(SEARCH("월1.2.3",$H348))),1,"")</f>
        <v/>
      </c>
      <c r="L348" s="319">
        <f>IF(ISNUMBER(SEARCH("화1",$H348)),1,"")</f>
        <v/>
      </c>
      <c r="M348" s="319">
        <f>IF(OR(ISNUMBER(SEARCH("화2",$H348)),ISNUMBER(SEARCH("화1.2",$H348))),1,"")</f>
        <v/>
      </c>
      <c r="N348" s="319">
        <f>IF(OR(ISNUMBER(SEARCH("화3",$H348)),ISNUMBER(SEARCH("화1.3",$H348)),ISNUMBER(SEARCH("화2.3",$H348)),ISNUMBER(SEARCH("화1.2.3",$H348))),1,"")</f>
        <v/>
      </c>
      <c r="O348" s="319">
        <f>IF(ISNUMBER(SEARCH("수1",$H348)),1,"")</f>
        <v/>
      </c>
      <c r="P348" s="319">
        <f>IF(OR(ISNUMBER(SEARCH("수2",$H348)),ISNUMBER(SEARCH("수1.2",$H348))),1,"")</f>
        <v/>
      </c>
      <c r="Q348" s="319">
        <f>IF(OR(ISNUMBER(SEARCH("수3",$H348)),ISNUMBER(SEARCH("수1.3",$H348)),ISNUMBER(SEARCH("수2.3",$H348)),ISNUMBER(SEARCH("수1.2.3",$H348))),1,"")</f>
        <v/>
      </c>
      <c r="R348" s="319">
        <f>IF(ISNUMBER(SEARCH("목1",$H348)),1,"")</f>
        <v/>
      </c>
      <c r="S348" s="319">
        <f>IF(OR(ISNUMBER(SEARCH("목2",$H348)),ISNUMBER(SEARCH("목1.2",$H348))),1,"")</f>
        <v/>
      </c>
      <c r="T348" s="319">
        <f>IF(OR(ISNUMBER(SEARCH("목3",$H348)),ISNUMBER(SEARCH("목1.3",$H348)),ISNUMBER(SEARCH("목2.3",$H348)),ISNUMBER(SEARCH("목1.2.3",$H348))),1,"")</f>
        <v/>
      </c>
      <c r="U348" s="319">
        <f>IF(ISNUMBER(SEARCH("금1",$H348)),1,"")</f>
        <v/>
      </c>
      <c r="V348" s="319">
        <f>IF(OR(ISNUMBER(SEARCH("금2",$H348)),ISNUMBER(SEARCH("금1.2",$H348))),1,"")</f>
        <v/>
      </c>
      <c r="W348" s="319">
        <f>IF(OR(ISNUMBER(SEARCH("금3",$H348)),ISNUMBER(SEARCH("금1.3",$H348)),ISNUMBER(SEARCH("금2.3",$H348)),ISNUMBER(SEARCH("금1.2.3",$H348))),1,"")</f>
        <v/>
      </c>
      <c r="X348" s="319">
        <f>IF(ISNUMBER(SEARCH("토1",$H348)),1,"")</f>
        <v/>
      </c>
      <c r="Y348" s="319">
        <f>IF(OR(ISNUMBER(SEARCH("토2",$H348)),ISNUMBER(SEARCH("토1.2",$H348))),1,"")</f>
        <v/>
      </c>
      <c r="Z348" s="319">
        <f>IF(OR(ISNUMBER(SEARCH("토3",$H348)),ISNUMBER(SEARCH("토1.3",$H348)),ISNUMBER(SEARCH("토2.3",$H348)),ISNUMBER(SEARCH("토1.2.3",$H348))),1,"")</f>
        <v/>
      </c>
      <c r="AA348" s="319">
        <f>IF(ISNUMBER(SEARCH("일1",$H348)),1,"")</f>
        <v/>
      </c>
      <c r="AB348" s="319">
        <f>IF(OR(ISNUMBER(SEARCH("일2",$H348)),ISNUMBER(SEARCH("일1.2",$H348))),1,"")</f>
        <v/>
      </c>
      <c r="AC348" s="319">
        <f>IF(OR(ISNUMBER(SEARCH("일3",$H348)),ISNUMBER(SEARCH("일1.3",$H348)),ISNUMBER(SEARCH("일2.3",$H348)),ISNUMBER(SEARCH("일1.2.3",$H348))),1,"")</f>
        <v/>
      </c>
      <c r="AD348" s="319">
        <f>SUM(I348:AC348)</f>
        <v/>
      </c>
      <c r="AE348" s="323" t="n"/>
    </row>
    <row r="349" ht="24" customHeight="1">
      <c r="A349" s="168" t="n"/>
      <c r="B349" s="319" t="n"/>
      <c r="C349" s="319" t="n"/>
      <c r="D349" s="319" t="n"/>
      <c r="E349" s="341" t="n"/>
      <c r="F349" s="341" t="n"/>
      <c r="G349" s="342" t="n"/>
      <c r="H349" s="322" t="n"/>
      <c r="I349" s="319">
        <f>IF(ISNUMBER(SEARCH("월1",$H349)),1,"")</f>
        <v/>
      </c>
      <c r="J349" s="319">
        <f>IF(OR(ISNUMBER(SEARCH("월2",$H349)),ISNUMBER(SEARCH("월1.2",$H349))),1,"")</f>
        <v/>
      </c>
      <c r="K349" s="319">
        <f>IF(OR(ISNUMBER(SEARCH("월3",$H349)),ISNUMBER(SEARCH("월1.3",$H349)),ISNUMBER(SEARCH("월2.3",$H349)),ISNUMBER(SEARCH("월1.2.3",$H349))),1,"")</f>
        <v/>
      </c>
      <c r="L349" s="319">
        <f>IF(ISNUMBER(SEARCH("화1",$H349)),1,"")</f>
        <v/>
      </c>
      <c r="M349" s="319">
        <f>IF(OR(ISNUMBER(SEARCH("화2",$H349)),ISNUMBER(SEARCH("화1.2",$H349))),1,"")</f>
        <v/>
      </c>
      <c r="N349" s="319">
        <f>IF(OR(ISNUMBER(SEARCH("화3",$H349)),ISNUMBER(SEARCH("화1.3",$H349)),ISNUMBER(SEARCH("화2.3",$H349)),ISNUMBER(SEARCH("화1.2.3",$H349))),1,"")</f>
        <v/>
      </c>
      <c r="O349" s="319">
        <f>IF(ISNUMBER(SEARCH("수1",$H349)),1,"")</f>
        <v/>
      </c>
      <c r="P349" s="319">
        <f>IF(OR(ISNUMBER(SEARCH("수2",$H349)),ISNUMBER(SEARCH("수1.2",$H349))),1,"")</f>
        <v/>
      </c>
      <c r="Q349" s="319">
        <f>IF(OR(ISNUMBER(SEARCH("수3",$H349)),ISNUMBER(SEARCH("수1.3",$H349)),ISNUMBER(SEARCH("수2.3",$H349)),ISNUMBER(SEARCH("수1.2.3",$H349))),1,"")</f>
        <v/>
      </c>
      <c r="R349" s="319">
        <f>IF(ISNUMBER(SEARCH("목1",$H349)),1,"")</f>
        <v/>
      </c>
      <c r="S349" s="319">
        <f>IF(OR(ISNUMBER(SEARCH("목2",$H349)),ISNUMBER(SEARCH("목1.2",$H349))),1,"")</f>
        <v/>
      </c>
      <c r="T349" s="319">
        <f>IF(OR(ISNUMBER(SEARCH("목3",$H349)),ISNUMBER(SEARCH("목1.3",$H349)),ISNUMBER(SEARCH("목2.3",$H349)),ISNUMBER(SEARCH("목1.2.3",$H349))),1,"")</f>
        <v/>
      </c>
      <c r="U349" s="319">
        <f>IF(ISNUMBER(SEARCH("금1",$H349)),1,"")</f>
        <v/>
      </c>
      <c r="V349" s="319">
        <f>IF(OR(ISNUMBER(SEARCH("금2",$H349)),ISNUMBER(SEARCH("금1.2",$H349))),1,"")</f>
        <v/>
      </c>
      <c r="W349" s="319">
        <f>IF(OR(ISNUMBER(SEARCH("금3",$H349)),ISNUMBER(SEARCH("금1.3",$H349)),ISNUMBER(SEARCH("금2.3",$H349)),ISNUMBER(SEARCH("금1.2.3",$H349))),1,"")</f>
        <v/>
      </c>
      <c r="X349" s="319">
        <f>IF(ISNUMBER(SEARCH("토1",$H349)),1,"")</f>
        <v/>
      </c>
      <c r="Y349" s="319">
        <f>IF(OR(ISNUMBER(SEARCH("토2",$H349)),ISNUMBER(SEARCH("토1.2",$H349))),1,"")</f>
        <v/>
      </c>
      <c r="Z349" s="319">
        <f>IF(OR(ISNUMBER(SEARCH("토3",$H349)),ISNUMBER(SEARCH("토1.3",$H349)),ISNUMBER(SEARCH("토2.3",$H349)),ISNUMBER(SEARCH("토1.2.3",$H349))),1,"")</f>
        <v/>
      </c>
      <c r="AA349" s="319">
        <f>IF(ISNUMBER(SEARCH("일1",$H349)),1,"")</f>
        <v/>
      </c>
      <c r="AB349" s="319">
        <f>IF(OR(ISNUMBER(SEARCH("일2",$H349)),ISNUMBER(SEARCH("일1.2",$H349))),1,"")</f>
        <v/>
      </c>
      <c r="AC349" s="319">
        <f>IF(OR(ISNUMBER(SEARCH("일3",$H349)),ISNUMBER(SEARCH("일1.3",$H349)),ISNUMBER(SEARCH("일2.3",$H349)),ISNUMBER(SEARCH("일1.2.3",$H349))),1,"")</f>
        <v/>
      </c>
      <c r="AD349" s="319">
        <f>SUM(I349:AC349)</f>
        <v/>
      </c>
      <c r="AE349" s="323" t="n"/>
    </row>
    <row r="350" ht="24" customHeight="1">
      <c r="A350" s="168" t="n"/>
      <c r="B350" s="319" t="n"/>
      <c r="C350" s="319" t="n"/>
      <c r="D350" s="319" t="n"/>
      <c r="E350" s="341" t="n"/>
      <c r="F350" s="341" t="n"/>
      <c r="G350" s="342" t="n"/>
      <c r="H350" s="322" t="n"/>
      <c r="I350" s="319">
        <f>IF(ISNUMBER(SEARCH("월1",$H350)),1,"")</f>
        <v/>
      </c>
      <c r="J350" s="319">
        <f>IF(OR(ISNUMBER(SEARCH("월2",$H350)),ISNUMBER(SEARCH("월1.2",$H350))),1,"")</f>
        <v/>
      </c>
      <c r="K350" s="319">
        <f>IF(OR(ISNUMBER(SEARCH("월3",$H350)),ISNUMBER(SEARCH("월1.3",$H350)),ISNUMBER(SEARCH("월2.3",$H350)),ISNUMBER(SEARCH("월1.2.3",$H350))),1,"")</f>
        <v/>
      </c>
      <c r="L350" s="319">
        <f>IF(ISNUMBER(SEARCH("화1",$H350)),1,"")</f>
        <v/>
      </c>
      <c r="M350" s="319">
        <f>IF(OR(ISNUMBER(SEARCH("화2",$H350)),ISNUMBER(SEARCH("화1.2",$H350))),1,"")</f>
        <v/>
      </c>
      <c r="N350" s="319">
        <f>IF(OR(ISNUMBER(SEARCH("화3",$H350)),ISNUMBER(SEARCH("화1.3",$H350)),ISNUMBER(SEARCH("화2.3",$H350)),ISNUMBER(SEARCH("화1.2.3",$H350))),1,"")</f>
        <v/>
      </c>
      <c r="O350" s="319">
        <f>IF(ISNUMBER(SEARCH("수1",$H350)),1,"")</f>
        <v/>
      </c>
      <c r="P350" s="319">
        <f>IF(OR(ISNUMBER(SEARCH("수2",$H350)),ISNUMBER(SEARCH("수1.2",$H350))),1,"")</f>
        <v/>
      </c>
      <c r="Q350" s="319">
        <f>IF(OR(ISNUMBER(SEARCH("수3",$H350)),ISNUMBER(SEARCH("수1.3",$H350)),ISNUMBER(SEARCH("수2.3",$H350)),ISNUMBER(SEARCH("수1.2.3",$H350))),1,"")</f>
        <v/>
      </c>
      <c r="R350" s="319">
        <f>IF(ISNUMBER(SEARCH("목1",$H350)),1,"")</f>
        <v/>
      </c>
      <c r="S350" s="319">
        <f>IF(OR(ISNUMBER(SEARCH("목2",$H350)),ISNUMBER(SEARCH("목1.2",$H350))),1,"")</f>
        <v/>
      </c>
      <c r="T350" s="319">
        <f>IF(OR(ISNUMBER(SEARCH("목3",$H350)),ISNUMBER(SEARCH("목1.3",$H350)),ISNUMBER(SEARCH("목2.3",$H350)),ISNUMBER(SEARCH("목1.2.3",$H350))),1,"")</f>
        <v/>
      </c>
      <c r="U350" s="319">
        <f>IF(ISNUMBER(SEARCH("금1",$H350)),1,"")</f>
        <v/>
      </c>
      <c r="V350" s="319">
        <f>IF(OR(ISNUMBER(SEARCH("금2",$H350)),ISNUMBER(SEARCH("금1.2",$H350))),1,"")</f>
        <v/>
      </c>
      <c r="W350" s="319">
        <f>IF(OR(ISNUMBER(SEARCH("금3",$H350)),ISNUMBER(SEARCH("금1.3",$H350)),ISNUMBER(SEARCH("금2.3",$H350)),ISNUMBER(SEARCH("금1.2.3",$H350))),1,"")</f>
        <v/>
      </c>
      <c r="X350" s="319">
        <f>IF(ISNUMBER(SEARCH("토1",$H350)),1,"")</f>
        <v/>
      </c>
      <c r="Y350" s="319">
        <f>IF(OR(ISNUMBER(SEARCH("토2",$H350)),ISNUMBER(SEARCH("토1.2",$H350))),1,"")</f>
        <v/>
      </c>
      <c r="Z350" s="319">
        <f>IF(OR(ISNUMBER(SEARCH("토3",$H350)),ISNUMBER(SEARCH("토1.3",$H350)),ISNUMBER(SEARCH("토2.3",$H350)),ISNUMBER(SEARCH("토1.2.3",$H350))),1,"")</f>
        <v/>
      </c>
      <c r="AA350" s="319">
        <f>IF(ISNUMBER(SEARCH("일1",$H350)),1,"")</f>
        <v/>
      </c>
      <c r="AB350" s="319">
        <f>IF(OR(ISNUMBER(SEARCH("일2",$H350)),ISNUMBER(SEARCH("일1.2",$H350))),1,"")</f>
        <v/>
      </c>
      <c r="AC350" s="319">
        <f>IF(OR(ISNUMBER(SEARCH("일3",$H350)),ISNUMBER(SEARCH("일1.3",$H350)),ISNUMBER(SEARCH("일2.3",$H350)),ISNUMBER(SEARCH("일1.2.3",$H350))),1,"")</f>
        <v/>
      </c>
      <c r="AD350" s="319">
        <f>SUM(I350:AC350)</f>
        <v/>
      </c>
      <c r="AE350" s="323" t="n"/>
    </row>
    <row r="351" ht="24" customHeight="1">
      <c r="A351" s="168" t="n"/>
      <c r="B351" s="319" t="n"/>
      <c r="C351" s="319" t="n"/>
      <c r="D351" s="319" t="n"/>
      <c r="E351" s="341" t="n"/>
      <c r="F351" s="341" t="n"/>
      <c r="G351" s="342" t="n"/>
      <c r="H351" s="322" t="n"/>
      <c r="I351" s="319">
        <f>IF(ISNUMBER(SEARCH("월1",$H351)),1,"")</f>
        <v/>
      </c>
      <c r="J351" s="319">
        <f>IF(OR(ISNUMBER(SEARCH("월2",$H351)),ISNUMBER(SEARCH("월1.2",$H351))),1,"")</f>
        <v/>
      </c>
      <c r="K351" s="319">
        <f>IF(OR(ISNUMBER(SEARCH("월3",$H351)),ISNUMBER(SEARCH("월1.3",$H351)),ISNUMBER(SEARCH("월2.3",$H351)),ISNUMBER(SEARCH("월1.2.3",$H351))),1,"")</f>
        <v/>
      </c>
      <c r="L351" s="319">
        <f>IF(ISNUMBER(SEARCH("화1",$H351)),1,"")</f>
        <v/>
      </c>
      <c r="M351" s="319">
        <f>IF(OR(ISNUMBER(SEARCH("화2",$H351)),ISNUMBER(SEARCH("화1.2",$H351))),1,"")</f>
        <v/>
      </c>
      <c r="N351" s="319">
        <f>IF(OR(ISNUMBER(SEARCH("화3",$H351)),ISNUMBER(SEARCH("화1.3",$H351)),ISNUMBER(SEARCH("화2.3",$H351)),ISNUMBER(SEARCH("화1.2.3",$H351))),1,"")</f>
        <v/>
      </c>
      <c r="O351" s="319">
        <f>IF(ISNUMBER(SEARCH("수1",$H351)),1,"")</f>
        <v/>
      </c>
      <c r="P351" s="319">
        <f>IF(OR(ISNUMBER(SEARCH("수2",$H351)),ISNUMBER(SEARCH("수1.2",$H351))),1,"")</f>
        <v/>
      </c>
      <c r="Q351" s="319">
        <f>IF(OR(ISNUMBER(SEARCH("수3",$H351)),ISNUMBER(SEARCH("수1.3",$H351)),ISNUMBER(SEARCH("수2.3",$H351)),ISNUMBER(SEARCH("수1.2.3",$H351))),1,"")</f>
        <v/>
      </c>
      <c r="R351" s="319">
        <f>IF(ISNUMBER(SEARCH("목1",$H351)),1,"")</f>
        <v/>
      </c>
      <c r="S351" s="319">
        <f>IF(OR(ISNUMBER(SEARCH("목2",$H351)),ISNUMBER(SEARCH("목1.2",$H351))),1,"")</f>
        <v/>
      </c>
      <c r="T351" s="319">
        <f>IF(OR(ISNUMBER(SEARCH("목3",$H351)),ISNUMBER(SEARCH("목1.3",$H351)),ISNUMBER(SEARCH("목2.3",$H351)),ISNUMBER(SEARCH("목1.2.3",$H351))),1,"")</f>
        <v/>
      </c>
      <c r="U351" s="319">
        <f>IF(ISNUMBER(SEARCH("금1",$H351)),1,"")</f>
        <v/>
      </c>
      <c r="V351" s="319">
        <f>IF(OR(ISNUMBER(SEARCH("금2",$H351)),ISNUMBER(SEARCH("금1.2",$H351))),1,"")</f>
        <v/>
      </c>
      <c r="W351" s="319">
        <f>IF(OR(ISNUMBER(SEARCH("금3",$H351)),ISNUMBER(SEARCH("금1.3",$H351)),ISNUMBER(SEARCH("금2.3",$H351)),ISNUMBER(SEARCH("금1.2.3",$H351))),1,"")</f>
        <v/>
      </c>
      <c r="X351" s="319">
        <f>IF(ISNUMBER(SEARCH("토1",$H351)),1,"")</f>
        <v/>
      </c>
      <c r="Y351" s="319">
        <f>IF(OR(ISNUMBER(SEARCH("토2",$H351)),ISNUMBER(SEARCH("토1.2",$H351))),1,"")</f>
        <v/>
      </c>
      <c r="Z351" s="319">
        <f>IF(OR(ISNUMBER(SEARCH("토3",$H351)),ISNUMBER(SEARCH("토1.3",$H351)),ISNUMBER(SEARCH("토2.3",$H351)),ISNUMBER(SEARCH("토1.2.3",$H351))),1,"")</f>
        <v/>
      </c>
      <c r="AA351" s="319">
        <f>IF(ISNUMBER(SEARCH("일1",$H351)),1,"")</f>
        <v/>
      </c>
      <c r="AB351" s="319">
        <f>IF(OR(ISNUMBER(SEARCH("일2",$H351)),ISNUMBER(SEARCH("일1.2",$H351))),1,"")</f>
        <v/>
      </c>
      <c r="AC351" s="319">
        <f>IF(OR(ISNUMBER(SEARCH("일3",$H351)),ISNUMBER(SEARCH("일1.3",$H351)),ISNUMBER(SEARCH("일2.3",$H351)),ISNUMBER(SEARCH("일1.2.3",$H351))),1,"")</f>
        <v/>
      </c>
      <c r="AD351" s="319">
        <f>SUM(I351:AC351)</f>
        <v/>
      </c>
      <c r="AE351" s="323" t="n"/>
    </row>
    <row r="352" ht="24" customHeight="1">
      <c r="A352" s="168" t="n"/>
      <c r="B352" s="319" t="n"/>
      <c r="C352" s="319" t="n"/>
      <c r="D352" s="319" t="n"/>
      <c r="E352" s="341" t="n"/>
      <c r="F352" s="341" t="n"/>
      <c r="G352" s="342" t="n"/>
      <c r="H352" s="322" t="n"/>
      <c r="I352" s="319">
        <f>IF(ISNUMBER(SEARCH("월1",$H352)),1,"")</f>
        <v/>
      </c>
      <c r="J352" s="319">
        <f>IF(OR(ISNUMBER(SEARCH("월2",$H352)),ISNUMBER(SEARCH("월1.2",$H352))),1,"")</f>
        <v/>
      </c>
      <c r="K352" s="319">
        <f>IF(OR(ISNUMBER(SEARCH("월3",$H352)),ISNUMBER(SEARCH("월1.3",$H352)),ISNUMBER(SEARCH("월2.3",$H352)),ISNUMBER(SEARCH("월1.2.3",$H352))),1,"")</f>
        <v/>
      </c>
      <c r="L352" s="319">
        <f>IF(ISNUMBER(SEARCH("화1",$H352)),1,"")</f>
        <v/>
      </c>
      <c r="M352" s="319">
        <f>IF(OR(ISNUMBER(SEARCH("화2",$H352)),ISNUMBER(SEARCH("화1.2",$H352))),1,"")</f>
        <v/>
      </c>
      <c r="N352" s="319">
        <f>IF(OR(ISNUMBER(SEARCH("화3",$H352)),ISNUMBER(SEARCH("화1.3",$H352)),ISNUMBER(SEARCH("화2.3",$H352)),ISNUMBER(SEARCH("화1.2.3",$H352))),1,"")</f>
        <v/>
      </c>
      <c r="O352" s="319">
        <f>IF(ISNUMBER(SEARCH("수1",$H352)),1,"")</f>
        <v/>
      </c>
      <c r="P352" s="319">
        <f>IF(OR(ISNUMBER(SEARCH("수2",$H352)),ISNUMBER(SEARCH("수1.2",$H352))),1,"")</f>
        <v/>
      </c>
      <c r="Q352" s="319">
        <f>IF(OR(ISNUMBER(SEARCH("수3",$H352)),ISNUMBER(SEARCH("수1.3",$H352)),ISNUMBER(SEARCH("수2.3",$H352)),ISNUMBER(SEARCH("수1.2.3",$H352))),1,"")</f>
        <v/>
      </c>
      <c r="R352" s="319">
        <f>IF(ISNUMBER(SEARCH("목1",$H352)),1,"")</f>
        <v/>
      </c>
      <c r="S352" s="319">
        <f>IF(OR(ISNUMBER(SEARCH("목2",$H352)),ISNUMBER(SEARCH("목1.2",$H352))),1,"")</f>
        <v/>
      </c>
      <c r="T352" s="319">
        <f>IF(OR(ISNUMBER(SEARCH("목3",$H352)),ISNUMBER(SEARCH("목1.3",$H352)),ISNUMBER(SEARCH("목2.3",$H352)),ISNUMBER(SEARCH("목1.2.3",$H352))),1,"")</f>
        <v/>
      </c>
      <c r="U352" s="319">
        <f>IF(ISNUMBER(SEARCH("금1",$H352)),1,"")</f>
        <v/>
      </c>
      <c r="V352" s="319">
        <f>IF(OR(ISNUMBER(SEARCH("금2",$H352)),ISNUMBER(SEARCH("금1.2",$H352))),1,"")</f>
        <v/>
      </c>
      <c r="W352" s="319">
        <f>IF(OR(ISNUMBER(SEARCH("금3",$H352)),ISNUMBER(SEARCH("금1.3",$H352)),ISNUMBER(SEARCH("금2.3",$H352)),ISNUMBER(SEARCH("금1.2.3",$H352))),1,"")</f>
        <v/>
      </c>
      <c r="X352" s="319">
        <f>IF(ISNUMBER(SEARCH("토1",$H352)),1,"")</f>
        <v/>
      </c>
      <c r="Y352" s="319">
        <f>IF(OR(ISNUMBER(SEARCH("토2",$H352)),ISNUMBER(SEARCH("토1.2",$H352))),1,"")</f>
        <v/>
      </c>
      <c r="Z352" s="319">
        <f>IF(OR(ISNUMBER(SEARCH("토3",$H352)),ISNUMBER(SEARCH("토1.3",$H352)),ISNUMBER(SEARCH("토2.3",$H352)),ISNUMBER(SEARCH("토1.2.3",$H352))),1,"")</f>
        <v/>
      </c>
      <c r="AA352" s="319">
        <f>IF(ISNUMBER(SEARCH("일1",$H352)),1,"")</f>
        <v/>
      </c>
      <c r="AB352" s="319">
        <f>IF(OR(ISNUMBER(SEARCH("일2",$H352)),ISNUMBER(SEARCH("일1.2",$H352))),1,"")</f>
        <v/>
      </c>
      <c r="AC352" s="319">
        <f>IF(OR(ISNUMBER(SEARCH("일3",$H352)),ISNUMBER(SEARCH("일1.3",$H352)),ISNUMBER(SEARCH("일2.3",$H352)),ISNUMBER(SEARCH("일1.2.3",$H352))),1,"")</f>
        <v/>
      </c>
      <c r="AD352" s="319">
        <f>SUM(I352:AC352)</f>
        <v/>
      </c>
      <c r="AE352" s="323" t="n"/>
    </row>
    <row r="353" ht="24" customHeight="1">
      <c r="A353" s="168" t="n"/>
      <c r="B353" s="319" t="n"/>
      <c r="C353" s="319" t="n"/>
      <c r="D353" s="319" t="n"/>
      <c r="E353" s="341" t="n"/>
      <c r="F353" s="341" t="n"/>
      <c r="G353" s="342" t="n"/>
      <c r="H353" s="322" t="n"/>
      <c r="I353" s="319">
        <f>IF(ISNUMBER(SEARCH("월1",$H353)),1,"")</f>
        <v/>
      </c>
      <c r="J353" s="319">
        <f>IF(OR(ISNUMBER(SEARCH("월2",$H353)),ISNUMBER(SEARCH("월1.2",$H353))),1,"")</f>
        <v/>
      </c>
      <c r="K353" s="319">
        <f>IF(OR(ISNUMBER(SEARCH("월3",$H353)),ISNUMBER(SEARCH("월1.3",$H353)),ISNUMBER(SEARCH("월2.3",$H353)),ISNUMBER(SEARCH("월1.2.3",$H353))),1,"")</f>
        <v/>
      </c>
      <c r="L353" s="319">
        <f>IF(ISNUMBER(SEARCH("화1",$H353)),1,"")</f>
        <v/>
      </c>
      <c r="M353" s="319">
        <f>IF(OR(ISNUMBER(SEARCH("화2",$H353)),ISNUMBER(SEARCH("화1.2",$H353))),1,"")</f>
        <v/>
      </c>
      <c r="N353" s="319">
        <f>IF(OR(ISNUMBER(SEARCH("화3",$H353)),ISNUMBER(SEARCH("화1.3",$H353)),ISNUMBER(SEARCH("화2.3",$H353)),ISNUMBER(SEARCH("화1.2.3",$H353))),1,"")</f>
        <v/>
      </c>
      <c r="O353" s="319">
        <f>IF(ISNUMBER(SEARCH("수1",$H353)),1,"")</f>
        <v/>
      </c>
      <c r="P353" s="319">
        <f>IF(OR(ISNUMBER(SEARCH("수2",$H353)),ISNUMBER(SEARCH("수1.2",$H353))),1,"")</f>
        <v/>
      </c>
      <c r="Q353" s="319">
        <f>IF(OR(ISNUMBER(SEARCH("수3",$H353)),ISNUMBER(SEARCH("수1.3",$H353)),ISNUMBER(SEARCH("수2.3",$H353)),ISNUMBER(SEARCH("수1.2.3",$H353))),1,"")</f>
        <v/>
      </c>
      <c r="R353" s="319">
        <f>IF(ISNUMBER(SEARCH("목1",$H353)),1,"")</f>
        <v/>
      </c>
      <c r="S353" s="319">
        <f>IF(OR(ISNUMBER(SEARCH("목2",$H353)),ISNUMBER(SEARCH("목1.2",$H353))),1,"")</f>
        <v/>
      </c>
      <c r="T353" s="319">
        <f>IF(OR(ISNUMBER(SEARCH("목3",$H353)),ISNUMBER(SEARCH("목1.3",$H353)),ISNUMBER(SEARCH("목2.3",$H353)),ISNUMBER(SEARCH("목1.2.3",$H353))),1,"")</f>
        <v/>
      </c>
      <c r="U353" s="319">
        <f>IF(ISNUMBER(SEARCH("금1",$H353)),1,"")</f>
        <v/>
      </c>
      <c r="V353" s="319">
        <f>IF(OR(ISNUMBER(SEARCH("금2",$H353)),ISNUMBER(SEARCH("금1.2",$H353))),1,"")</f>
        <v/>
      </c>
      <c r="W353" s="319">
        <f>IF(OR(ISNUMBER(SEARCH("금3",$H353)),ISNUMBER(SEARCH("금1.3",$H353)),ISNUMBER(SEARCH("금2.3",$H353)),ISNUMBER(SEARCH("금1.2.3",$H353))),1,"")</f>
        <v/>
      </c>
      <c r="X353" s="319">
        <f>IF(ISNUMBER(SEARCH("토1",$H353)),1,"")</f>
        <v/>
      </c>
      <c r="Y353" s="319">
        <f>IF(OR(ISNUMBER(SEARCH("토2",$H353)),ISNUMBER(SEARCH("토1.2",$H353))),1,"")</f>
        <v/>
      </c>
      <c r="Z353" s="319">
        <f>IF(OR(ISNUMBER(SEARCH("토3",$H353)),ISNUMBER(SEARCH("토1.3",$H353)),ISNUMBER(SEARCH("토2.3",$H353)),ISNUMBER(SEARCH("토1.2.3",$H353))),1,"")</f>
        <v/>
      </c>
      <c r="AA353" s="319">
        <f>IF(ISNUMBER(SEARCH("일1",$H353)),1,"")</f>
        <v/>
      </c>
      <c r="AB353" s="319">
        <f>IF(OR(ISNUMBER(SEARCH("일2",$H353)),ISNUMBER(SEARCH("일1.2",$H353))),1,"")</f>
        <v/>
      </c>
      <c r="AC353" s="319">
        <f>IF(OR(ISNUMBER(SEARCH("일3",$H353)),ISNUMBER(SEARCH("일1.3",$H353)),ISNUMBER(SEARCH("일2.3",$H353)),ISNUMBER(SEARCH("일1.2.3",$H353))),1,"")</f>
        <v/>
      </c>
      <c r="AD353" s="319">
        <f>SUM(I353:AC353)</f>
        <v/>
      </c>
      <c r="AE353" s="323" t="n"/>
    </row>
    <row r="354" ht="24" customHeight="1">
      <c r="A354" s="168" t="n"/>
      <c r="B354" s="319" t="n"/>
      <c r="C354" s="319" t="n"/>
      <c r="D354" s="319" t="n"/>
      <c r="E354" s="341" t="n"/>
      <c r="F354" s="341" t="n"/>
      <c r="G354" s="342" t="n"/>
      <c r="H354" s="322" t="n"/>
      <c r="I354" s="319">
        <f>IF(ISNUMBER(SEARCH("월1",$H354)),1,"")</f>
        <v/>
      </c>
      <c r="J354" s="319">
        <f>IF(OR(ISNUMBER(SEARCH("월2",$H354)),ISNUMBER(SEARCH("월1.2",$H354))),1,"")</f>
        <v/>
      </c>
      <c r="K354" s="319">
        <f>IF(OR(ISNUMBER(SEARCH("월3",$H354)),ISNUMBER(SEARCH("월1.3",$H354)),ISNUMBER(SEARCH("월2.3",$H354)),ISNUMBER(SEARCH("월1.2.3",$H354))),1,"")</f>
        <v/>
      </c>
      <c r="L354" s="319">
        <f>IF(ISNUMBER(SEARCH("화1",$H354)),1,"")</f>
        <v/>
      </c>
      <c r="M354" s="319">
        <f>IF(OR(ISNUMBER(SEARCH("화2",$H354)),ISNUMBER(SEARCH("화1.2",$H354))),1,"")</f>
        <v/>
      </c>
      <c r="N354" s="319">
        <f>IF(OR(ISNUMBER(SEARCH("화3",$H354)),ISNUMBER(SEARCH("화1.3",$H354)),ISNUMBER(SEARCH("화2.3",$H354)),ISNUMBER(SEARCH("화1.2.3",$H354))),1,"")</f>
        <v/>
      </c>
      <c r="O354" s="319">
        <f>IF(ISNUMBER(SEARCH("수1",$H354)),1,"")</f>
        <v/>
      </c>
      <c r="P354" s="319">
        <f>IF(OR(ISNUMBER(SEARCH("수2",$H354)),ISNUMBER(SEARCH("수1.2",$H354))),1,"")</f>
        <v/>
      </c>
      <c r="Q354" s="319">
        <f>IF(OR(ISNUMBER(SEARCH("수3",$H354)),ISNUMBER(SEARCH("수1.3",$H354)),ISNUMBER(SEARCH("수2.3",$H354)),ISNUMBER(SEARCH("수1.2.3",$H354))),1,"")</f>
        <v/>
      </c>
      <c r="R354" s="319">
        <f>IF(ISNUMBER(SEARCH("목1",$H354)),1,"")</f>
        <v/>
      </c>
      <c r="S354" s="319">
        <f>IF(OR(ISNUMBER(SEARCH("목2",$H354)),ISNUMBER(SEARCH("목1.2",$H354))),1,"")</f>
        <v/>
      </c>
      <c r="T354" s="319">
        <f>IF(OR(ISNUMBER(SEARCH("목3",$H354)),ISNUMBER(SEARCH("목1.3",$H354)),ISNUMBER(SEARCH("목2.3",$H354)),ISNUMBER(SEARCH("목1.2.3",$H354))),1,"")</f>
        <v/>
      </c>
      <c r="U354" s="319">
        <f>IF(ISNUMBER(SEARCH("금1",$H354)),1,"")</f>
        <v/>
      </c>
      <c r="V354" s="319">
        <f>IF(OR(ISNUMBER(SEARCH("금2",$H354)),ISNUMBER(SEARCH("금1.2",$H354))),1,"")</f>
        <v/>
      </c>
      <c r="W354" s="319">
        <f>IF(OR(ISNUMBER(SEARCH("금3",$H354)),ISNUMBER(SEARCH("금1.3",$H354)),ISNUMBER(SEARCH("금2.3",$H354)),ISNUMBER(SEARCH("금1.2.3",$H354))),1,"")</f>
        <v/>
      </c>
      <c r="X354" s="319">
        <f>IF(ISNUMBER(SEARCH("토1",$H354)),1,"")</f>
        <v/>
      </c>
      <c r="Y354" s="319">
        <f>IF(OR(ISNUMBER(SEARCH("토2",$H354)),ISNUMBER(SEARCH("토1.2",$H354))),1,"")</f>
        <v/>
      </c>
      <c r="Z354" s="319">
        <f>IF(OR(ISNUMBER(SEARCH("토3",$H354)),ISNUMBER(SEARCH("토1.3",$H354)),ISNUMBER(SEARCH("토2.3",$H354)),ISNUMBER(SEARCH("토1.2.3",$H354))),1,"")</f>
        <v/>
      </c>
      <c r="AA354" s="319">
        <f>IF(ISNUMBER(SEARCH("일1",$H354)),1,"")</f>
        <v/>
      </c>
      <c r="AB354" s="319">
        <f>IF(OR(ISNUMBER(SEARCH("일2",$H354)),ISNUMBER(SEARCH("일1.2",$H354))),1,"")</f>
        <v/>
      </c>
      <c r="AC354" s="319">
        <f>IF(OR(ISNUMBER(SEARCH("일3",$H354)),ISNUMBER(SEARCH("일1.3",$H354)),ISNUMBER(SEARCH("일2.3",$H354)),ISNUMBER(SEARCH("일1.2.3",$H354))),1,"")</f>
        <v/>
      </c>
      <c r="AD354" s="319">
        <f>SUM(I354:AC354)</f>
        <v/>
      </c>
      <c r="AE354" s="323" t="n"/>
    </row>
    <row r="355" ht="24" customHeight="1">
      <c r="A355" s="168" t="n"/>
      <c r="B355" s="319" t="n"/>
      <c r="C355" s="319" t="n"/>
      <c r="D355" s="319" t="n"/>
      <c r="E355" s="341" t="n"/>
      <c r="F355" s="341" t="n"/>
      <c r="G355" s="342" t="n"/>
      <c r="H355" s="322" t="n"/>
      <c r="I355" s="319">
        <f>IF(ISNUMBER(SEARCH("월1",$H355)),1,"")</f>
        <v/>
      </c>
      <c r="J355" s="319">
        <f>IF(OR(ISNUMBER(SEARCH("월2",$H355)),ISNUMBER(SEARCH("월1.2",$H355))),1,"")</f>
        <v/>
      </c>
      <c r="K355" s="319">
        <f>IF(OR(ISNUMBER(SEARCH("월3",$H355)),ISNUMBER(SEARCH("월1.3",$H355)),ISNUMBER(SEARCH("월2.3",$H355)),ISNUMBER(SEARCH("월1.2.3",$H355))),1,"")</f>
        <v/>
      </c>
      <c r="L355" s="319">
        <f>IF(ISNUMBER(SEARCH("화1",$H355)),1,"")</f>
        <v/>
      </c>
      <c r="M355" s="319">
        <f>IF(OR(ISNUMBER(SEARCH("화2",$H355)),ISNUMBER(SEARCH("화1.2",$H355))),1,"")</f>
        <v/>
      </c>
      <c r="N355" s="319">
        <f>IF(OR(ISNUMBER(SEARCH("화3",$H355)),ISNUMBER(SEARCH("화1.3",$H355)),ISNUMBER(SEARCH("화2.3",$H355)),ISNUMBER(SEARCH("화1.2.3",$H355))),1,"")</f>
        <v/>
      </c>
      <c r="O355" s="319">
        <f>IF(ISNUMBER(SEARCH("수1",$H355)),1,"")</f>
        <v/>
      </c>
      <c r="P355" s="319">
        <f>IF(OR(ISNUMBER(SEARCH("수2",$H355)),ISNUMBER(SEARCH("수1.2",$H355))),1,"")</f>
        <v/>
      </c>
      <c r="Q355" s="319">
        <f>IF(OR(ISNUMBER(SEARCH("수3",$H355)),ISNUMBER(SEARCH("수1.3",$H355)),ISNUMBER(SEARCH("수2.3",$H355)),ISNUMBER(SEARCH("수1.2.3",$H355))),1,"")</f>
        <v/>
      </c>
      <c r="R355" s="319">
        <f>IF(ISNUMBER(SEARCH("목1",$H355)),1,"")</f>
        <v/>
      </c>
      <c r="S355" s="319">
        <f>IF(OR(ISNUMBER(SEARCH("목2",$H355)),ISNUMBER(SEARCH("목1.2",$H355))),1,"")</f>
        <v/>
      </c>
      <c r="T355" s="319">
        <f>IF(OR(ISNUMBER(SEARCH("목3",$H355)),ISNUMBER(SEARCH("목1.3",$H355)),ISNUMBER(SEARCH("목2.3",$H355)),ISNUMBER(SEARCH("목1.2.3",$H355))),1,"")</f>
        <v/>
      </c>
      <c r="U355" s="319">
        <f>IF(ISNUMBER(SEARCH("금1",$H355)),1,"")</f>
        <v/>
      </c>
      <c r="V355" s="319">
        <f>IF(OR(ISNUMBER(SEARCH("금2",$H355)),ISNUMBER(SEARCH("금1.2",$H355))),1,"")</f>
        <v/>
      </c>
      <c r="W355" s="319">
        <f>IF(OR(ISNUMBER(SEARCH("금3",$H355)),ISNUMBER(SEARCH("금1.3",$H355)),ISNUMBER(SEARCH("금2.3",$H355)),ISNUMBER(SEARCH("금1.2.3",$H355))),1,"")</f>
        <v/>
      </c>
      <c r="X355" s="319">
        <f>IF(ISNUMBER(SEARCH("토1",$H355)),1,"")</f>
        <v/>
      </c>
      <c r="Y355" s="319">
        <f>IF(OR(ISNUMBER(SEARCH("토2",$H355)),ISNUMBER(SEARCH("토1.2",$H355))),1,"")</f>
        <v/>
      </c>
      <c r="Z355" s="319">
        <f>IF(OR(ISNUMBER(SEARCH("토3",$H355)),ISNUMBER(SEARCH("토1.3",$H355)),ISNUMBER(SEARCH("토2.3",$H355)),ISNUMBER(SEARCH("토1.2.3",$H355))),1,"")</f>
        <v/>
      </c>
      <c r="AA355" s="319">
        <f>IF(ISNUMBER(SEARCH("일1",$H355)),1,"")</f>
        <v/>
      </c>
      <c r="AB355" s="319">
        <f>IF(OR(ISNUMBER(SEARCH("일2",$H355)),ISNUMBER(SEARCH("일1.2",$H355))),1,"")</f>
        <v/>
      </c>
      <c r="AC355" s="319">
        <f>IF(OR(ISNUMBER(SEARCH("일3",$H355)),ISNUMBER(SEARCH("일1.3",$H355)),ISNUMBER(SEARCH("일2.3",$H355)),ISNUMBER(SEARCH("일1.2.3",$H355))),1,"")</f>
        <v/>
      </c>
      <c r="AD355" s="319">
        <f>SUM(I355:AC355)</f>
        <v/>
      </c>
      <c r="AE355" s="323" t="n"/>
    </row>
    <row r="356" ht="24" customHeight="1">
      <c r="A356" s="168" t="n"/>
      <c r="B356" s="319" t="n"/>
      <c r="C356" s="319" t="n"/>
      <c r="D356" s="319" t="n"/>
      <c r="E356" s="341" t="n"/>
      <c r="F356" s="341" t="n"/>
      <c r="G356" s="342" t="n"/>
      <c r="H356" s="322" t="n"/>
      <c r="I356" s="319">
        <f>IF(ISNUMBER(SEARCH("월1",$H356)),1,"")</f>
        <v/>
      </c>
      <c r="J356" s="319">
        <f>IF(OR(ISNUMBER(SEARCH("월2",$H356)),ISNUMBER(SEARCH("월1.2",$H356))),1,"")</f>
        <v/>
      </c>
      <c r="K356" s="319">
        <f>IF(OR(ISNUMBER(SEARCH("월3",$H356)),ISNUMBER(SEARCH("월1.3",$H356)),ISNUMBER(SEARCH("월2.3",$H356)),ISNUMBER(SEARCH("월1.2.3",$H356))),1,"")</f>
        <v/>
      </c>
      <c r="L356" s="319">
        <f>IF(ISNUMBER(SEARCH("화1",$H356)),1,"")</f>
        <v/>
      </c>
      <c r="M356" s="319">
        <f>IF(OR(ISNUMBER(SEARCH("화2",$H356)),ISNUMBER(SEARCH("화1.2",$H356))),1,"")</f>
        <v/>
      </c>
      <c r="N356" s="319">
        <f>IF(OR(ISNUMBER(SEARCH("화3",$H356)),ISNUMBER(SEARCH("화1.3",$H356)),ISNUMBER(SEARCH("화2.3",$H356)),ISNUMBER(SEARCH("화1.2.3",$H356))),1,"")</f>
        <v/>
      </c>
      <c r="O356" s="319">
        <f>IF(ISNUMBER(SEARCH("수1",$H356)),1,"")</f>
        <v/>
      </c>
      <c r="P356" s="319">
        <f>IF(OR(ISNUMBER(SEARCH("수2",$H356)),ISNUMBER(SEARCH("수1.2",$H356))),1,"")</f>
        <v/>
      </c>
      <c r="Q356" s="319">
        <f>IF(OR(ISNUMBER(SEARCH("수3",$H356)),ISNUMBER(SEARCH("수1.3",$H356)),ISNUMBER(SEARCH("수2.3",$H356)),ISNUMBER(SEARCH("수1.2.3",$H356))),1,"")</f>
        <v/>
      </c>
      <c r="R356" s="319">
        <f>IF(ISNUMBER(SEARCH("목1",$H356)),1,"")</f>
        <v/>
      </c>
      <c r="S356" s="319">
        <f>IF(OR(ISNUMBER(SEARCH("목2",$H356)),ISNUMBER(SEARCH("목1.2",$H356))),1,"")</f>
        <v/>
      </c>
      <c r="T356" s="319">
        <f>IF(OR(ISNUMBER(SEARCH("목3",$H356)),ISNUMBER(SEARCH("목1.3",$H356)),ISNUMBER(SEARCH("목2.3",$H356)),ISNUMBER(SEARCH("목1.2.3",$H356))),1,"")</f>
        <v/>
      </c>
      <c r="U356" s="319">
        <f>IF(ISNUMBER(SEARCH("금1",$H356)),1,"")</f>
        <v/>
      </c>
      <c r="V356" s="319">
        <f>IF(OR(ISNUMBER(SEARCH("금2",$H356)),ISNUMBER(SEARCH("금1.2",$H356))),1,"")</f>
        <v/>
      </c>
      <c r="W356" s="319">
        <f>IF(OR(ISNUMBER(SEARCH("금3",$H356)),ISNUMBER(SEARCH("금1.3",$H356)),ISNUMBER(SEARCH("금2.3",$H356)),ISNUMBER(SEARCH("금1.2.3",$H356))),1,"")</f>
        <v/>
      </c>
      <c r="X356" s="319">
        <f>IF(ISNUMBER(SEARCH("토1",$H356)),1,"")</f>
        <v/>
      </c>
      <c r="Y356" s="319">
        <f>IF(OR(ISNUMBER(SEARCH("토2",$H356)),ISNUMBER(SEARCH("토1.2",$H356))),1,"")</f>
        <v/>
      </c>
      <c r="Z356" s="319">
        <f>IF(OR(ISNUMBER(SEARCH("토3",$H356)),ISNUMBER(SEARCH("토1.3",$H356)),ISNUMBER(SEARCH("토2.3",$H356)),ISNUMBER(SEARCH("토1.2.3",$H356))),1,"")</f>
        <v/>
      </c>
      <c r="AA356" s="319">
        <f>IF(ISNUMBER(SEARCH("일1",$H356)),1,"")</f>
        <v/>
      </c>
      <c r="AB356" s="319">
        <f>IF(OR(ISNUMBER(SEARCH("일2",$H356)),ISNUMBER(SEARCH("일1.2",$H356))),1,"")</f>
        <v/>
      </c>
      <c r="AC356" s="319">
        <f>IF(OR(ISNUMBER(SEARCH("일3",$H356)),ISNUMBER(SEARCH("일1.3",$H356)),ISNUMBER(SEARCH("일2.3",$H356)),ISNUMBER(SEARCH("일1.2.3",$H356))),1,"")</f>
        <v/>
      </c>
      <c r="AD356" s="319">
        <f>SUM(I356:AC356)</f>
        <v/>
      </c>
      <c r="AE356" s="323" t="n"/>
    </row>
    <row r="357" ht="24" customHeight="1">
      <c r="A357" s="168" t="n"/>
      <c r="B357" s="319" t="n"/>
      <c r="C357" s="319" t="n"/>
      <c r="D357" s="319" t="n"/>
      <c r="E357" s="341" t="n"/>
      <c r="F357" s="341" t="n"/>
      <c r="G357" s="342" t="n"/>
      <c r="H357" s="322" t="n"/>
      <c r="I357" s="319">
        <f>IF(ISNUMBER(SEARCH("월1",$H357)),1,"")</f>
        <v/>
      </c>
      <c r="J357" s="319">
        <f>IF(OR(ISNUMBER(SEARCH("월2",$H357)),ISNUMBER(SEARCH("월1.2",$H357))),1,"")</f>
        <v/>
      </c>
      <c r="K357" s="319">
        <f>IF(OR(ISNUMBER(SEARCH("월3",$H357)),ISNUMBER(SEARCH("월1.3",$H357)),ISNUMBER(SEARCH("월2.3",$H357)),ISNUMBER(SEARCH("월1.2.3",$H357))),1,"")</f>
        <v/>
      </c>
      <c r="L357" s="319">
        <f>IF(ISNUMBER(SEARCH("화1",$H357)),1,"")</f>
        <v/>
      </c>
      <c r="M357" s="319">
        <f>IF(OR(ISNUMBER(SEARCH("화2",$H357)),ISNUMBER(SEARCH("화1.2",$H357))),1,"")</f>
        <v/>
      </c>
      <c r="N357" s="319">
        <f>IF(OR(ISNUMBER(SEARCH("화3",$H357)),ISNUMBER(SEARCH("화1.3",$H357)),ISNUMBER(SEARCH("화2.3",$H357)),ISNUMBER(SEARCH("화1.2.3",$H357))),1,"")</f>
        <v/>
      </c>
      <c r="O357" s="319">
        <f>IF(ISNUMBER(SEARCH("수1",$H357)),1,"")</f>
        <v/>
      </c>
      <c r="P357" s="319">
        <f>IF(OR(ISNUMBER(SEARCH("수2",$H357)),ISNUMBER(SEARCH("수1.2",$H357))),1,"")</f>
        <v/>
      </c>
      <c r="Q357" s="319">
        <f>IF(OR(ISNUMBER(SEARCH("수3",$H357)),ISNUMBER(SEARCH("수1.3",$H357)),ISNUMBER(SEARCH("수2.3",$H357)),ISNUMBER(SEARCH("수1.2.3",$H357))),1,"")</f>
        <v/>
      </c>
      <c r="R357" s="319">
        <f>IF(ISNUMBER(SEARCH("목1",$H357)),1,"")</f>
        <v/>
      </c>
      <c r="S357" s="319">
        <f>IF(OR(ISNUMBER(SEARCH("목2",$H357)),ISNUMBER(SEARCH("목1.2",$H357))),1,"")</f>
        <v/>
      </c>
      <c r="T357" s="319">
        <f>IF(OR(ISNUMBER(SEARCH("목3",$H357)),ISNUMBER(SEARCH("목1.3",$H357)),ISNUMBER(SEARCH("목2.3",$H357)),ISNUMBER(SEARCH("목1.2.3",$H357))),1,"")</f>
        <v/>
      </c>
      <c r="U357" s="319">
        <f>IF(ISNUMBER(SEARCH("금1",$H357)),1,"")</f>
        <v/>
      </c>
      <c r="V357" s="319">
        <f>IF(OR(ISNUMBER(SEARCH("금2",$H357)),ISNUMBER(SEARCH("금1.2",$H357))),1,"")</f>
        <v/>
      </c>
      <c r="W357" s="319">
        <f>IF(OR(ISNUMBER(SEARCH("금3",$H357)),ISNUMBER(SEARCH("금1.3",$H357)),ISNUMBER(SEARCH("금2.3",$H357)),ISNUMBER(SEARCH("금1.2.3",$H357))),1,"")</f>
        <v/>
      </c>
      <c r="X357" s="319">
        <f>IF(ISNUMBER(SEARCH("토1",$H357)),1,"")</f>
        <v/>
      </c>
      <c r="Y357" s="319">
        <f>IF(OR(ISNUMBER(SEARCH("토2",$H357)),ISNUMBER(SEARCH("토1.2",$H357))),1,"")</f>
        <v/>
      </c>
      <c r="Z357" s="319">
        <f>IF(OR(ISNUMBER(SEARCH("토3",$H357)),ISNUMBER(SEARCH("토1.3",$H357)),ISNUMBER(SEARCH("토2.3",$H357)),ISNUMBER(SEARCH("토1.2.3",$H357))),1,"")</f>
        <v/>
      </c>
      <c r="AA357" s="319">
        <f>IF(ISNUMBER(SEARCH("일1",$H357)),1,"")</f>
        <v/>
      </c>
      <c r="AB357" s="319">
        <f>IF(OR(ISNUMBER(SEARCH("일2",$H357)),ISNUMBER(SEARCH("일1.2",$H357))),1,"")</f>
        <v/>
      </c>
      <c r="AC357" s="319">
        <f>IF(OR(ISNUMBER(SEARCH("일3",$H357)),ISNUMBER(SEARCH("일1.3",$H357)),ISNUMBER(SEARCH("일2.3",$H357)),ISNUMBER(SEARCH("일1.2.3",$H357))),1,"")</f>
        <v/>
      </c>
      <c r="AD357" s="319">
        <f>SUM(I357:AC357)</f>
        <v/>
      </c>
      <c r="AE357" s="323" t="n"/>
    </row>
    <row r="358" ht="24" customHeight="1">
      <c r="A358" s="168" t="n"/>
      <c r="B358" s="319" t="n"/>
      <c r="C358" s="319" t="n"/>
      <c r="D358" s="319" t="n"/>
      <c r="E358" s="341" t="n"/>
      <c r="F358" s="341" t="n"/>
      <c r="G358" s="342" t="n"/>
      <c r="H358" s="322" t="n"/>
      <c r="I358" s="319">
        <f>IF(ISNUMBER(SEARCH("월1",$H358)),1,"")</f>
        <v/>
      </c>
      <c r="J358" s="319">
        <f>IF(OR(ISNUMBER(SEARCH("월2",$H358)),ISNUMBER(SEARCH("월1.2",$H358))),1,"")</f>
        <v/>
      </c>
      <c r="K358" s="319">
        <f>IF(OR(ISNUMBER(SEARCH("월3",$H358)),ISNUMBER(SEARCH("월1.3",$H358)),ISNUMBER(SEARCH("월2.3",$H358)),ISNUMBER(SEARCH("월1.2.3",$H358))),1,"")</f>
        <v/>
      </c>
      <c r="L358" s="319">
        <f>IF(ISNUMBER(SEARCH("화1",$H358)),1,"")</f>
        <v/>
      </c>
      <c r="M358" s="319">
        <f>IF(OR(ISNUMBER(SEARCH("화2",$H358)),ISNUMBER(SEARCH("화1.2",$H358))),1,"")</f>
        <v/>
      </c>
      <c r="N358" s="319">
        <f>IF(OR(ISNUMBER(SEARCH("화3",$H358)),ISNUMBER(SEARCH("화1.3",$H358)),ISNUMBER(SEARCH("화2.3",$H358)),ISNUMBER(SEARCH("화1.2.3",$H358))),1,"")</f>
        <v/>
      </c>
      <c r="O358" s="319">
        <f>IF(ISNUMBER(SEARCH("수1",$H358)),1,"")</f>
        <v/>
      </c>
      <c r="P358" s="319">
        <f>IF(OR(ISNUMBER(SEARCH("수2",$H358)),ISNUMBER(SEARCH("수1.2",$H358))),1,"")</f>
        <v/>
      </c>
      <c r="Q358" s="319">
        <f>IF(OR(ISNUMBER(SEARCH("수3",$H358)),ISNUMBER(SEARCH("수1.3",$H358)),ISNUMBER(SEARCH("수2.3",$H358)),ISNUMBER(SEARCH("수1.2.3",$H358))),1,"")</f>
        <v/>
      </c>
      <c r="R358" s="319">
        <f>IF(ISNUMBER(SEARCH("목1",$H358)),1,"")</f>
        <v/>
      </c>
      <c r="S358" s="319">
        <f>IF(OR(ISNUMBER(SEARCH("목2",$H358)),ISNUMBER(SEARCH("목1.2",$H358))),1,"")</f>
        <v/>
      </c>
      <c r="T358" s="319">
        <f>IF(OR(ISNUMBER(SEARCH("목3",$H358)),ISNUMBER(SEARCH("목1.3",$H358)),ISNUMBER(SEARCH("목2.3",$H358)),ISNUMBER(SEARCH("목1.2.3",$H358))),1,"")</f>
        <v/>
      </c>
      <c r="U358" s="319">
        <f>IF(ISNUMBER(SEARCH("금1",$H358)),1,"")</f>
        <v/>
      </c>
      <c r="V358" s="319">
        <f>IF(OR(ISNUMBER(SEARCH("금2",$H358)),ISNUMBER(SEARCH("금1.2",$H358))),1,"")</f>
        <v/>
      </c>
      <c r="W358" s="319">
        <f>IF(OR(ISNUMBER(SEARCH("금3",$H358)),ISNUMBER(SEARCH("금1.3",$H358)),ISNUMBER(SEARCH("금2.3",$H358)),ISNUMBER(SEARCH("금1.2.3",$H358))),1,"")</f>
        <v/>
      </c>
      <c r="X358" s="319">
        <f>IF(ISNUMBER(SEARCH("토1",$H358)),1,"")</f>
        <v/>
      </c>
      <c r="Y358" s="319">
        <f>IF(OR(ISNUMBER(SEARCH("토2",$H358)),ISNUMBER(SEARCH("토1.2",$H358))),1,"")</f>
        <v/>
      </c>
      <c r="Z358" s="319">
        <f>IF(OR(ISNUMBER(SEARCH("토3",$H358)),ISNUMBER(SEARCH("토1.3",$H358)),ISNUMBER(SEARCH("토2.3",$H358)),ISNUMBER(SEARCH("토1.2.3",$H358))),1,"")</f>
        <v/>
      </c>
      <c r="AA358" s="319">
        <f>IF(ISNUMBER(SEARCH("일1",$H358)),1,"")</f>
        <v/>
      </c>
      <c r="AB358" s="319">
        <f>IF(OR(ISNUMBER(SEARCH("일2",$H358)),ISNUMBER(SEARCH("일1.2",$H358))),1,"")</f>
        <v/>
      </c>
      <c r="AC358" s="319">
        <f>IF(OR(ISNUMBER(SEARCH("일3",$H358)),ISNUMBER(SEARCH("일1.3",$H358)),ISNUMBER(SEARCH("일2.3",$H358)),ISNUMBER(SEARCH("일1.2.3",$H358))),1,"")</f>
        <v/>
      </c>
      <c r="AD358" s="319">
        <f>SUM(I358:AC358)</f>
        <v/>
      </c>
      <c r="AE358" s="323" t="n"/>
    </row>
    <row r="359" ht="24" customHeight="1">
      <c r="A359" s="168" t="n"/>
      <c r="B359" s="319" t="n"/>
      <c r="C359" s="319" t="n"/>
      <c r="D359" s="319" t="n"/>
      <c r="E359" s="341" t="n"/>
      <c r="F359" s="341" t="n"/>
      <c r="G359" s="342" t="n"/>
      <c r="H359" s="322" t="n"/>
      <c r="I359" s="319">
        <f>IF(ISNUMBER(SEARCH("월1",$H359)),1,"")</f>
        <v/>
      </c>
      <c r="J359" s="319">
        <f>IF(OR(ISNUMBER(SEARCH("월2",$H359)),ISNUMBER(SEARCH("월1.2",$H359))),1,"")</f>
        <v/>
      </c>
      <c r="K359" s="319">
        <f>IF(OR(ISNUMBER(SEARCH("월3",$H359)),ISNUMBER(SEARCH("월1.3",$H359)),ISNUMBER(SEARCH("월2.3",$H359)),ISNUMBER(SEARCH("월1.2.3",$H359))),1,"")</f>
        <v/>
      </c>
      <c r="L359" s="319">
        <f>IF(ISNUMBER(SEARCH("화1",$H359)),1,"")</f>
        <v/>
      </c>
      <c r="M359" s="319">
        <f>IF(OR(ISNUMBER(SEARCH("화2",$H359)),ISNUMBER(SEARCH("화1.2",$H359))),1,"")</f>
        <v/>
      </c>
      <c r="N359" s="319">
        <f>IF(OR(ISNUMBER(SEARCH("화3",$H359)),ISNUMBER(SEARCH("화1.3",$H359)),ISNUMBER(SEARCH("화2.3",$H359)),ISNUMBER(SEARCH("화1.2.3",$H359))),1,"")</f>
        <v/>
      </c>
      <c r="O359" s="319">
        <f>IF(ISNUMBER(SEARCH("수1",$H359)),1,"")</f>
        <v/>
      </c>
      <c r="P359" s="319">
        <f>IF(OR(ISNUMBER(SEARCH("수2",$H359)),ISNUMBER(SEARCH("수1.2",$H359))),1,"")</f>
        <v/>
      </c>
      <c r="Q359" s="319">
        <f>IF(OR(ISNUMBER(SEARCH("수3",$H359)),ISNUMBER(SEARCH("수1.3",$H359)),ISNUMBER(SEARCH("수2.3",$H359)),ISNUMBER(SEARCH("수1.2.3",$H359))),1,"")</f>
        <v/>
      </c>
      <c r="R359" s="319">
        <f>IF(ISNUMBER(SEARCH("목1",$H359)),1,"")</f>
        <v/>
      </c>
      <c r="S359" s="319">
        <f>IF(OR(ISNUMBER(SEARCH("목2",$H359)),ISNUMBER(SEARCH("목1.2",$H359))),1,"")</f>
        <v/>
      </c>
      <c r="T359" s="319">
        <f>IF(OR(ISNUMBER(SEARCH("목3",$H359)),ISNUMBER(SEARCH("목1.3",$H359)),ISNUMBER(SEARCH("목2.3",$H359)),ISNUMBER(SEARCH("목1.2.3",$H359))),1,"")</f>
        <v/>
      </c>
      <c r="U359" s="319">
        <f>IF(ISNUMBER(SEARCH("금1",$H359)),1,"")</f>
        <v/>
      </c>
      <c r="V359" s="319">
        <f>IF(OR(ISNUMBER(SEARCH("금2",$H359)),ISNUMBER(SEARCH("금1.2",$H359))),1,"")</f>
        <v/>
      </c>
      <c r="W359" s="319">
        <f>IF(OR(ISNUMBER(SEARCH("금3",$H359)),ISNUMBER(SEARCH("금1.3",$H359)),ISNUMBER(SEARCH("금2.3",$H359)),ISNUMBER(SEARCH("금1.2.3",$H359))),1,"")</f>
        <v/>
      </c>
      <c r="X359" s="319">
        <f>IF(ISNUMBER(SEARCH("토1",$H359)),1,"")</f>
        <v/>
      </c>
      <c r="Y359" s="319">
        <f>IF(OR(ISNUMBER(SEARCH("토2",$H359)),ISNUMBER(SEARCH("토1.2",$H359))),1,"")</f>
        <v/>
      </c>
      <c r="Z359" s="319">
        <f>IF(OR(ISNUMBER(SEARCH("토3",$H359)),ISNUMBER(SEARCH("토1.3",$H359)),ISNUMBER(SEARCH("토2.3",$H359)),ISNUMBER(SEARCH("토1.2.3",$H359))),1,"")</f>
        <v/>
      </c>
      <c r="AA359" s="319">
        <f>IF(ISNUMBER(SEARCH("일1",$H359)),1,"")</f>
        <v/>
      </c>
      <c r="AB359" s="319">
        <f>IF(OR(ISNUMBER(SEARCH("일2",$H359)),ISNUMBER(SEARCH("일1.2",$H359))),1,"")</f>
        <v/>
      </c>
      <c r="AC359" s="319">
        <f>IF(OR(ISNUMBER(SEARCH("일3",$H359)),ISNUMBER(SEARCH("일1.3",$H359)),ISNUMBER(SEARCH("일2.3",$H359)),ISNUMBER(SEARCH("일1.2.3",$H359))),1,"")</f>
        <v/>
      </c>
      <c r="AD359" s="319">
        <f>SUM(I359:AC359)</f>
        <v/>
      </c>
      <c r="AE359" s="323" t="n"/>
    </row>
    <row r="360" ht="24" customHeight="1">
      <c r="A360" s="168" t="n"/>
      <c r="B360" s="319" t="n"/>
      <c r="C360" s="319" t="n"/>
      <c r="D360" s="319" t="n"/>
      <c r="E360" s="341" t="n"/>
      <c r="F360" s="341" t="n"/>
      <c r="G360" s="342" t="n"/>
      <c r="H360" s="322" t="n"/>
      <c r="I360" s="319">
        <f>IF(ISNUMBER(SEARCH("월1",$H360)),1,"")</f>
        <v/>
      </c>
      <c r="J360" s="319">
        <f>IF(OR(ISNUMBER(SEARCH("월2",$H360)),ISNUMBER(SEARCH("월1.2",$H360))),1,"")</f>
        <v/>
      </c>
      <c r="K360" s="319">
        <f>IF(OR(ISNUMBER(SEARCH("월3",$H360)),ISNUMBER(SEARCH("월1.3",$H360)),ISNUMBER(SEARCH("월2.3",$H360)),ISNUMBER(SEARCH("월1.2.3",$H360))),1,"")</f>
        <v/>
      </c>
      <c r="L360" s="319">
        <f>IF(ISNUMBER(SEARCH("화1",$H360)),1,"")</f>
        <v/>
      </c>
      <c r="M360" s="319">
        <f>IF(OR(ISNUMBER(SEARCH("화2",$H360)),ISNUMBER(SEARCH("화1.2",$H360))),1,"")</f>
        <v/>
      </c>
      <c r="N360" s="319">
        <f>IF(OR(ISNUMBER(SEARCH("화3",$H360)),ISNUMBER(SEARCH("화1.3",$H360)),ISNUMBER(SEARCH("화2.3",$H360)),ISNUMBER(SEARCH("화1.2.3",$H360))),1,"")</f>
        <v/>
      </c>
      <c r="O360" s="319">
        <f>IF(ISNUMBER(SEARCH("수1",$H360)),1,"")</f>
        <v/>
      </c>
      <c r="P360" s="319">
        <f>IF(OR(ISNUMBER(SEARCH("수2",$H360)),ISNUMBER(SEARCH("수1.2",$H360))),1,"")</f>
        <v/>
      </c>
      <c r="Q360" s="319">
        <f>IF(OR(ISNUMBER(SEARCH("수3",$H360)),ISNUMBER(SEARCH("수1.3",$H360)),ISNUMBER(SEARCH("수2.3",$H360)),ISNUMBER(SEARCH("수1.2.3",$H360))),1,"")</f>
        <v/>
      </c>
      <c r="R360" s="319">
        <f>IF(ISNUMBER(SEARCH("목1",$H360)),1,"")</f>
        <v/>
      </c>
      <c r="S360" s="319">
        <f>IF(OR(ISNUMBER(SEARCH("목2",$H360)),ISNUMBER(SEARCH("목1.2",$H360))),1,"")</f>
        <v/>
      </c>
      <c r="T360" s="319">
        <f>IF(OR(ISNUMBER(SEARCH("목3",$H360)),ISNUMBER(SEARCH("목1.3",$H360)),ISNUMBER(SEARCH("목2.3",$H360)),ISNUMBER(SEARCH("목1.2.3",$H360))),1,"")</f>
        <v/>
      </c>
      <c r="U360" s="319">
        <f>IF(ISNUMBER(SEARCH("금1",$H360)),1,"")</f>
        <v/>
      </c>
      <c r="V360" s="319">
        <f>IF(OR(ISNUMBER(SEARCH("금2",$H360)),ISNUMBER(SEARCH("금1.2",$H360))),1,"")</f>
        <v/>
      </c>
      <c r="W360" s="319">
        <f>IF(OR(ISNUMBER(SEARCH("금3",$H360)),ISNUMBER(SEARCH("금1.3",$H360)),ISNUMBER(SEARCH("금2.3",$H360)),ISNUMBER(SEARCH("금1.2.3",$H360))),1,"")</f>
        <v/>
      </c>
      <c r="X360" s="319">
        <f>IF(ISNUMBER(SEARCH("토1",$H360)),1,"")</f>
        <v/>
      </c>
      <c r="Y360" s="319">
        <f>IF(OR(ISNUMBER(SEARCH("토2",$H360)),ISNUMBER(SEARCH("토1.2",$H360))),1,"")</f>
        <v/>
      </c>
      <c r="Z360" s="319">
        <f>IF(OR(ISNUMBER(SEARCH("토3",$H360)),ISNUMBER(SEARCH("토1.3",$H360)),ISNUMBER(SEARCH("토2.3",$H360)),ISNUMBER(SEARCH("토1.2.3",$H360))),1,"")</f>
        <v/>
      </c>
      <c r="AA360" s="319">
        <f>IF(ISNUMBER(SEARCH("일1",$H360)),1,"")</f>
        <v/>
      </c>
      <c r="AB360" s="319">
        <f>IF(OR(ISNUMBER(SEARCH("일2",$H360)),ISNUMBER(SEARCH("일1.2",$H360))),1,"")</f>
        <v/>
      </c>
      <c r="AC360" s="319">
        <f>IF(OR(ISNUMBER(SEARCH("일3",$H360)),ISNUMBER(SEARCH("일1.3",$H360)),ISNUMBER(SEARCH("일2.3",$H360)),ISNUMBER(SEARCH("일1.2.3",$H360))),1,"")</f>
        <v/>
      </c>
      <c r="AD360" s="319">
        <f>SUM(I360:AC360)</f>
        <v/>
      </c>
      <c r="AE360" s="323" t="n"/>
    </row>
    <row r="361" ht="24" customHeight="1">
      <c r="A361" s="168" t="n"/>
      <c r="B361" s="319" t="n"/>
      <c r="C361" s="319" t="n"/>
      <c r="D361" s="319" t="n"/>
      <c r="E361" s="341" t="n"/>
      <c r="F361" s="341" t="n"/>
      <c r="G361" s="342" t="n"/>
      <c r="H361" s="322" t="n"/>
      <c r="I361" s="319">
        <f>IF(ISNUMBER(SEARCH("월1",$H361)),1,"")</f>
        <v/>
      </c>
      <c r="J361" s="319">
        <f>IF(OR(ISNUMBER(SEARCH("월2",$H361)),ISNUMBER(SEARCH("월1.2",$H361))),1,"")</f>
        <v/>
      </c>
      <c r="K361" s="319">
        <f>IF(OR(ISNUMBER(SEARCH("월3",$H361)),ISNUMBER(SEARCH("월1.3",$H361)),ISNUMBER(SEARCH("월2.3",$H361)),ISNUMBER(SEARCH("월1.2.3",$H361))),1,"")</f>
        <v/>
      </c>
      <c r="L361" s="319">
        <f>IF(ISNUMBER(SEARCH("화1",$H361)),1,"")</f>
        <v/>
      </c>
      <c r="M361" s="319">
        <f>IF(OR(ISNUMBER(SEARCH("화2",$H361)),ISNUMBER(SEARCH("화1.2",$H361))),1,"")</f>
        <v/>
      </c>
      <c r="N361" s="319">
        <f>IF(OR(ISNUMBER(SEARCH("화3",$H361)),ISNUMBER(SEARCH("화1.3",$H361)),ISNUMBER(SEARCH("화2.3",$H361)),ISNUMBER(SEARCH("화1.2.3",$H361))),1,"")</f>
        <v/>
      </c>
      <c r="O361" s="319">
        <f>IF(ISNUMBER(SEARCH("수1",$H361)),1,"")</f>
        <v/>
      </c>
      <c r="P361" s="319">
        <f>IF(OR(ISNUMBER(SEARCH("수2",$H361)),ISNUMBER(SEARCH("수1.2",$H361))),1,"")</f>
        <v/>
      </c>
      <c r="Q361" s="319">
        <f>IF(OR(ISNUMBER(SEARCH("수3",$H361)),ISNUMBER(SEARCH("수1.3",$H361)),ISNUMBER(SEARCH("수2.3",$H361)),ISNUMBER(SEARCH("수1.2.3",$H361))),1,"")</f>
        <v/>
      </c>
      <c r="R361" s="319">
        <f>IF(ISNUMBER(SEARCH("목1",$H361)),1,"")</f>
        <v/>
      </c>
      <c r="S361" s="319">
        <f>IF(OR(ISNUMBER(SEARCH("목2",$H361)),ISNUMBER(SEARCH("목1.2",$H361))),1,"")</f>
        <v/>
      </c>
      <c r="T361" s="319">
        <f>IF(OR(ISNUMBER(SEARCH("목3",$H361)),ISNUMBER(SEARCH("목1.3",$H361)),ISNUMBER(SEARCH("목2.3",$H361)),ISNUMBER(SEARCH("목1.2.3",$H361))),1,"")</f>
        <v/>
      </c>
      <c r="U361" s="319">
        <f>IF(ISNUMBER(SEARCH("금1",$H361)),1,"")</f>
        <v/>
      </c>
      <c r="V361" s="319">
        <f>IF(OR(ISNUMBER(SEARCH("금2",$H361)),ISNUMBER(SEARCH("금1.2",$H361))),1,"")</f>
        <v/>
      </c>
      <c r="W361" s="319">
        <f>IF(OR(ISNUMBER(SEARCH("금3",$H361)),ISNUMBER(SEARCH("금1.3",$H361)),ISNUMBER(SEARCH("금2.3",$H361)),ISNUMBER(SEARCH("금1.2.3",$H361))),1,"")</f>
        <v/>
      </c>
      <c r="X361" s="319">
        <f>IF(ISNUMBER(SEARCH("토1",$H361)),1,"")</f>
        <v/>
      </c>
      <c r="Y361" s="319">
        <f>IF(OR(ISNUMBER(SEARCH("토2",$H361)),ISNUMBER(SEARCH("토1.2",$H361))),1,"")</f>
        <v/>
      </c>
      <c r="Z361" s="319">
        <f>IF(OR(ISNUMBER(SEARCH("토3",$H361)),ISNUMBER(SEARCH("토1.3",$H361)),ISNUMBER(SEARCH("토2.3",$H361)),ISNUMBER(SEARCH("토1.2.3",$H361))),1,"")</f>
        <v/>
      </c>
      <c r="AA361" s="319">
        <f>IF(ISNUMBER(SEARCH("일1",$H361)),1,"")</f>
        <v/>
      </c>
      <c r="AB361" s="319">
        <f>IF(OR(ISNUMBER(SEARCH("일2",$H361)),ISNUMBER(SEARCH("일1.2",$H361))),1,"")</f>
        <v/>
      </c>
      <c r="AC361" s="319">
        <f>IF(OR(ISNUMBER(SEARCH("일3",$H361)),ISNUMBER(SEARCH("일1.3",$H361)),ISNUMBER(SEARCH("일2.3",$H361)),ISNUMBER(SEARCH("일1.2.3",$H361))),1,"")</f>
        <v/>
      </c>
      <c r="AD361" s="319">
        <f>SUM(I361:AC361)</f>
        <v/>
      </c>
      <c r="AE361" s="323" t="n"/>
    </row>
    <row r="362" ht="24" customHeight="1">
      <c r="A362" s="170" t="n"/>
      <c r="B362" s="324" t="n"/>
      <c r="C362" s="324" t="n"/>
      <c r="D362" s="324" t="n"/>
      <c r="E362" s="343" t="n"/>
      <c r="F362" s="343" t="n"/>
      <c r="G362" s="344" t="n"/>
      <c r="H362" s="327" t="n"/>
      <c r="I362" s="324">
        <f>IF(ISNUMBER(SEARCH("월1",$H362)),1,"")</f>
        <v/>
      </c>
      <c r="J362" s="324">
        <f>IF(OR(ISNUMBER(SEARCH("월2",$H362)),ISNUMBER(SEARCH("월1.2",$H362))),1,"")</f>
        <v/>
      </c>
      <c r="K362" s="324">
        <f>IF(OR(ISNUMBER(SEARCH("월3",$H362)),ISNUMBER(SEARCH("월1.3",$H362)),ISNUMBER(SEARCH("월2.3",$H362)),ISNUMBER(SEARCH("월1.2.3",$H362))),1,"")</f>
        <v/>
      </c>
      <c r="L362" s="324">
        <f>IF(ISNUMBER(SEARCH("화1",$H362)),1,"")</f>
        <v/>
      </c>
      <c r="M362" s="324">
        <f>IF(OR(ISNUMBER(SEARCH("화2",$H362)),ISNUMBER(SEARCH("화1.2",$H362))),1,"")</f>
        <v/>
      </c>
      <c r="N362" s="324">
        <f>IF(OR(ISNUMBER(SEARCH("화3",$H362)),ISNUMBER(SEARCH("화1.3",$H362)),ISNUMBER(SEARCH("화2.3",$H362)),ISNUMBER(SEARCH("화1.2.3",$H362))),1,"")</f>
        <v/>
      </c>
      <c r="O362" s="324">
        <f>IF(ISNUMBER(SEARCH("수1",$H362)),1,"")</f>
        <v/>
      </c>
      <c r="P362" s="324">
        <f>IF(OR(ISNUMBER(SEARCH("수2",$H362)),ISNUMBER(SEARCH("수1.2",$H362))),1,"")</f>
        <v/>
      </c>
      <c r="Q362" s="324">
        <f>IF(OR(ISNUMBER(SEARCH("수3",$H362)),ISNUMBER(SEARCH("수1.3",$H362)),ISNUMBER(SEARCH("수2.3",$H362)),ISNUMBER(SEARCH("수1.2.3",$H362))),1,"")</f>
        <v/>
      </c>
      <c r="R362" s="324">
        <f>IF(ISNUMBER(SEARCH("목1",$H362)),1,"")</f>
        <v/>
      </c>
      <c r="S362" s="324">
        <f>IF(OR(ISNUMBER(SEARCH("목2",$H362)),ISNUMBER(SEARCH("목1.2",$H362))),1,"")</f>
        <v/>
      </c>
      <c r="T362" s="324">
        <f>IF(OR(ISNUMBER(SEARCH("목3",$H362)),ISNUMBER(SEARCH("목1.3",$H362)),ISNUMBER(SEARCH("목2.3",$H362)),ISNUMBER(SEARCH("목1.2.3",$H362))),1,"")</f>
        <v/>
      </c>
      <c r="U362" s="324">
        <f>IF(ISNUMBER(SEARCH("금1",$H362)),1,"")</f>
        <v/>
      </c>
      <c r="V362" s="324">
        <f>IF(OR(ISNUMBER(SEARCH("금2",$H362)),ISNUMBER(SEARCH("금1.2",$H362))),1,"")</f>
        <v/>
      </c>
      <c r="W362" s="324">
        <f>IF(OR(ISNUMBER(SEARCH("금3",$H362)),ISNUMBER(SEARCH("금1.3",$H362)),ISNUMBER(SEARCH("금2.3",$H362)),ISNUMBER(SEARCH("금1.2.3",$H362))),1,"")</f>
        <v/>
      </c>
      <c r="X362" s="324">
        <f>IF(ISNUMBER(SEARCH("토1",$H362)),1,"")</f>
        <v/>
      </c>
      <c r="Y362" s="324">
        <f>IF(OR(ISNUMBER(SEARCH("토2",$H362)),ISNUMBER(SEARCH("토1.2",$H362))),1,"")</f>
        <v/>
      </c>
      <c r="Z362" s="324">
        <f>IF(OR(ISNUMBER(SEARCH("토3",$H362)),ISNUMBER(SEARCH("토1.3",$H362)),ISNUMBER(SEARCH("토2.3",$H362)),ISNUMBER(SEARCH("토1.2.3",$H362))),1,"")</f>
        <v/>
      </c>
      <c r="AA362" s="324">
        <f>IF(ISNUMBER(SEARCH("일1",$H362)),1,"")</f>
        <v/>
      </c>
      <c r="AB362" s="324">
        <f>IF(OR(ISNUMBER(SEARCH("일2",$H362)),ISNUMBER(SEARCH("일1.2",$H362))),1,"")</f>
        <v/>
      </c>
      <c r="AC362" s="324">
        <f>IF(OR(ISNUMBER(SEARCH("일3",$H362)),ISNUMBER(SEARCH("일1.3",$H362)),ISNUMBER(SEARCH("일2.3",$H362)),ISNUMBER(SEARCH("일1.2.3",$H362))),1,"")</f>
        <v/>
      </c>
      <c r="AD362" s="324">
        <f>SUM(I362:AC362)</f>
        <v/>
      </c>
      <c r="AE362" s="328" t="n"/>
    </row>
    <row r="363" ht="27" customHeight="1">
      <c r="A363" s="336" t="n"/>
      <c r="B363" s="337" t="n"/>
      <c r="C363" s="337" t="n"/>
      <c r="D363" s="337" t="n"/>
      <c r="E363" s="337" t="n"/>
      <c r="F363" s="337" t="n"/>
      <c r="G363" s="337" t="n"/>
      <c r="H363" s="337" t="n"/>
      <c r="I363" s="337" t="n"/>
      <c r="J363" s="337" t="n"/>
      <c r="K363" s="337" t="n"/>
      <c r="L363" s="337" t="n"/>
      <c r="M363" s="337" t="n"/>
      <c r="N363" s="337" t="n"/>
      <c r="O363" s="337" t="n"/>
      <c r="P363" s="337" t="n"/>
      <c r="Q363" s="337" t="n"/>
      <c r="R363" s="337" t="n"/>
      <c r="S363" s="337" t="n"/>
      <c r="T363" s="337" t="n"/>
      <c r="U363" s="337" t="n"/>
      <c r="V363" s="337" t="n"/>
      <c r="W363" s="337" t="n"/>
      <c r="X363" s="337" t="n"/>
      <c r="Y363" s="337" t="n"/>
      <c r="Z363" s="337" t="n"/>
      <c r="AA363" s="337" t="n"/>
      <c r="AB363" s="337" t="n"/>
      <c r="AC363" s="337" t="n"/>
      <c r="AD363" s="337" t="n"/>
      <c r="AE363" s="338" t="n"/>
    </row>
    <row r="364" ht="24" customHeight="1">
      <c r="A364" s="166" t="n"/>
      <c r="B364" s="314" t="n"/>
      <c r="C364" s="314" t="n"/>
      <c r="D364" s="314" t="n"/>
      <c r="E364" s="339" t="n"/>
      <c r="F364" s="339" t="n"/>
      <c r="G364" s="340" t="n"/>
      <c r="H364" s="317" t="n"/>
      <c r="I364" s="314">
        <f>IF(ISNUMBER(SEARCH("월1",$H364)),1,"")</f>
        <v/>
      </c>
      <c r="J364" s="314">
        <f>IF(OR(ISNUMBER(SEARCH("월2",$H364)),ISNUMBER(SEARCH("월1.2",$H364))),1,"")</f>
        <v/>
      </c>
      <c r="K364" s="314">
        <f>IF(OR(ISNUMBER(SEARCH("월3",$H364)),ISNUMBER(SEARCH("월1.3",$H364)),ISNUMBER(SEARCH("월2.3",$H364)),ISNUMBER(SEARCH("월1.2.3",$H364))),1,"")</f>
        <v/>
      </c>
      <c r="L364" s="314">
        <f>IF(ISNUMBER(SEARCH("화1",$H364)),1,"")</f>
        <v/>
      </c>
      <c r="M364" s="314">
        <f>IF(OR(ISNUMBER(SEARCH("화2",$H364)),ISNUMBER(SEARCH("화1.2",$H364))),1,"")</f>
        <v/>
      </c>
      <c r="N364" s="314">
        <f>IF(OR(ISNUMBER(SEARCH("화3",$H364)),ISNUMBER(SEARCH("화1.3",$H364)),ISNUMBER(SEARCH("화2.3",$H364)),ISNUMBER(SEARCH("화1.2.3",$H364))),1,"")</f>
        <v/>
      </c>
      <c r="O364" s="314">
        <f>IF(ISNUMBER(SEARCH("수1",$H364)),1,"")</f>
        <v/>
      </c>
      <c r="P364" s="314">
        <f>IF(OR(ISNUMBER(SEARCH("수2",$H364)),ISNUMBER(SEARCH("수1.2",$H364))),1,"")</f>
        <v/>
      </c>
      <c r="Q364" s="314">
        <f>IF(OR(ISNUMBER(SEARCH("수3",$H364)),ISNUMBER(SEARCH("수1.3",$H364)),ISNUMBER(SEARCH("수2.3",$H364)),ISNUMBER(SEARCH("수1.2.3",$H364))),1,"")</f>
        <v/>
      </c>
      <c r="R364" s="314">
        <f>IF(ISNUMBER(SEARCH("목1",$H364)),1,"")</f>
        <v/>
      </c>
      <c r="S364" s="314">
        <f>IF(OR(ISNUMBER(SEARCH("목2",$H364)),ISNUMBER(SEARCH("목1.2",$H364))),1,"")</f>
        <v/>
      </c>
      <c r="T364" s="314">
        <f>IF(OR(ISNUMBER(SEARCH("목3",$H364)),ISNUMBER(SEARCH("목1.3",$H364)),ISNUMBER(SEARCH("목2.3",$H364)),ISNUMBER(SEARCH("목1.2.3",$H364))),1,"")</f>
        <v/>
      </c>
      <c r="U364" s="314">
        <f>IF(ISNUMBER(SEARCH("금1",$H364)),1,"")</f>
        <v/>
      </c>
      <c r="V364" s="314">
        <f>IF(OR(ISNUMBER(SEARCH("금2",$H364)),ISNUMBER(SEARCH("금1.2",$H364))),1,"")</f>
        <v/>
      </c>
      <c r="W364" s="314">
        <f>IF(OR(ISNUMBER(SEARCH("금3",$H364)),ISNUMBER(SEARCH("금1.3",$H364)),ISNUMBER(SEARCH("금2.3",$H364)),ISNUMBER(SEARCH("금1.2.3",$H364))),1,"")</f>
        <v/>
      </c>
      <c r="X364" s="314">
        <f>IF(ISNUMBER(SEARCH("토1",$H364)),1,"")</f>
        <v/>
      </c>
      <c r="Y364" s="314">
        <f>IF(OR(ISNUMBER(SEARCH("토2",$H364)),ISNUMBER(SEARCH("토1.2",$H364))),1,"")</f>
        <v/>
      </c>
      <c r="Z364" s="314">
        <f>IF(OR(ISNUMBER(SEARCH("토3",$H364)),ISNUMBER(SEARCH("토1.3",$H364)),ISNUMBER(SEARCH("토2.3",$H364)),ISNUMBER(SEARCH("토1.2.3",$H364))),1,"")</f>
        <v/>
      </c>
      <c r="AA364" s="314">
        <f>IF(ISNUMBER(SEARCH("일1",$H364)),1,"")</f>
        <v/>
      </c>
      <c r="AB364" s="314">
        <f>IF(OR(ISNUMBER(SEARCH("일2",$H364)),ISNUMBER(SEARCH("일1.2",$H364))),1,"")</f>
        <v/>
      </c>
      <c r="AC364" s="314">
        <f>IF(OR(ISNUMBER(SEARCH("일3",$H364)),ISNUMBER(SEARCH("일1.3",$H364)),ISNUMBER(SEARCH("일2.3",$H364)),ISNUMBER(SEARCH("일1.2.3",$H364))),1,"")</f>
        <v/>
      </c>
      <c r="AD364" s="314">
        <f>SUM(I364:AC364)</f>
        <v/>
      </c>
      <c r="AE364" s="318" t="n"/>
    </row>
    <row r="365" ht="24" customHeight="1">
      <c r="A365" s="168" t="n"/>
      <c r="B365" s="319" t="n"/>
      <c r="C365" s="319" t="n"/>
      <c r="D365" s="319" t="n"/>
      <c r="E365" s="341" t="n"/>
      <c r="F365" s="341" t="n"/>
      <c r="G365" s="342" t="n"/>
      <c r="H365" s="322" t="n"/>
      <c r="I365" s="319">
        <f>IF(ISNUMBER(SEARCH("월1",$H365)),1,"")</f>
        <v/>
      </c>
      <c r="J365" s="319">
        <f>IF(OR(ISNUMBER(SEARCH("월2",$H365)),ISNUMBER(SEARCH("월1.2",$H365))),1,"")</f>
        <v/>
      </c>
      <c r="K365" s="319">
        <f>IF(OR(ISNUMBER(SEARCH("월3",$H365)),ISNUMBER(SEARCH("월1.3",$H365)),ISNUMBER(SEARCH("월2.3",$H365)),ISNUMBER(SEARCH("월1.2.3",$H365))),1,"")</f>
        <v/>
      </c>
      <c r="L365" s="319">
        <f>IF(ISNUMBER(SEARCH("화1",$H365)),1,"")</f>
        <v/>
      </c>
      <c r="M365" s="319">
        <f>IF(OR(ISNUMBER(SEARCH("화2",$H365)),ISNUMBER(SEARCH("화1.2",$H365))),1,"")</f>
        <v/>
      </c>
      <c r="N365" s="319">
        <f>IF(OR(ISNUMBER(SEARCH("화3",$H365)),ISNUMBER(SEARCH("화1.3",$H365)),ISNUMBER(SEARCH("화2.3",$H365)),ISNUMBER(SEARCH("화1.2.3",$H365))),1,"")</f>
        <v/>
      </c>
      <c r="O365" s="319">
        <f>IF(ISNUMBER(SEARCH("수1",$H365)),1,"")</f>
        <v/>
      </c>
      <c r="P365" s="319">
        <f>IF(OR(ISNUMBER(SEARCH("수2",$H365)),ISNUMBER(SEARCH("수1.2",$H365))),1,"")</f>
        <v/>
      </c>
      <c r="Q365" s="319">
        <f>IF(OR(ISNUMBER(SEARCH("수3",$H365)),ISNUMBER(SEARCH("수1.3",$H365)),ISNUMBER(SEARCH("수2.3",$H365)),ISNUMBER(SEARCH("수1.2.3",$H365))),1,"")</f>
        <v/>
      </c>
      <c r="R365" s="319">
        <f>IF(ISNUMBER(SEARCH("목1",$H365)),1,"")</f>
        <v/>
      </c>
      <c r="S365" s="319">
        <f>IF(OR(ISNUMBER(SEARCH("목2",$H365)),ISNUMBER(SEARCH("목1.2",$H365))),1,"")</f>
        <v/>
      </c>
      <c r="T365" s="319">
        <f>IF(OR(ISNUMBER(SEARCH("목3",$H365)),ISNUMBER(SEARCH("목1.3",$H365)),ISNUMBER(SEARCH("목2.3",$H365)),ISNUMBER(SEARCH("목1.2.3",$H365))),1,"")</f>
        <v/>
      </c>
      <c r="U365" s="319">
        <f>IF(ISNUMBER(SEARCH("금1",$H365)),1,"")</f>
        <v/>
      </c>
      <c r="V365" s="319">
        <f>IF(OR(ISNUMBER(SEARCH("금2",$H365)),ISNUMBER(SEARCH("금1.2",$H365))),1,"")</f>
        <v/>
      </c>
      <c r="W365" s="319">
        <f>IF(OR(ISNUMBER(SEARCH("금3",$H365)),ISNUMBER(SEARCH("금1.3",$H365)),ISNUMBER(SEARCH("금2.3",$H365)),ISNUMBER(SEARCH("금1.2.3",$H365))),1,"")</f>
        <v/>
      </c>
      <c r="X365" s="319">
        <f>IF(ISNUMBER(SEARCH("토1",$H365)),1,"")</f>
        <v/>
      </c>
      <c r="Y365" s="319">
        <f>IF(OR(ISNUMBER(SEARCH("토2",$H365)),ISNUMBER(SEARCH("토1.2",$H365))),1,"")</f>
        <v/>
      </c>
      <c r="Z365" s="319">
        <f>IF(OR(ISNUMBER(SEARCH("토3",$H365)),ISNUMBER(SEARCH("토1.3",$H365)),ISNUMBER(SEARCH("토2.3",$H365)),ISNUMBER(SEARCH("토1.2.3",$H365))),1,"")</f>
        <v/>
      </c>
      <c r="AA365" s="319">
        <f>IF(ISNUMBER(SEARCH("일1",$H365)),1,"")</f>
        <v/>
      </c>
      <c r="AB365" s="319">
        <f>IF(OR(ISNUMBER(SEARCH("일2",$H365)),ISNUMBER(SEARCH("일1.2",$H365))),1,"")</f>
        <v/>
      </c>
      <c r="AC365" s="319">
        <f>IF(OR(ISNUMBER(SEARCH("일3",$H365)),ISNUMBER(SEARCH("일1.3",$H365)),ISNUMBER(SEARCH("일2.3",$H365)),ISNUMBER(SEARCH("일1.2.3",$H365))),1,"")</f>
        <v/>
      </c>
      <c r="AD365" s="319">
        <f>SUM(I365:AC365)</f>
        <v/>
      </c>
      <c r="AE365" s="323" t="n"/>
    </row>
    <row r="366" ht="24" customHeight="1">
      <c r="A366" s="168" t="n"/>
      <c r="B366" s="319" t="n"/>
      <c r="C366" s="319" t="n"/>
      <c r="D366" s="319" t="n"/>
      <c r="E366" s="341" t="n"/>
      <c r="F366" s="341" t="n"/>
      <c r="G366" s="342" t="n"/>
      <c r="H366" s="322" t="n"/>
      <c r="I366" s="319">
        <f>IF(ISNUMBER(SEARCH("월1",$H366)),1,"")</f>
        <v/>
      </c>
      <c r="J366" s="319">
        <f>IF(OR(ISNUMBER(SEARCH("월2",$H366)),ISNUMBER(SEARCH("월1.2",$H366))),1,"")</f>
        <v/>
      </c>
      <c r="K366" s="319">
        <f>IF(OR(ISNUMBER(SEARCH("월3",$H366)),ISNUMBER(SEARCH("월1.3",$H366)),ISNUMBER(SEARCH("월2.3",$H366)),ISNUMBER(SEARCH("월1.2.3",$H366))),1,"")</f>
        <v/>
      </c>
      <c r="L366" s="319">
        <f>IF(ISNUMBER(SEARCH("화1",$H366)),1,"")</f>
        <v/>
      </c>
      <c r="M366" s="319">
        <f>IF(OR(ISNUMBER(SEARCH("화2",$H366)),ISNUMBER(SEARCH("화1.2",$H366))),1,"")</f>
        <v/>
      </c>
      <c r="N366" s="319">
        <f>IF(OR(ISNUMBER(SEARCH("화3",$H366)),ISNUMBER(SEARCH("화1.3",$H366)),ISNUMBER(SEARCH("화2.3",$H366)),ISNUMBER(SEARCH("화1.2.3",$H366))),1,"")</f>
        <v/>
      </c>
      <c r="O366" s="319">
        <f>IF(ISNUMBER(SEARCH("수1",$H366)),1,"")</f>
        <v/>
      </c>
      <c r="P366" s="319">
        <f>IF(OR(ISNUMBER(SEARCH("수2",$H366)),ISNUMBER(SEARCH("수1.2",$H366))),1,"")</f>
        <v/>
      </c>
      <c r="Q366" s="319">
        <f>IF(OR(ISNUMBER(SEARCH("수3",$H366)),ISNUMBER(SEARCH("수1.3",$H366)),ISNUMBER(SEARCH("수2.3",$H366)),ISNUMBER(SEARCH("수1.2.3",$H366))),1,"")</f>
        <v/>
      </c>
      <c r="R366" s="319">
        <f>IF(ISNUMBER(SEARCH("목1",$H366)),1,"")</f>
        <v/>
      </c>
      <c r="S366" s="319">
        <f>IF(OR(ISNUMBER(SEARCH("목2",$H366)),ISNUMBER(SEARCH("목1.2",$H366))),1,"")</f>
        <v/>
      </c>
      <c r="T366" s="319">
        <f>IF(OR(ISNUMBER(SEARCH("목3",$H366)),ISNUMBER(SEARCH("목1.3",$H366)),ISNUMBER(SEARCH("목2.3",$H366)),ISNUMBER(SEARCH("목1.2.3",$H366))),1,"")</f>
        <v/>
      </c>
      <c r="U366" s="319">
        <f>IF(ISNUMBER(SEARCH("금1",$H366)),1,"")</f>
        <v/>
      </c>
      <c r="V366" s="319">
        <f>IF(OR(ISNUMBER(SEARCH("금2",$H366)),ISNUMBER(SEARCH("금1.2",$H366))),1,"")</f>
        <v/>
      </c>
      <c r="W366" s="319">
        <f>IF(OR(ISNUMBER(SEARCH("금3",$H366)),ISNUMBER(SEARCH("금1.3",$H366)),ISNUMBER(SEARCH("금2.3",$H366)),ISNUMBER(SEARCH("금1.2.3",$H366))),1,"")</f>
        <v/>
      </c>
      <c r="X366" s="319">
        <f>IF(ISNUMBER(SEARCH("토1",$H366)),1,"")</f>
        <v/>
      </c>
      <c r="Y366" s="319">
        <f>IF(OR(ISNUMBER(SEARCH("토2",$H366)),ISNUMBER(SEARCH("토1.2",$H366))),1,"")</f>
        <v/>
      </c>
      <c r="Z366" s="319">
        <f>IF(OR(ISNUMBER(SEARCH("토3",$H366)),ISNUMBER(SEARCH("토1.3",$H366)),ISNUMBER(SEARCH("토2.3",$H366)),ISNUMBER(SEARCH("토1.2.3",$H366))),1,"")</f>
        <v/>
      </c>
      <c r="AA366" s="319">
        <f>IF(ISNUMBER(SEARCH("일1",$H366)),1,"")</f>
        <v/>
      </c>
      <c r="AB366" s="319">
        <f>IF(OR(ISNUMBER(SEARCH("일2",$H366)),ISNUMBER(SEARCH("일1.2",$H366))),1,"")</f>
        <v/>
      </c>
      <c r="AC366" s="319">
        <f>IF(OR(ISNUMBER(SEARCH("일3",$H366)),ISNUMBER(SEARCH("일1.3",$H366)),ISNUMBER(SEARCH("일2.3",$H366)),ISNUMBER(SEARCH("일1.2.3",$H366))),1,"")</f>
        <v/>
      </c>
      <c r="AD366" s="319">
        <f>SUM(I366:AC366)</f>
        <v/>
      </c>
      <c r="AE366" s="323" t="n"/>
    </row>
    <row r="367" ht="24" customHeight="1">
      <c r="A367" s="168" t="n"/>
      <c r="B367" s="319" t="n"/>
      <c r="C367" s="319" t="n"/>
      <c r="D367" s="319" t="n"/>
      <c r="E367" s="341" t="n"/>
      <c r="F367" s="341" t="n"/>
      <c r="G367" s="342" t="n"/>
      <c r="H367" s="322" t="n"/>
      <c r="I367" s="319">
        <f>IF(ISNUMBER(SEARCH("월1",$H367)),1,"")</f>
        <v/>
      </c>
      <c r="J367" s="319">
        <f>IF(OR(ISNUMBER(SEARCH("월2",$H367)),ISNUMBER(SEARCH("월1.2",$H367))),1,"")</f>
        <v/>
      </c>
      <c r="K367" s="319">
        <f>IF(OR(ISNUMBER(SEARCH("월3",$H367)),ISNUMBER(SEARCH("월1.3",$H367)),ISNUMBER(SEARCH("월2.3",$H367)),ISNUMBER(SEARCH("월1.2.3",$H367))),1,"")</f>
        <v/>
      </c>
      <c r="L367" s="319">
        <f>IF(ISNUMBER(SEARCH("화1",$H367)),1,"")</f>
        <v/>
      </c>
      <c r="M367" s="319">
        <f>IF(OR(ISNUMBER(SEARCH("화2",$H367)),ISNUMBER(SEARCH("화1.2",$H367))),1,"")</f>
        <v/>
      </c>
      <c r="N367" s="319">
        <f>IF(OR(ISNUMBER(SEARCH("화3",$H367)),ISNUMBER(SEARCH("화1.3",$H367)),ISNUMBER(SEARCH("화2.3",$H367)),ISNUMBER(SEARCH("화1.2.3",$H367))),1,"")</f>
        <v/>
      </c>
      <c r="O367" s="319">
        <f>IF(ISNUMBER(SEARCH("수1",$H367)),1,"")</f>
        <v/>
      </c>
      <c r="P367" s="319">
        <f>IF(OR(ISNUMBER(SEARCH("수2",$H367)),ISNUMBER(SEARCH("수1.2",$H367))),1,"")</f>
        <v/>
      </c>
      <c r="Q367" s="319">
        <f>IF(OR(ISNUMBER(SEARCH("수3",$H367)),ISNUMBER(SEARCH("수1.3",$H367)),ISNUMBER(SEARCH("수2.3",$H367)),ISNUMBER(SEARCH("수1.2.3",$H367))),1,"")</f>
        <v/>
      </c>
      <c r="R367" s="319">
        <f>IF(ISNUMBER(SEARCH("목1",$H367)),1,"")</f>
        <v/>
      </c>
      <c r="S367" s="319">
        <f>IF(OR(ISNUMBER(SEARCH("목2",$H367)),ISNUMBER(SEARCH("목1.2",$H367))),1,"")</f>
        <v/>
      </c>
      <c r="T367" s="319">
        <f>IF(OR(ISNUMBER(SEARCH("목3",$H367)),ISNUMBER(SEARCH("목1.3",$H367)),ISNUMBER(SEARCH("목2.3",$H367)),ISNUMBER(SEARCH("목1.2.3",$H367))),1,"")</f>
        <v/>
      </c>
      <c r="U367" s="319">
        <f>IF(ISNUMBER(SEARCH("금1",$H367)),1,"")</f>
        <v/>
      </c>
      <c r="V367" s="319">
        <f>IF(OR(ISNUMBER(SEARCH("금2",$H367)),ISNUMBER(SEARCH("금1.2",$H367))),1,"")</f>
        <v/>
      </c>
      <c r="W367" s="319">
        <f>IF(OR(ISNUMBER(SEARCH("금3",$H367)),ISNUMBER(SEARCH("금1.3",$H367)),ISNUMBER(SEARCH("금2.3",$H367)),ISNUMBER(SEARCH("금1.2.3",$H367))),1,"")</f>
        <v/>
      </c>
      <c r="X367" s="319">
        <f>IF(ISNUMBER(SEARCH("토1",$H367)),1,"")</f>
        <v/>
      </c>
      <c r="Y367" s="319">
        <f>IF(OR(ISNUMBER(SEARCH("토2",$H367)),ISNUMBER(SEARCH("토1.2",$H367))),1,"")</f>
        <v/>
      </c>
      <c r="Z367" s="319">
        <f>IF(OR(ISNUMBER(SEARCH("토3",$H367)),ISNUMBER(SEARCH("토1.3",$H367)),ISNUMBER(SEARCH("토2.3",$H367)),ISNUMBER(SEARCH("토1.2.3",$H367))),1,"")</f>
        <v/>
      </c>
      <c r="AA367" s="319">
        <f>IF(ISNUMBER(SEARCH("일1",$H367)),1,"")</f>
        <v/>
      </c>
      <c r="AB367" s="319">
        <f>IF(OR(ISNUMBER(SEARCH("일2",$H367)),ISNUMBER(SEARCH("일1.2",$H367))),1,"")</f>
        <v/>
      </c>
      <c r="AC367" s="319">
        <f>IF(OR(ISNUMBER(SEARCH("일3",$H367)),ISNUMBER(SEARCH("일1.3",$H367)),ISNUMBER(SEARCH("일2.3",$H367)),ISNUMBER(SEARCH("일1.2.3",$H367))),1,"")</f>
        <v/>
      </c>
      <c r="AD367" s="319">
        <f>SUM(I367:AC367)</f>
        <v/>
      </c>
      <c r="AE367" s="323" t="n"/>
    </row>
    <row r="368" ht="24" customHeight="1">
      <c r="A368" s="168" t="n"/>
      <c r="B368" s="319" t="n"/>
      <c r="C368" s="319" t="n"/>
      <c r="D368" s="319" t="n"/>
      <c r="E368" s="341" t="n"/>
      <c r="F368" s="341" t="n"/>
      <c r="G368" s="342" t="n"/>
      <c r="H368" s="322" t="n"/>
      <c r="I368" s="319">
        <f>IF(ISNUMBER(SEARCH("월1",$H368)),1,"")</f>
        <v/>
      </c>
      <c r="J368" s="319">
        <f>IF(OR(ISNUMBER(SEARCH("월2",$H368)),ISNUMBER(SEARCH("월1.2",$H368))),1,"")</f>
        <v/>
      </c>
      <c r="K368" s="319">
        <f>IF(OR(ISNUMBER(SEARCH("월3",$H368)),ISNUMBER(SEARCH("월1.3",$H368)),ISNUMBER(SEARCH("월2.3",$H368)),ISNUMBER(SEARCH("월1.2.3",$H368))),1,"")</f>
        <v/>
      </c>
      <c r="L368" s="319">
        <f>IF(ISNUMBER(SEARCH("화1",$H368)),1,"")</f>
        <v/>
      </c>
      <c r="M368" s="319">
        <f>IF(OR(ISNUMBER(SEARCH("화2",$H368)),ISNUMBER(SEARCH("화1.2",$H368))),1,"")</f>
        <v/>
      </c>
      <c r="N368" s="319">
        <f>IF(OR(ISNUMBER(SEARCH("화3",$H368)),ISNUMBER(SEARCH("화1.3",$H368)),ISNUMBER(SEARCH("화2.3",$H368)),ISNUMBER(SEARCH("화1.2.3",$H368))),1,"")</f>
        <v/>
      </c>
      <c r="O368" s="319">
        <f>IF(ISNUMBER(SEARCH("수1",$H368)),1,"")</f>
        <v/>
      </c>
      <c r="P368" s="319">
        <f>IF(OR(ISNUMBER(SEARCH("수2",$H368)),ISNUMBER(SEARCH("수1.2",$H368))),1,"")</f>
        <v/>
      </c>
      <c r="Q368" s="319">
        <f>IF(OR(ISNUMBER(SEARCH("수3",$H368)),ISNUMBER(SEARCH("수1.3",$H368)),ISNUMBER(SEARCH("수2.3",$H368)),ISNUMBER(SEARCH("수1.2.3",$H368))),1,"")</f>
        <v/>
      </c>
      <c r="R368" s="319">
        <f>IF(ISNUMBER(SEARCH("목1",$H368)),1,"")</f>
        <v/>
      </c>
      <c r="S368" s="319">
        <f>IF(OR(ISNUMBER(SEARCH("목2",$H368)),ISNUMBER(SEARCH("목1.2",$H368))),1,"")</f>
        <v/>
      </c>
      <c r="T368" s="319">
        <f>IF(OR(ISNUMBER(SEARCH("목3",$H368)),ISNUMBER(SEARCH("목1.3",$H368)),ISNUMBER(SEARCH("목2.3",$H368)),ISNUMBER(SEARCH("목1.2.3",$H368))),1,"")</f>
        <v/>
      </c>
      <c r="U368" s="319">
        <f>IF(ISNUMBER(SEARCH("금1",$H368)),1,"")</f>
        <v/>
      </c>
      <c r="V368" s="319">
        <f>IF(OR(ISNUMBER(SEARCH("금2",$H368)),ISNUMBER(SEARCH("금1.2",$H368))),1,"")</f>
        <v/>
      </c>
      <c r="W368" s="319">
        <f>IF(OR(ISNUMBER(SEARCH("금3",$H368)),ISNUMBER(SEARCH("금1.3",$H368)),ISNUMBER(SEARCH("금2.3",$H368)),ISNUMBER(SEARCH("금1.2.3",$H368))),1,"")</f>
        <v/>
      </c>
      <c r="X368" s="319">
        <f>IF(ISNUMBER(SEARCH("토1",$H368)),1,"")</f>
        <v/>
      </c>
      <c r="Y368" s="319">
        <f>IF(OR(ISNUMBER(SEARCH("토2",$H368)),ISNUMBER(SEARCH("토1.2",$H368))),1,"")</f>
        <v/>
      </c>
      <c r="Z368" s="319">
        <f>IF(OR(ISNUMBER(SEARCH("토3",$H368)),ISNUMBER(SEARCH("토1.3",$H368)),ISNUMBER(SEARCH("토2.3",$H368)),ISNUMBER(SEARCH("토1.2.3",$H368))),1,"")</f>
        <v/>
      </c>
      <c r="AA368" s="319">
        <f>IF(ISNUMBER(SEARCH("일1",$H368)),1,"")</f>
        <v/>
      </c>
      <c r="AB368" s="319">
        <f>IF(OR(ISNUMBER(SEARCH("일2",$H368)),ISNUMBER(SEARCH("일1.2",$H368))),1,"")</f>
        <v/>
      </c>
      <c r="AC368" s="319">
        <f>IF(OR(ISNUMBER(SEARCH("일3",$H368)),ISNUMBER(SEARCH("일1.3",$H368)),ISNUMBER(SEARCH("일2.3",$H368)),ISNUMBER(SEARCH("일1.2.3",$H368))),1,"")</f>
        <v/>
      </c>
      <c r="AD368" s="319">
        <f>SUM(I368:AC368)</f>
        <v/>
      </c>
      <c r="AE368" s="323" t="n"/>
    </row>
    <row r="369" ht="24" customHeight="1">
      <c r="A369" s="168" t="n"/>
      <c r="B369" s="319" t="n"/>
      <c r="C369" s="319" t="n"/>
      <c r="D369" s="319" t="n"/>
      <c r="E369" s="341" t="n"/>
      <c r="F369" s="341" t="n"/>
      <c r="G369" s="342" t="n"/>
      <c r="H369" s="322" t="n"/>
      <c r="I369" s="319">
        <f>IF(ISNUMBER(SEARCH("월1",$H369)),1,"")</f>
        <v/>
      </c>
      <c r="J369" s="319">
        <f>IF(OR(ISNUMBER(SEARCH("월2",$H369)),ISNUMBER(SEARCH("월1.2",$H369))),1,"")</f>
        <v/>
      </c>
      <c r="K369" s="319">
        <f>IF(OR(ISNUMBER(SEARCH("월3",$H369)),ISNUMBER(SEARCH("월1.3",$H369)),ISNUMBER(SEARCH("월2.3",$H369)),ISNUMBER(SEARCH("월1.2.3",$H369))),1,"")</f>
        <v/>
      </c>
      <c r="L369" s="319">
        <f>IF(ISNUMBER(SEARCH("화1",$H369)),1,"")</f>
        <v/>
      </c>
      <c r="M369" s="319">
        <f>IF(OR(ISNUMBER(SEARCH("화2",$H369)),ISNUMBER(SEARCH("화1.2",$H369))),1,"")</f>
        <v/>
      </c>
      <c r="N369" s="319">
        <f>IF(OR(ISNUMBER(SEARCH("화3",$H369)),ISNUMBER(SEARCH("화1.3",$H369)),ISNUMBER(SEARCH("화2.3",$H369)),ISNUMBER(SEARCH("화1.2.3",$H369))),1,"")</f>
        <v/>
      </c>
      <c r="O369" s="319">
        <f>IF(ISNUMBER(SEARCH("수1",$H369)),1,"")</f>
        <v/>
      </c>
      <c r="P369" s="319">
        <f>IF(OR(ISNUMBER(SEARCH("수2",$H369)),ISNUMBER(SEARCH("수1.2",$H369))),1,"")</f>
        <v/>
      </c>
      <c r="Q369" s="319">
        <f>IF(OR(ISNUMBER(SEARCH("수3",$H369)),ISNUMBER(SEARCH("수1.3",$H369)),ISNUMBER(SEARCH("수2.3",$H369)),ISNUMBER(SEARCH("수1.2.3",$H369))),1,"")</f>
        <v/>
      </c>
      <c r="R369" s="319">
        <f>IF(ISNUMBER(SEARCH("목1",$H369)),1,"")</f>
        <v/>
      </c>
      <c r="S369" s="319">
        <f>IF(OR(ISNUMBER(SEARCH("목2",$H369)),ISNUMBER(SEARCH("목1.2",$H369))),1,"")</f>
        <v/>
      </c>
      <c r="T369" s="319">
        <f>IF(OR(ISNUMBER(SEARCH("목3",$H369)),ISNUMBER(SEARCH("목1.3",$H369)),ISNUMBER(SEARCH("목2.3",$H369)),ISNUMBER(SEARCH("목1.2.3",$H369))),1,"")</f>
        <v/>
      </c>
      <c r="U369" s="319">
        <f>IF(ISNUMBER(SEARCH("금1",$H369)),1,"")</f>
        <v/>
      </c>
      <c r="V369" s="319">
        <f>IF(OR(ISNUMBER(SEARCH("금2",$H369)),ISNUMBER(SEARCH("금1.2",$H369))),1,"")</f>
        <v/>
      </c>
      <c r="W369" s="319">
        <f>IF(OR(ISNUMBER(SEARCH("금3",$H369)),ISNUMBER(SEARCH("금1.3",$H369)),ISNUMBER(SEARCH("금2.3",$H369)),ISNUMBER(SEARCH("금1.2.3",$H369))),1,"")</f>
        <v/>
      </c>
      <c r="X369" s="319">
        <f>IF(ISNUMBER(SEARCH("토1",$H369)),1,"")</f>
        <v/>
      </c>
      <c r="Y369" s="319">
        <f>IF(OR(ISNUMBER(SEARCH("토2",$H369)),ISNUMBER(SEARCH("토1.2",$H369))),1,"")</f>
        <v/>
      </c>
      <c r="Z369" s="319">
        <f>IF(OR(ISNUMBER(SEARCH("토3",$H369)),ISNUMBER(SEARCH("토1.3",$H369)),ISNUMBER(SEARCH("토2.3",$H369)),ISNUMBER(SEARCH("토1.2.3",$H369))),1,"")</f>
        <v/>
      </c>
      <c r="AA369" s="319">
        <f>IF(ISNUMBER(SEARCH("일1",$H369)),1,"")</f>
        <v/>
      </c>
      <c r="AB369" s="319">
        <f>IF(OR(ISNUMBER(SEARCH("일2",$H369)),ISNUMBER(SEARCH("일1.2",$H369))),1,"")</f>
        <v/>
      </c>
      <c r="AC369" s="319">
        <f>IF(OR(ISNUMBER(SEARCH("일3",$H369)),ISNUMBER(SEARCH("일1.3",$H369)),ISNUMBER(SEARCH("일2.3",$H369)),ISNUMBER(SEARCH("일1.2.3",$H369))),1,"")</f>
        <v/>
      </c>
      <c r="AD369" s="319">
        <f>SUM(I369:AC369)</f>
        <v/>
      </c>
      <c r="AE369" s="323" t="n"/>
    </row>
    <row r="370" ht="24" customHeight="1">
      <c r="A370" s="168" t="n"/>
      <c r="B370" s="319" t="n"/>
      <c r="C370" s="319" t="n"/>
      <c r="D370" s="319" t="n"/>
      <c r="E370" s="341" t="n"/>
      <c r="F370" s="341" t="n"/>
      <c r="G370" s="342" t="n"/>
      <c r="H370" s="322" t="n"/>
      <c r="I370" s="319">
        <f>IF(ISNUMBER(SEARCH("월1",$H370)),1,"")</f>
        <v/>
      </c>
      <c r="J370" s="319">
        <f>IF(OR(ISNUMBER(SEARCH("월2",$H370)),ISNUMBER(SEARCH("월1.2",$H370))),1,"")</f>
        <v/>
      </c>
      <c r="K370" s="319">
        <f>IF(OR(ISNUMBER(SEARCH("월3",$H370)),ISNUMBER(SEARCH("월1.3",$H370)),ISNUMBER(SEARCH("월2.3",$H370)),ISNUMBER(SEARCH("월1.2.3",$H370))),1,"")</f>
        <v/>
      </c>
      <c r="L370" s="319">
        <f>IF(ISNUMBER(SEARCH("화1",$H370)),1,"")</f>
        <v/>
      </c>
      <c r="M370" s="319">
        <f>IF(OR(ISNUMBER(SEARCH("화2",$H370)),ISNUMBER(SEARCH("화1.2",$H370))),1,"")</f>
        <v/>
      </c>
      <c r="N370" s="319">
        <f>IF(OR(ISNUMBER(SEARCH("화3",$H370)),ISNUMBER(SEARCH("화1.3",$H370)),ISNUMBER(SEARCH("화2.3",$H370)),ISNUMBER(SEARCH("화1.2.3",$H370))),1,"")</f>
        <v/>
      </c>
      <c r="O370" s="319">
        <f>IF(ISNUMBER(SEARCH("수1",$H370)),1,"")</f>
        <v/>
      </c>
      <c r="P370" s="319">
        <f>IF(OR(ISNUMBER(SEARCH("수2",$H370)),ISNUMBER(SEARCH("수1.2",$H370))),1,"")</f>
        <v/>
      </c>
      <c r="Q370" s="319">
        <f>IF(OR(ISNUMBER(SEARCH("수3",$H370)),ISNUMBER(SEARCH("수1.3",$H370)),ISNUMBER(SEARCH("수2.3",$H370)),ISNUMBER(SEARCH("수1.2.3",$H370))),1,"")</f>
        <v/>
      </c>
      <c r="R370" s="319">
        <f>IF(ISNUMBER(SEARCH("목1",$H370)),1,"")</f>
        <v/>
      </c>
      <c r="S370" s="319">
        <f>IF(OR(ISNUMBER(SEARCH("목2",$H370)),ISNUMBER(SEARCH("목1.2",$H370))),1,"")</f>
        <v/>
      </c>
      <c r="T370" s="319">
        <f>IF(OR(ISNUMBER(SEARCH("목3",$H370)),ISNUMBER(SEARCH("목1.3",$H370)),ISNUMBER(SEARCH("목2.3",$H370)),ISNUMBER(SEARCH("목1.2.3",$H370))),1,"")</f>
        <v/>
      </c>
      <c r="U370" s="319">
        <f>IF(ISNUMBER(SEARCH("금1",$H370)),1,"")</f>
        <v/>
      </c>
      <c r="V370" s="319">
        <f>IF(OR(ISNUMBER(SEARCH("금2",$H370)),ISNUMBER(SEARCH("금1.2",$H370))),1,"")</f>
        <v/>
      </c>
      <c r="W370" s="319">
        <f>IF(OR(ISNUMBER(SEARCH("금3",$H370)),ISNUMBER(SEARCH("금1.3",$H370)),ISNUMBER(SEARCH("금2.3",$H370)),ISNUMBER(SEARCH("금1.2.3",$H370))),1,"")</f>
        <v/>
      </c>
      <c r="X370" s="319">
        <f>IF(ISNUMBER(SEARCH("토1",$H370)),1,"")</f>
        <v/>
      </c>
      <c r="Y370" s="319">
        <f>IF(OR(ISNUMBER(SEARCH("토2",$H370)),ISNUMBER(SEARCH("토1.2",$H370))),1,"")</f>
        <v/>
      </c>
      <c r="Z370" s="319">
        <f>IF(OR(ISNUMBER(SEARCH("토3",$H370)),ISNUMBER(SEARCH("토1.3",$H370)),ISNUMBER(SEARCH("토2.3",$H370)),ISNUMBER(SEARCH("토1.2.3",$H370))),1,"")</f>
        <v/>
      </c>
      <c r="AA370" s="319">
        <f>IF(ISNUMBER(SEARCH("일1",$H370)),1,"")</f>
        <v/>
      </c>
      <c r="AB370" s="319">
        <f>IF(OR(ISNUMBER(SEARCH("일2",$H370)),ISNUMBER(SEARCH("일1.2",$H370))),1,"")</f>
        <v/>
      </c>
      <c r="AC370" s="319">
        <f>IF(OR(ISNUMBER(SEARCH("일3",$H370)),ISNUMBER(SEARCH("일1.3",$H370)),ISNUMBER(SEARCH("일2.3",$H370)),ISNUMBER(SEARCH("일1.2.3",$H370))),1,"")</f>
        <v/>
      </c>
      <c r="AD370" s="319">
        <f>SUM(I370:AC370)</f>
        <v/>
      </c>
      <c r="AE370" s="323" t="n"/>
    </row>
    <row r="371" ht="24" customHeight="1">
      <c r="A371" s="168" t="n"/>
      <c r="B371" s="319" t="n"/>
      <c r="C371" s="319" t="n"/>
      <c r="D371" s="319" t="n"/>
      <c r="E371" s="341" t="n"/>
      <c r="F371" s="341" t="n"/>
      <c r="G371" s="342" t="n"/>
      <c r="H371" s="322" t="n"/>
      <c r="I371" s="319">
        <f>IF(ISNUMBER(SEARCH("월1",$H371)),1,"")</f>
        <v/>
      </c>
      <c r="J371" s="319">
        <f>IF(OR(ISNUMBER(SEARCH("월2",$H371)),ISNUMBER(SEARCH("월1.2",$H371))),1,"")</f>
        <v/>
      </c>
      <c r="K371" s="319">
        <f>IF(OR(ISNUMBER(SEARCH("월3",$H371)),ISNUMBER(SEARCH("월1.3",$H371)),ISNUMBER(SEARCH("월2.3",$H371)),ISNUMBER(SEARCH("월1.2.3",$H371))),1,"")</f>
        <v/>
      </c>
      <c r="L371" s="319">
        <f>IF(ISNUMBER(SEARCH("화1",$H371)),1,"")</f>
        <v/>
      </c>
      <c r="M371" s="319">
        <f>IF(OR(ISNUMBER(SEARCH("화2",$H371)),ISNUMBER(SEARCH("화1.2",$H371))),1,"")</f>
        <v/>
      </c>
      <c r="N371" s="319">
        <f>IF(OR(ISNUMBER(SEARCH("화3",$H371)),ISNUMBER(SEARCH("화1.3",$H371)),ISNUMBER(SEARCH("화2.3",$H371)),ISNUMBER(SEARCH("화1.2.3",$H371))),1,"")</f>
        <v/>
      </c>
      <c r="O371" s="319">
        <f>IF(ISNUMBER(SEARCH("수1",$H371)),1,"")</f>
        <v/>
      </c>
      <c r="P371" s="319">
        <f>IF(OR(ISNUMBER(SEARCH("수2",$H371)),ISNUMBER(SEARCH("수1.2",$H371))),1,"")</f>
        <v/>
      </c>
      <c r="Q371" s="319">
        <f>IF(OR(ISNUMBER(SEARCH("수3",$H371)),ISNUMBER(SEARCH("수1.3",$H371)),ISNUMBER(SEARCH("수2.3",$H371)),ISNUMBER(SEARCH("수1.2.3",$H371))),1,"")</f>
        <v/>
      </c>
      <c r="R371" s="319">
        <f>IF(ISNUMBER(SEARCH("목1",$H371)),1,"")</f>
        <v/>
      </c>
      <c r="S371" s="319">
        <f>IF(OR(ISNUMBER(SEARCH("목2",$H371)),ISNUMBER(SEARCH("목1.2",$H371))),1,"")</f>
        <v/>
      </c>
      <c r="T371" s="319">
        <f>IF(OR(ISNUMBER(SEARCH("목3",$H371)),ISNUMBER(SEARCH("목1.3",$H371)),ISNUMBER(SEARCH("목2.3",$H371)),ISNUMBER(SEARCH("목1.2.3",$H371))),1,"")</f>
        <v/>
      </c>
      <c r="U371" s="319">
        <f>IF(ISNUMBER(SEARCH("금1",$H371)),1,"")</f>
        <v/>
      </c>
      <c r="V371" s="319">
        <f>IF(OR(ISNUMBER(SEARCH("금2",$H371)),ISNUMBER(SEARCH("금1.2",$H371))),1,"")</f>
        <v/>
      </c>
      <c r="W371" s="319">
        <f>IF(OR(ISNUMBER(SEARCH("금3",$H371)),ISNUMBER(SEARCH("금1.3",$H371)),ISNUMBER(SEARCH("금2.3",$H371)),ISNUMBER(SEARCH("금1.2.3",$H371))),1,"")</f>
        <v/>
      </c>
      <c r="X371" s="319">
        <f>IF(ISNUMBER(SEARCH("토1",$H371)),1,"")</f>
        <v/>
      </c>
      <c r="Y371" s="319">
        <f>IF(OR(ISNUMBER(SEARCH("토2",$H371)),ISNUMBER(SEARCH("토1.2",$H371))),1,"")</f>
        <v/>
      </c>
      <c r="Z371" s="319">
        <f>IF(OR(ISNUMBER(SEARCH("토3",$H371)),ISNUMBER(SEARCH("토1.3",$H371)),ISNUMBER(SEARCH("토2.3",$H371)),ISNUMBER(SEARCH("토1.2.3",$H371))),1,"")</f>
        <v/>
      </c>
      <c r="AA371" s="319">
        <f>IF(ISNUMBER(SEARCH("일1",$H371)),1,"")</f>
        <v/>
      </c>
      <c r="AB371" s="319">
        <f>IF(OR(ISNUMBER(SEARCH("일2",$H371)),ISNUMBER(SEARCH("일1.2",$H371))),1,"")</f>
        <v/>
      </c>
      <c r="AC371" s="319">
        <f>IF(OR(ISNUMBER(SEARCH("일3",$H371)),ISNUMBER(SEARCH("일1.3",$H371)),ISNUMBER(SEARCH("일2.3",$H371)),ISNUMBER(SEARCH("일1.2.3",$H371))),1,"")</f>
        <v/>
      </c>
      <c r="AD371" s="319">
        <f>SUM(I371:AC371)</f>
        <v/>
      </c>
      <c r="AE371" s="323" t="n"/>
    </row>
    <row r="372" ht="24" customHeight="1">
      <c r="A372" s="168" t="n"/>
      <c r="B372" s="319" t="n"/>
      <c r="C372" s="319" t="n"/>
      <c r="D372" s="319" t="n"/>
      <c r="E372" s="341" t="n"/>
      <c r="F372" s="341" t="n"/>
      <c r="G372" s="342" t="n"/>
      <c r="H372" s="322" t="n"/>
      <c r="I372" s="319">
        <f>IF(ISNUMBER(SEARCH("월1",$H372)),1,"")</f>
        <v/>
      </c>
      <c r="J372" s="319">
        <f>IF(OR(ISNUMBER(SEARCH("월2",$H372)),ISNUMBER(SEARCH("월1.2",$H372))),1,"")</f>
        <v/>
      </c>
      <c r="K372" s="319">
        <f>IF(OR(ISNUMBER(SEARCH("월3",$H372)),ISNUMBER(SEARCH("월1.3",$H372)),ISNUMBER(SEARCH("월2.3",$H372)),ISNUMBER(SEARCH("월1.2.3",$H372))),1,"")</f>
        <v/>
      </c>
      <c r="L372" s="319">
        <f>IF(ISNUMBER(SEARCH("화1",$H372)),1,"")</f>
        <v/>
      </c>
      <c r="M372" s="319">
        <f>IF(OR(ISNUMBER(SEARCH("화2",$H372)),ISNUMBER(SEARCH("화1.2",$H372))),1,"")</f>
        <v/>
      </c>
      <c r="N372" s="319">
        <f>IF(OR(ISNUMBER(SEARCH("화3",$H372)),ISNUMBER(SEARCH("화1.3",$H372)),ISNUMBER(SEARCH("화2.3",$H372)),ISNUMBER(SEARCH("화1.2.3",$H372))),1,"")</f>
        <v/>
      </c>
      <c r="O372" s="319">
        <f>IF(ISNUMBER(SEARCH("수1",$H372)),1,"")</f>
        <v/>
      </c>
      <c r="P372" s="319">
        <f>IF(OR(ISNUMBER(SEARCH("수2",$H372)),ISNUMBER(SEARCH("수1.2",$H372))),1,"")</f>
        <v/>
      </c>
      <c r="Q372" s="319">
        <f>IF(OR(ISNUMBER(SEARCH("수3",$H372)),ISNUMBER(SEARCH("수1.3",$H372)),ISNUMBER(SEARCH("수2.3",$H372)),ISNUMBER(SEARCH("수1.2.3",$H372))),1,"")</f>
        <v/>
      </c>
      <c r="R372" s="319">
        <f>IF(ISNUMBER(SEARCH("목1",$H372)),1,"")</f>
        <v/>
      </c>
      <c r="S372" s="319">
        <f>IF(OR(ISNUMBER(SEARCH("목2",$H372)),ISNUMBER(SEARCH("목1.2",$H372))),1,"")</f>
        <v/>
      </c>
      <c r="T372" s="319">
        <f>IF(OR(ISNUMBER(SEARCH("목3",$H372)),ISNUMBER(SEARCH("목1.3",$H372)),ISNUMBER(SEARCH("목2.3",$H372)),ISNUMBER(SEARCH("목1.2.3",$H372))),1,"")</f>
        <v/>
      </c>
      <c r="U372" s="319">
        <f>IF(ISNUMBER(SEARCH("금1",$H372)),1,"")</f>
        <v/>
      </c>
      <c r="V372" s="319">
        <f>IF(OR(ISNUMBER(SEARCH("금2",$H372)),ISNUMBER(SEARCH("금1.2",$H372))),1,"")</f>
        <v/>
      </c>
      <c r="W372" s="319">
        <f>IF(OR(ISNUMBER(SEARCH("금3",$H372)),ISNUMBER(SEARCH("금1.3",$H372)),ISNUMBER(SEARCH("금2.3",$H372)),ISNUMBER(SEARCH("금1.2.3",$H372))),1,"")</f>
        <v/>
      </c>
      <c r="X372" s="319">
        <f>IF(ISNUMBER(SEARCH("토1",$H372)),1,"")</f>
        <v/>
      </c>
      <c r="Y372" s="319">
        <f>IF(OR(ISNUMBER(SEARCH("토2",$H372)),ISNUMBER(SEARCH("토1.2",$H372))),1,"")</f>
        <v/>
      </c>
      <c r="Z372" s="319">
        <f>IF(OR(ISNUMBER(SEARCH("토3",$H372)),ISNUMBER(SEARCH("토1.3",$H372)),ISNUMBER(SEARCH("토2.3",$H372)),ISNUMBER(SEARCH("토1.2.3",$H372))),1,"")</f>
        <v/>
      </c>
      <c r="AA372" s="319">
        <f>IF(ISNUMBER(SEARCH("일1",$H372)),1,"")</f>
        <v/>
      </c>
      <c r="AB372" s="319">
        <f>IF(OR(ISNUMBER(SEARCH("일2",$H372)),ISNUMBER(SEARCH("일1.2",$H372))),1,"")</f>
        <v/>
      </c>
      <c r="AC372" s="319">
        <f>IF(OR(ISNUMBER(SEARCH("일3",$H372)),ISNUMBER(SEARCH("일1.3",$H372)),ISNUMBER(SEARCH("일2.3",$H372)),ISNUMBER(SEARCH("일1.2.3",$H372))),1,"")</f>
        <v/>
      </c>
      <c r="AD372" s="319">
        <f>SUM(I372:AC372)</f>
        <v/>
      </c>
      <c r="AE372" s="323" t="n"/>
    </row>
    <row r="373" ht="24" customHeight="1">
      <c r="A373" s="168" t="n"/>
      <c r="B373" s="319" t="n"/>
      <c r="C373" s="319" t="n"/>
      <c r="D373" s="319" t="n"/>
      <c r="E373" s="341" t="n"/>
      <c r="F373" s="341" t="n"/>
      <c r="G373" s="342" t="n"/>
      <c r="H373" s="322" t="n"/>
      <c r="I373" s="319">
        <f>IF(ISNUMBER(SEARCH("월1",$H373)),1,"")</f>
        <v/>
      </c>
      <c r="J373" s="319">
        <f>IF(OR(ISNUMBER(SEARCH("월2",$H373)),ISNUMBER(SEARCH("월1.2",$H373))),1,"")</f>
        <v/>
      </c>
      <c r="K373" s="319">
        <f>IF(OR(ISNUMBER(SEARCH("월3",$H373)),ISNUMBER(SEARCH("월1.3",$H373)),ISNUMBER(SEARCH("월2.3",$H373)),ISNUMBER(SEARCH("월1.2.3",$H373))),1,"")</f>
        <v/>
      </c>
      <c r="L373" s="319">
        <f>IF(ISNUMBER(SEARCH("화1",$H373)),1,"")</f>
        <v/>
      </c>
      <c r="M373" s="319">
        <f>IF(OR(ISNUMBER(SEARCH("화2",$H373)),ISNUMBER(SEARCH("화1.2",$H373))),1,"")</f>
        <v/>
      </c>
      <c r="N373" s="319">
        <f>IF(OR(ISNUMBER(SEARCH("화3",$H373)),ISNUMBER(SEARCH("화1.3",$H373)),ISNUMBER(SEARCH("화2.3",$H373)),ISNUMBER(SEARCH("화1.2.3",$H373))),1,"")</f>
        <v/>
      </c>
      <c r="O373" s="319">
        <f>IF(ISNUMBER(SEARCH("수1",$H373)),1,"")</f>
        <v/>
      </c>
      <c r="P373" s="319">
        <f>IF(OR(ISNUMBER(SEARCH("수2",$H373)),ISNUMBER(SEARCH("수1.2",$H373))),1,"")</f>
        <v/>
      </c>
      <c r="Q373" s="319">
        <f>IF(OR(ISNUMBER(SEARCH("수3",$H373)),ISNUMBER(SEARCH("수1.3",$H373)),ISNUMBER(SEARCH("수2.3",$H373)),ISNUMBER(SEARCH("수1.2.3",$H373))),1,"")</f>
        <v/>
      </c>
      <c r="R373" s="319">
        <f>IF(ISNUMBER(SEARCH("목1",$H373)),1,"")</f>
        <v/>
      </c>
      <c r="S373" s="319">
        <f>IF(OR(ISNUMBER(SEARCH("목2",$H373)),ISNUMBER(SEARCH("목1.2",$H373))),1,"")</f>
        <v/>
      </c>
      <c r="T373" s="319">
        <f>IF(OR(ISNUMBER(SEARCH("목3",$H373)),ISNUMBER(SEARCH("목1.3",$H373)),ISNUMBER(SEARCH("목2.3",$H373)),ISNUMBER(SEARCH("목1.2.3",$H373))),1,"")</f>
        <v/>
      </c>
      <c r="U373" s="319">
        <f>IF(ISNUMBER(SEARCH("금1",$H373)),1,"")</f>
        <v/>
      </c>
      <c r="V373" s="319">
        <f>IF(OR(ISNUMBER(SEARCH("금2",$H373)),ISNUMBER(SEARCH("금1.2",$H373))),1,"")</f>
        <v/>
      </c>
      <c r="W373" s="319">
        <f>IF(OR(ISNUMBER(SEARCH("금3",$H373)),ISNUMBER(SEARCH("금1.3",$H373)),ISNUMBER(SEARCH("금2.3",$H373)),ISNUMBER(SEARCH("금1.2.3",$H373))),1,"")</f>
        <v/>
      </c>
      <c r="X373" s="319">
        <f>IF(ISNUMBER(SEARCH("토1",$H373)),1,"")</f>
        <v/>
      </c>
      <c r="Y373" s="319">
        <f>IF(OR(ISNUMBER(SEARCH("토2",$H373)),ISNUMBER(SEARCH("토1.2",$H373))),1,"")</f>
        <v/>
      </c>
      <c r="Z373" s="319">
        <f>IF(OR(ISNUMBER(SEARCH("토3",$H373)),ISNUMBER(SEARCH("토1.3",$H373)),ISNUMBER(SEARCH("토2.3",$H373)),ISNUMBER(SEARCH("토1.2.3",$H373))),1,"")</f>
        <v/>
      </c>
      <c r="AA373" s="319">
        <f>IF(ISNUMBER(SEARCH("일1",$H373)),1,"")</f>
        <v/>
      </c>
      <c r="AB373" s="319">
        <f>IF(OR(ISNUMBER(SEARCH("일2",$H373)),ISNUMBER(SEARCH("일1.2",$H373))),1,"")</f>
        <v/>
      </c>
      <c r="AC373" s="319">
        <f>IF(OR(ISNUMBER(SEARCH("일3",$H373)),ISNUMBER(SEARCH("일1.3",$H373)),ISNUMBER(SEARCH("일2.3",$H373)),ISNUMBER(SEARCH("일1.2.3",$H373))),1,"")</f>
        <v/>
      </c>
      <c r="AD373" s="319">
        <f>SUM(I373:AC373)</f>
        <v/>
      </c>
      <c r="AE373" s="323" t="n"/>
    </row>
    <row r="374" ht="24" customHeight="1">
      <c r="A374" s="168" t="n"/>
      <c r="B374" s="319" t="n"/>
      <c r="C374" s="319" t="n"/>
      <c r="D374" s="319" t="n"/>
      <c r="E374" s="341" t="n"/>
      <c r="F374" s="341" t="n"/>
      <c r="G374" s="342" t="n"/>
      <c r="H374" s="322" t="n"/>
      <c r="I374" s="319">
        <f>IF(ISNUMBER(SEARCH("월1",$H374)),1,"")</f>
        <v/>
      </c>
      <c r="J374" s="319">
        <f>IF(OR(ISNUMBER(SEARCH("월2",$H374)),ISNUMBER(SEARCH("월1.2",$H374))),1,"")</f>
        <v/>
      </c>
      <c r="K374" s="319">
        <f>IF(OR(ISNUMBER(SEARCH("월3",$H374)),ISNUMBER(SEARCH("월1.3",$H374)),ISNUMBER(SEARCH("월2.3",$H374)),ISNUMBER(SEARCH("월1.2.3",$H374))),1,"")</f>
        <v/>
      </c>
      <c r="L374" s="319">
        <f>IF(ISNUMBER(SEARCH("화1",$H374)),1,"")</f>
        <v/>
      </c>
      <c r="M374" s="319">
        <f>IF(OR(ISNUMBER(SEARCH("화2",$H374)),ISNUMBER(SEARCH("화1.2",$H374))),1,"")</f>
        <v/>
      </c>
      <c r="N374" s="319">
        <f>IF(OR(ISNUMBER(SEARCH("화3",$H374)),ISNUMBER(SEARCH("화1.3",$H374)),ISNUMBER(SEARCH("화2.3",$H374)),ISNUMBER(SEARCH("화1.2.3",$H374))),1,"")</f>
        <v/>
      </c>
      <c r="O374" s="319">
        <f>IF(ISNUMBER(SEARCH("수1",$H374)),1,"")</f>
        <v/>
      </c>
      <c r="P374" s="319">
        <f>IF(OR(ISNUMBER(SEARCH("수2",$H374)),ISNUMBER(SEARCH("수1.2",$H374))),1,"")</f>
        <v/>
      </c>
      <c r="Q374" s="319">
        <f>IF(OR(ISNUMBER(SEARCH("수3",$H374)),ISNUMBER(SEARCH("수1.3",$H374)),ISNUMBER(SEARCH("수2.3",$H374)),ISNUMBER(SEARCH("수1.2.3",$H374))),1,"")</f>
        <v/>
      </c>
      <c r="R374" s="319">
        <f>IF(ISNUMBER(SEARCH("목1",$H374)),1,"")</f>
        <v/>
      </c>
      <c r="S374" s="319">
        <f>IF(OR(ISNUMBER(SEARCH("목2",$H374)),ISNUMBER(SEARCH("목1.2",$H374))),1,"")</f>
        <v/>
      </c>
      <c r="T374" s="319">
        <f>IF(OR(ISNUMBER(SEARCH("목3",$H374)),ISNUMBER(SEARCH("목1.3",$H374)),ISNUMBER(SEARCH("목2.3",$H374)),ISNUMBER(SEARCH("목1.2.3",$H374))),1,"")</f>
        <v/>
      </c>
      <c r="U374" s="319">
        <f>IF(ISNUMBER(SEARCH("금1",$H374)),1,"")</f>
        <v/>
      </c>
      <c r="V374" s="319">
        <f>IF(OR(ISNUMBER(SEARCH("금2",$H374)),ISNUMBER(SEARCH("금1.2",$H374))),1,"")</f>
        <v/>
      </c>
      <c r="W374" s="319">
        <f>IF(OR(ISNUMBER(SEARCH("금3",$H374)),ISNUMBER(SEARCH("금1.3",$H374)),ISNUMBER(SEARCH("금2.3",$H374)),ISNUMBER(SEARCH("금1.2.3",$H374))),1,"")</f>
        <v/>
      </c>
      <c r="X374" s="319">
        <f>IF(ISNUMBER(SEARCH("토1",$H374)),1,"")</f>
        <v/>
      </c>
      <c r="Y374" s="319">
        <f>IF(OR(ISNUMBER(SEARCH("토2",$H374)),ISNUMBER(SEARCH("토1.2",$H374))),1,"")</f>
        <v/>
      </c>
      <c r="Z374" s="319">
        <f>IF(OR(ISNUMBER(SEARCH("토3",$H374)),ISNUMBER(SEARCH("토1.3",$H374)),ISNUMBER(SEARCH("토2.3",$H374)),ISNUMBER(SEARCH("토1.2.3",$H374))),1,"")</f>
        <v/>
      </c>
      <c r="AA374" s="319">
        <f>IF(ISNUMBER(SEARCH("일1",$H374)),1,"")</f>
        <v/>
      </c>
      <c r="AB374" s="319">
        <f>IF(OR(ISNUMBER(SEARCH("일2",$H374)),ISNUMBER(SEARCH("일1.2",$H374))),1,"")</f>
        <v/>
      </c>
      <c r="AC374" s="319">
        <f>IF(OR(ISNUMBER(SEARCH("일3",$H374)),ISNUMBER(SEARCH("일1.3",$H374)),ISNUMBER(SEARCH("일2.3",$H374)),ISNUMBER(SEARCH("일1.2.3",$H374))),1,"")</f>
        <v/>
      </c>
      <c r="AD374" s="319">
        <f>SUM(I374:AC374)</f>
        <v/>
      </c>
      <c r="AE374" s="323" t="n"/>
    </row>
    <row r="375" ht="24" customHeight="1">
      <c r="A375" s="168" t="n"/>
      <c r="B375" s="319" t="n"/>
      <c r="C375" s="319" t="n"/>
      <c r="D375" s="319" t="n"/>
      <c r="E375" s="341" t="n"/>
      <c r="F375" s="341" t="n"/>
      <c r="G375" s="342" t="n"/>
      <c r="H375" s="322" t="n"/>
      <c r="I375" s="319">
        <f>IF(ISNUMBER(SEARCH("월1",$H375)),1,"")</f>
        <v/>
      </c>
      <c r="J375" s="319">
        <f>IF(OR(ISNUMBER(SEARCH("월2",$H375)),ISNUMBER(SEARCH("월1.2",$H375))),1,"")</f>
        <v/>
      </c>
      <c r="K375" s="319">
        <f>IF(OR(ISNUMBER(SEARCH("월3",$H375)),ISNUMBER(SEARCH("월1.3",$H375)),ISNUMBER(SEARCH("월2.3",$H375)),ISNUMBER(SEARCH("월1.2.3",$H375))),1,"")</f>
        <v/>
      </c>
      <c r="L375" s="319">
        <f>IF(ISNUMBER(SEARCH("화1",$H375)),1,"")</f>
        <v/>
      </c>
      <c r="M375" s="319">
        <f>IF(OR(ISNUMBER(SEARCH("화2",$H375)),ISNUMBER(SEARCH("화1.2",$H375))),1,"")</f>
        <v/>
      </c>
      <c r="N375" s="319">
        <f>IF(OR(ISNUMBER(SEARCH("화3",$H375)),ISNUMBER(SEARCH("화1.3",$H375)),ISNUMBER(SEARCH("화2.3",$H375)),ISNUMBER(SEARCH("화1.2.3",$H375))),1,"")</f>
        <v/>
      </c>
      <c r="O375" s="319">
        <f>IF(ISNUMBER(SEARCH("수1",$H375)),1,"")</f>
        <v/>
      </c>
      <c r="P375" s="319">
        <f>IF(OR(ISNUMBER(SEARCH("수2",$H375)),ISNUMBER(SEARCH("수1.2",$H375))),1,"")</f>
        <v/>
      </c>
      <c r="Q375" s="319">
        <f>IF(OR(ISNUMBER(SEARCH("수3",$H375)),ISNUMBER(SEARCH("수1.3",$H375)),ISNUMBER(SEARCH("수2.3",$H375)),ISNUMBER(SEARCH("수1.2.3",$H375))),1,"")</f>
        <v/>
      </c>
      <c r="R375" s="319">
        <f>IF(ISNUMBER(SEARCH("목1",$H375)),1,"")</f>
        <v/>
      </c>
      <c r="S375" s="319">
        <f>IF(OR(ISNUMBER(SEARCH("목2",$H375)),ISNUMBER(SEARCH("목1.2",$H375))),1,"")</f>
        <v/>
      </c>
      <c r="T375" s="319">
        <f>IF(OR(ISNUMBER(SEARCH("목3",$H375)),ISNUMBER(SEARCH("목1.3",$H375)),ISNUMBER(SEARCH("목2.3",$H375)),ISNUMBER(SEARCH("목1.2.3",$H375))),1,"")</f>
        <v/>
      </c>
      <c r="U375" s="319">
        <f>IF(ISNUMBER(SEARCH("금1",$H375)),1,"")</f>
        <v/>
      </c>
      <c r="V375" s="319">
        <f>IF(OR(ISNUMBER(SEARCH("금2",$H375)),ISNUMBER(SEARCH("금1.2",$H375))),1,"")</f>
        <v/>
      </c>
      <c r="W375" s="319">
        <f>IF(OR(ISNUMBER(SEARCH("금3",$H375)),ISNUMBER(SEARCH("금1.3",$H375)),ISNUMBER(SEARCH("금2.3",$H375)),ISNUMBER(SEARCH("금1.2.3",$H375))),1,"")</f>
        <v/>
      </c>
      <c r="X375" s="319">
        <f>IF(ISNUMBER(SEARCH("토1",$H375)),1,"")</f>
        <v/>
      </c>
      <c r="Y375" s="319">
        <f>IF(OR(ISNUMBER(SEARCH("토2",$H375)),ISNUMBER(SEARCH("토1.2",$H375))),1,"")</f>
        <v/>
      </c>
      <c r="Z375" s="319">
        <f>IF(OR(ISNUMBER(SEARCH("토3",$H375)),ISNUMBER(SEARCH("토1.3",$H375)),ISNUMBER(SEARCH("토2.3",$H375)),ISNUMBER(SEARCH("토1.2.3",$H375))),1,"")</f>
        <v/>
      </c>
      <c r="AA375" s="319">
        <f>IF(ISNUMBER(SEARCH("일1",$H375)),1,"")</f>
        <v/>
      </c>
      <c r="AB375" s="319">
        <f>IF(OR(ISNUMBER(SEARCH("일2",$H375)),ISNUMBER(SEARCH("일1.2",$H375))),1,"")</f>
        <v/>
      </c>
      <c r="AC375" s="319">
        <f>IF(OR(ISNUMBER(SEARCH("일3",$H375)),ISNUMBER(SEARCH("일1.3",$H375)),ISNUMBER(SEARCH("일2.3",$H375)),ISNUMBER(SEARCH("일1.2.3",$H375))),1,"")</f>
        <v/>
      </c>
      <c r="AD375" s="319">
        <f>SUM(I375:AC375)</f>
        <v/>
      </c>
      <c r="AE375" s="323" t="n"/>
    </row>
    <row r="376" ht="24" customHeight="1">
      <c r="A376" s="168" t="n"/>
      <c r="B376" s="319" t="n"/>
      <c r="C376" s="319" t="n"/>
      <c r="D376" s="319" t="n"/>
      <c r="E376" s="341" t="n"/>
      <c r="F376" s="341" t="n"/>
      <c r="G376" s="342" t="n"/>
      <c r="H376" s="322" t="n"/>
      <c r="I376" s="319">
        <f>IF(ISNUMBER(SEARCH("월1",$H376)),1,"")</f>
        <v/>
      </c>
      <c r="J376" s="319">
        <f>IF(OR(ISNUMBER(SEARCH("월2",$H376)),ISNUMBER(SEARCH("월1.2",$H376))),1,"")</f>
        <v/>
      </c>
      <c r="K376" s="319">
        <f>IF(OR(ISNUMBER(SEARCH("월3",$H376)),ISNUMBER(SEARCH("월1.3",$H376)),ISNUMBER(SEARCH("월2.3",$H376)),ISNUMBER(SEARCH("월1.2.3",$H376))),1,"")</f>
        <v/>
      </c>
      <c r="L376" s="319">
        <f>IF(ISNUMBER(SEARCH("화1",$H376)),1,"")</f>
        <v/>
      </c>
      <c r="M376" s="319">
        <f>IF(OR(ISNUMBER(SEARCH("화2",$H376)),ISNUMBER(SEARCH("화1.2",$H376))),1,"")</f>
        <v/>
      </c>
      <c r="N376" s="319">
        <f>IF(OR(ISNUMBER(SEARCH("화3",$H376)),ISNUMBER(SEARCH("화1.3",$H376)),ISNUMBER(SEARCH("화2.3",$H376)),ISNUMBER(SEARCH("화1.2.3",$H376))),1,"")</f>
        <v/>
      </c>
      <c r="O376" s="319">
        <f>IF(ISNUMBER(SEARCH("수1",$H376)),1,"")</f>
        <v/>
      </c>
      <c r="P376" s="319">
        <f>IF(OR(ISNUMBER(SEARCH("수2",$H376)),ISNUMBER(SEARCH("수1.2",$H376))),1,"")</f>
        <v/>
      </c>
      <c r="Q376" s="319">
        <f>IF(OR(ISNUMBER(SEARCH("수3",$H376)),ISNUMBER(SEARCH("수1.3",$H376)),ISNUMBER(SEARCH("수2.3",$H376)),ISNUMBER(SEARCH("수1.2.3",$H376))),1,"")</f>
        <v/>
      </c>
      <c r="R376" s="319">
        <f>IF(ISNUMBER(SEARCH("목1",$H376)),1,"")</f>
        <v/>
      </c>
      <c r="S376" s="319">
        <f>IF(OR(ISNUMBER(SEARCH("목2",$H376)),ISNUMBER(SEARCH("목1.2",$H376))),1,"")</f>
        <v/>
      </c>
      <c r="T376" s="319">
        <f>IF(OR(ISNUMBER(SEARCH("목3",$H376)),ISNUMBER(SEARCH("목1.3",$H376)),ISNUMBER(SEARCH("목2.3",$H376)),ISNUMBER(SEARCH("목1.2.3",$H376))),1,"")</f>
        <v/>
      </c>
      <c r="U376" s="319">
        <f>IF(ISNUMBER(SEARCH("금1",$H376)),1,"")</f>
        <v/>
      </c>
      <c r="V376" s="319">
        <f>IF(OR(ISNUMBER(SEARCH("금2",$H376)),ISNUMBER(SEARCH("금1.2",$H376))),1,"")</f>
        <v/>
      </c>
      <c r="W376" s="319">
        <f>IF(OR(ISNUMBER(SEARCH("금3",$H376)),ISNUMBER(SEARCH("금1.3",$H376)),ISNUMBER(SEARCH("금2.3",$H376)),ISNUMBER(SEARCH("금1.2.3",$H376))),1,"")</f>
        <v/>
      </c>
      <c r="X376" s="319">
        <f>IF(ISNUMBER(SEARCH("토1",$H376)),1,"")</f>
        <v/>
      </c>
      <c r="Y376" s="319">
        <f>IF(OR(ISNUMBER(SEARCH("토2",$H376)),ISNUMBER(SEARCH("토1.2",$H376))),1,"")</f>
        <v/>
      </c>
      <c r="Z376" s="319">
        <f>IF(OR(ISNUMBER(SEARCH("토3",$H376)),ISNUMBER(SEARCH("토1.3",$H376)),ISNUMBER(SEARCH("토2.3",$H376)),ISNUMBER(SEARCH("토1.2.3",$H376))),1,"")</f>
        <v/>
      </c>
      <c r="AA376" s="319">
        <f>IF(ISNUMBER(SEARCH("일1",$H376)),1,"")</f>
        <v/>
      </c>
      <c r="AB376" s="319">
        <f>IF(OR(ISNUMBER(SEARCH("일2",$H376)),ISNUMBER(SEARCH("일1.2",$H376))),1,"")</f>
        <v/>
      </c>
      <c r="AC376" s="319">
        <f>IF(OR(ISNUMBER(SEARCH("일3",$H376)),ISNUMBER(SEARCH("일1.3",$H376)),ISNUMBER(SEARCH("일2.3",$H376)),ISNUMBER(SEARCH("일1.2.3",$H376))),1,"")</f>
        <v/>
      </c>
      <c r="AD376" s="319">
        <f>SUM(I376:AC376)</f>
        <v/>
      </c>
      <c r="AE376" s="323" t="n"/>
    </row>
    <row r="377" ht="24" customHeight="1">
      <c r="A377" s="168" t="n"/>
      <c r="B377" s="319" t="n"/>
      <c r="C377" s="319" t="n"/>
      <c r="D377" s="319" t="n"/>
      <c r="E377" s="341" t="n"/>
      <c r="F377" s="341" t="n"/>
      <c r="G377" s="342" t="n"/>
      <c r="H377" s="322" t="n"/>
      <c r="I377" s="319">
        <f>IF(ISNUMBER(SEARCH("월1",$H377)),1,"")</f>
        <v/>
      </c>
      <c r="J377" s="319">
        <f>IF(OR(ISNUMBER(SEARCH("월2",$H377)),ISNUMBER(SEARCH("월1.2",$H377))),1,"")</f>
        <v/>
      </c>
      <c r="K377" s="319">
        <f>IF(OR(ISNUMBER(SEARCH("월3",$H377)),ISNUMBER(SEARCH("월1.3",$H377)),ISNUMBER(SEARCH("월2.3",$H377)),ISNUMBER(SEARCH("월1.2.3",$H377))),1,"")</f>
        <v/>
      </c>
      <c r="L377" s="319">
        <f>IF(ISNUMBER(SEARCH("화1",$H377)),1,"")</f>
        <v/>
      </c>
      <c r="M377" s="319">
        <f>IF(OR(ISNUMBER(SEARCH("화2",$H377)),ISNUMBER(SEARCH("화1.2",$H377))),1,"")</f>
        <v/>
      </c>
      <c r="N377" s="319">
        <f>IF(OR(ISNUMBER(SEARCH("화3",$H377)),ISNUMBER(SEARCH("화1.3",$H377)),ISNUMBER(SEARCH("화2.3",$H377)),ISNUMBER(SEARCH("화1.2.3",$H377))),1,"")</f>
        <v/>
      </c>
      <c r="O377" s="319">
        <f>IF(ISNUMBER(SEARCH("수1",$H377)),1,"")</f>
        <v/>
      </c>
      <c r="P377" s="319">
        <f>IF(OR(ISNUMBER(SEARCH("수2",$H377)),ISNUMBER(SEARCH("수1.2",$H377))),1,"")</f>
        <v/>
      </c>
      <c r="Q377" s="319">
        <f>IF(OR(ISNUMBER(SEARCH("수3",$H377)),ISNUMBER(SEARCH("수1.3",$H377)),ISNUMBER(SEARCH("수2.3",$H377)),ISNUMBER(SEARCH("수1.2.3",$H377))),1,"")</f>
        <v/>
      </c>
      <c r="R377" s="319">
        <f>IF(ISNUMBER(SEARCH("목1",$H377)),1,"")</f>
        <v/>
      </c>
      <c r="S377" s="319">
        <f>IF(OR(ISNUMBER(SEARCH("목2",$H377)),ISNUMBER(SEARCH("목1.2",$H377))),1,"")</f>
        <v/>
      </c>
      <c r="T377" s="319">
        <f>IF(OR(ISNUMBER(SEARCH("목3",$H377)),ISNUMBER(SEARCH("목1.3",$H377)),ISNUMBER(SEARCH("목2.3",$H377)),ISNUMBER(SEARCH("목1.2.3",$H377))),1,"")</f>
        <v/>
      </c>
      <c r="U377" s="319">
        <f>IF(ISNUMBER(SEARCH("금1",$H377)),1,"")</f>
        <v/>
      </c>
      <c r="V377" s="319">
        <f>IF(OR(ISNUMBER(SEARCH("금2",$H377)),ISNUMBER(SEARCH("금1.2",$H377))),1,"")</f>
        <v/>
      </c>
      <c r="W377" s="319">
        <f>IF(OR(ISNUMBER(SEARCH("금3",$H377)),ISNUMBER(SEARCH("금1.3",$H377)),ISNUMBER(SEARCH("금2.3",$H377)),ISNUMBER(SEARCH("금1.2.3",$H377))),1,"")</f>
        <v/>
      </c>
      <c r="X377" s="319">
        <f>IF(ISNUMBER(SEARCH("토1",$H377)),1,"")</f>
        <v/>
      </c>
      <c r="Y377" s="319">
        <f>IF(OR(ISNUMBER(SEARCH("토2",$H377)),ISNUMBER(SEARCH("토1.2",$H377))),1,"")</f>
        <v/>
      </c>
      <c r="Z377" s="319">
        <f>IF(OR(ISNUMBER(SEARCH("토3",$H377)),ISNUMBER(SEARCH("토1.3",$H377)),ISNUMBER(SEARCH("토2.3",$H377)),ISNUMBER(SEARCH("토1.2.3",$H377))),1,"")</f>
        <v/>
      </c>
      <c r="AA377" s="319">
        <f>IF(ISNUMBER(SEARCH("일1",$H377)),1,"")</f>
        <v/>
      </c>
      <c r="AB377" s="319">
        <f>IF(OR(ISNUMBER(SEARCH("일2",$H377)),ISNUMBER(SEARCH("일1.2",$H377))),1,"")</f>
        <v/>
      </c>
      <c r="AC377" s="319">
        <f>IF(OR(ISNUMBER(SEARCH("일3",$H377)),ISNUMBER(SEARCH("일1.3",$H377)),ISNUMBER(SEARCH("일2.3",$H377)),ISNUMBER(SEARCH("일1.2.3",$H377))),1,"")</f>
        <v/>
      </c>
      <c r="AD377" s="319">
        <f>SUM(I377:AC377)</f>
        <v/>
      </c>
      <c r="AE377" s="323" t="n"/>
    </row>
    <row r="378" ht="24" customHeight="1">
      <c r="A378" s="168" t="n"/>
      <c r="B378" s="319" t="n"/>
      <c r="C378" s="319" t="n"/>
      <c r="D378" s="319" t="n"/>
      <c r="E378" s="341" t="n"/>
      <c r="F378" s="341" t="n"/>
      <c r="G378" s="342" t="n"/>
      <c r="H378" s="322" t="n"/>
      <c r="I378" s="319">
        <f>IF(ISNUMBER(SEARCH("월1",$H378)),1,"")</f>
        <v/>
      </c>
      <c r="J378" s="319">
        <f>IF(OR(ISNUMBER(SEARCH("월2",$H378)),ISNUMBER(SEARCH("월1.2",$H378))),1,"")</f>
        <v/>
      </c>
      <c r="K378" s="319">
        <f>IF(OR(ISNUMBER(SEARCH("월3",$H378)),ISNUMBER(SEARCH("월1.3",$H378)),ISNUMBER(SEARCH("월2.3",$H378)),ISNUMBER(SEARCH("월1.2.3",$H378))),1,"")</f>
        <v/>
      </c>
      <c r="L378" s="319">
        <f>IF(ISNUMBER(SEARCH("화1",$H378)),1,"")</f>
        <v/>
      </c>
      <c r="M378" s="319">
        <f>IF(OR(ISNUMBER(SEARCH("화2",$H378)),ISNUMBER(SEARCH("화1.2",$H378))),1,"")</f>
        <v/>
      </c>
      <c r="N378" s="319">
        <f>IF(OR(ISNUMBER(SEARCH("화3",$H378)),ISNUMBER(SEARCH("화1.3",$H378)),ISNUMBER(SEARCH("화2.3",$H378)),ISNUMBER(SEARCH("화1.2.3",$H378))),1,"")</f>
        <v/>
      </c>
      <c r="O378" s="319">
        <f>IF(ISNUMBER(SEARCH("수1",$H378)),1,"")</f>
        <v/>
      </c>
      <c r="P378" s="319">
        <f>IF(OR(ISNUMBER(SEARCH("수2",$H378)),ISNUMBER(SEARCH("수1.2",$H378))),1,"")</f>
        <v/>
      </c>
      <c r="Q378" s="319">
        <f>IF(OR(ISNUMBER(SEARCH("수3",$H378)),ISNUMBER(SEARCH("수1.3",$H378)),ISNUMBER(SEARCH("수2.3",$H378)),ISNUMBER(SEARCH("수1.2.3",$H378))),1,"")</f>
        <v/>
      </c>
      <c r="R378" s="319">
        <f>IF(ISNUMBER(SEARCH("목1",$H378)),1,"")</f>
        <v/>
      </c>
      <c r="S378" s="319">
        <f>IF(OR(ISNUMBER(SEARCH("목2",$H378)),ISNUMBER(SEARCH("목1.2",$H378))),1,"")</f>
        <v/>
      </c>
      <c r="T378" s="319">
        <f>IF(OR(ISNUMBER(SEARCH("목3",$H378)),ISNUMBER(SEARCH("목1.3",$H378)),ISNUMBER(SEARCH("목2.3",$H378)),ISNUMBER(SEARCH("목1.2.3",$H378))),1,"")</f>
        <v/>
      </c>
      <c r="U378" s="319">
        <f>IF(ISNUMBER(SEARCH("금1",$H378)),1,"")</f>
        <v/>
      </c>
      <c r="V378" s="319">
        <f>IF(OR(ISNUMBER(SEARCH("금2",$H378)),ISNUMBER(SEARCH("금1.2",$H378))),1,"")</f>
        <v/>
      </c>
      <c r="W378" s="319">
        <f>IF(OR(ISNUMBER(SEARCH("금3",$H378)),ISNUMBER(SEARCH("금1.3",$H378)),ISNUMBER(SEARCH("금2.3",$H378)),ISNUMBER(SEARCH("금1.2.3",$H378))),1,"")</f>
        <v/>
      </c>
      <c r="X378" s="319">
        <f>IF(ISNUMBER(SEARCH("토1",$H378)),1,"")</f>
        <v/>
      </c>
      <c r="Y378" s="319">
        <f>IF(OR(ISNUMBER(SEARCH("토2",$H378)),ISNUMBER(SEARCH("토1.2",$H378))),1,"")</f>
        <v/>
      </c>
      <c r="Z378" s="319">
        <f>IF(OR(ISNUMBER(SEARCH("토3",$H378)),ISNUMBER(SEARCH("토1.3",$H378)),ISNUMBER(SEARCH("토2.3",$H378)),ISNUMBER(SEARCH("토1.2.3",$H378))),1,"")</f>
        <v/>
      </c>
      <c r="AA378" s="319">
        <f>IF(ISNUMBER(SEARCH("일1",$H378)),1,"")</f>
        <v/>
      </c>
      <c r="AB378" s="319">
        <f>IF(OR(ISNUMBER(SEARCH("일2",$H378)),ISNUMBER(SEARCH("일1.2",$H378))),1,"")</f>
        <v/>
      </c>
      <c r="AC378" s="319">
        <f>IF(OR(ISNUMBER(SEARCH("일3",$H378)),ISNUMBER(SEARCH("일1.3",$H378)),ISNUMBER(SEARCH("일2.3",$H378)),ISNUMBER(SEARCH("일1.2.3",$H378))),1,"")</f>
        <v/>
      </c>
      <c r="AD378" s="319">
        <f>SUM(I378:AC378)</f>
        <v/>
      </c>
      <c r="AE378" s="323" t="n"/>
    </row>
    <row r="379" ht="24" customHeight="1">
      <c r="A379" s="168" t="n"/>
      <c r="B379" s="319" t="n"/>
      <c r="C379" s="319" t="n"/>
      <c r="D379" s="319" t="n"/>
      <c r="E379" s="341" t="n"/>
      <c r="F379" s="341" t="n"/>
      <c r="G379" s="342" t="n"/>
      <c r="H379" s="322" t="n"/>
      <c r="I379" s="319">
        <f>IF(ISNUMBER(SEARCH("월1",$H379)),1,"")</f>
        <v/>
      </c>
      <c r="J379" s="319">
        <f>IF(OR(ISNUMBER(SEARCH("월2",$H379)),ISNUMBER(SEARCH("월1.2",$H379))),1,"")</f>
        <v/>
      </c>
      <c r="K379" s="319">
        <f>IF(OR(ISNUMBER(SEARCH("월3",$H379)),ISNUMBER(SEARCH("월1.3",$H379)),ISNUMBER(SEARCH("월2.3",$H379)),ISNUMBER(SEARCH("월1.2.3",$H379))),1,"")</f>
        <v/>
      </c>
      <c r="L379" s="319">
        <f>IF(ISNUMBER(SEARCH("화1",$H379)),1,"")</f>
        <v/>
      </c>
      <c r="M379" s="319">
        <f>IF(OR(ISNUMBER(SEARCH("화2",$H379)),ISNUMBER(SEARCH("화1.2",$H379))),1,"")</f>
        <v/>
      </c>
      <c r="N379" s="319">
        <f>IF(OR(ISNUMBER(SEARCH("화3",$H379)),ISNUMBER(SEARCH("화1.3",$H379)),ISNUMBER(SEARCH("화2.3",$H379)),ISNUMBER(SEARCH("화1.2.3",$H379))),1,"")</f>
        <v/>
      </c>
      <c r="O379" s="319">
        <f>IF(ISNUMBER(SEARCH("수1",$H379)),1,"")</f>
        <v/>
      </c>
      <c r="P379" s="319">
        <f>IF(OR(ISNUMBER(SEARCH("수2",$H379)),ISNUMBER(SEARCH("수1.2",$H379))),1,"")</f>
        <v/>
      </c>
      <c r="Q379" s="319">
        <f>IF(OR(ISNUMBER(SEARCH("수3",$H379)),ISNUMBER(SEARCH("수1.3",$H379)),ISNUMBER(SEARCH("수2.3",$H379)),ISNUMBER(SEARCH("수1.2.3",$H379))),1,"")</f>
        <v/>
      </c>
      <c r="R379" s="319">
        <f>IF(ISNUMBER(SEARCH("목1",$H379)),1,"")</f>
        <v/>
      </c>
      <c r="S379" s="319">
        <f>IF(OR(ISNUMBER(SEARCH("목2",$H379)),ISNUMBER(SEARCH("목1.2",$H379))),1,"")</f>
        <v/>
      </c>
      <c r="T379" s="319">
        <f>IF(OR(ISNUMBER(SEARCH("목3",$H379)),ISNUMBER(SEARCH("목1.3",$H379)),ISNUMBER(SEARCH("목2.3",$H379)),ISNUMBER(SEARCH("목1.2.3",$H379))),1,"")</f>
        <v/>
      </c>
      <c r="U379" s="319">
        <f>IF(ISNUMBER(SEARCH("금1",$H379)),1,"")</f>
        <v/>
      </c>
      <c r="V379" s="319">
        <f>IF(OR(ISNUMBER(SEARCH("금2",$H379)),ISNUMBER(SEARCH("금1.2",$H379))),1,"")</f>
        <v/>
      </c>
      <c r="W379" s="319">
        <f>IF(OR(ISNUMBER(SEARCH("금3",$H379)),ISNUMBER(SEARCH("금1.3",$H379)),ISNUMBER(SEARCH("금2.3",$H379)),ISNUMBER(SEARCH("금1.2.3",$H379))),1,"")</f>
        <v/>
      </c>
      <c r="X379" s="319">
        <f>IF(ISNUMBER(SEARCH("토1",$H379)),1,"")</f>
        <v/>
      </c>
      <c r="Y379" s="319">
        <f>IF(OR(ISNUMBER(SEARCH("토2",$H379)),ISNUMBER(SEARCH("토1.2",$H379))),1,"")</f>
        <v/>
      </c>
      <c r="Z379" s="319">
        <f>IF(OR(ISNUMBER(SEARCH("토3",$H379)),ISNUMBER(SEARCH("토1.3",$H379)),ISNUMBER(SEARCH("토2.3",$H379)),ISNUMBER(SEARCH("토1.2.3",$H379))),1,"")</f>
        <v/>
      </c>
      <c r="AA379" s="319">
        <f>IF(ISNUMBER(SEARCH("일1",$H379)),1,"")</f>
        <v/>
      </c>
      <c r="AB379" s="319">
        <f>IF(OR(ISNUMBER(SEARCH("일2",$H379)),ISNUMBER(SEARCH("일1.2",$H379))),1,"")</f>
        <v/>
      </c>
      <c r="AC379" s="319">
        <f>IF(OR(ISNUMBER(SEARCH("일3",$H379)),ISNUMBER(SEARCH("일1.3",$H379)),ISNUMBER(SEARCH("일2.3",$H379)),ISNUMBER(SEARCH("일1.2.3",$H379))),1,"")</f>
        <v/>
      </c>
      <c r="AD379" s="319">
        <f>SUM(I379:AC379)</f>
        <v/>
      </c>
      <c r="AE379" s="323" t="n"/>
    </row>
    <row r="380" ht="24" customHeight="1">
      <c r="A380" s="168" t="n"/>
      <c r="B380" s="319" t="n"/>
      <c r="C380" s="319" t="n"/>
      <c r="D380" s="319" t="n"/>
      <c r="E380" s="341" t="n"/>
      <c r="F380" s="341" t="n"/>
      <c r="G380" s="342" t="n"/>
      <c r="H380" s="322" t="n"/>
      <c r="I380" s="319">
        <f>IF(ISNUMBER(SEARCH("월1",$H380)),1,"")</f>
        <v/>
      </c>
      <c r="J380" s="319">
        <f>IF(OR(ISNUMBER(SEARCH("월2",$H380)),ISNUMBER(SEARCH("월1.2",$H380))),1,"")</f>
        <v/>
      </c>
      <c r="K380" s="319">
        <f>IF(OR(ISNUMBER(SEARCH("월3",$H380)),ISNUMBER(SEARCH("월1.3",$H380)),ISNUMBER(SEARCH("월2.3",$H380)),ISNUMBER(SEARCH("월1.2.3",$H380))),1,"")</f>
        <v/>
      </c>
      <c r="L380" s="319">
        <f>IF(ISNUMBER(SEARCH("화1",$H380)),1,"")</f>
        <v/>
      </c>
      <c r="M380" s="319">
        <f>IF(OR(ISNUMBER(SEARCH("화2",$H380)),ISNUMBER(SEARCH("화1.2",$H380))),1,"")</f>
        <v/>
      </c>
      <c r="N380" s="319">
        <f>IF(OR(ISNUMBER(SEARCH("화3",$H380)),ISNUMBER(SEARCH("화1.3",$H380)),ISNUMBER(SEARCH("화2.3",$H380)),ISNUMBER(SEARCH("화1.2.3",$H380))),1,"")</f>
        <v/>
      </c>
      <c r="O380" s="319">
        <f>IF(ISNUMBER(SEARCH("수1",$H380)),1,"")</f>
        <v/>
      </c>
      <c r="P380" s="319">
        <f>IF(OR(ISNUMBER(SEARCH("수2",$H380)),ISNUMBER(SEARCH("수1.2",$H380))),1,"")</f>
        <v/>
      </c>
      <c r="Q380" s="319">
        <f>IF(OR(ISNUMBER(SEARCH("수3",$H380)),ISNUMBER(SEARCH("수1.3",$H380)),ISNUMBER(SEARCH("수2.3",$H380)),ISNUMBER(SEARCH("수1.2.3",$H380))),1,"")</f>
        <v/>
      </c>
      <c r="R380" s="319">
        <f>IF(ISNUMBER(SEARCH("목1",$H380)),1,"")</f>
        <v/>
      </c>
      <c r="S380" s="319">
        <f>IF(OR(ISNUMBER(SEARCH("목2",$H380)),ISNUMBER(SEARCH("목1.2",$H380))),1,"")</f>
        <v/>
      </c>
      <c r="T380" s="319">
        <f>IF(OR(ISNUMBER(SEARCH("목3",$H380)),ISNUMBER(SEARCH("목1.3",$H380)),ISNUMBER(SEARCH("목2.3",$H380)),ISNUMBER(SEARCH("목1.2.3",$H380))),1,"")</f>
        <v/>
      </c>
      <c r="U380" s="319">
        <f>IF(ISNUMBER(SEARCH("금1",$H380)),1,"")</f>
        <v/>
      </c>
      <c r="V380" s="319">
        <f>IF(OR(ISNUMBER(SEARCH("금2",$H380)),ISNUMBER(SEARCH("금1.2",$H380))),1,"")</f>
        <v/>
      </c>
      <c r="W380" s="319">
        <f>IF(OR(ISNUMBER(SEARCH("금3",$H380)),ISNUMBER(SEARCH("금1.3",$H380)),ISNUMBER(SEARCH("금2.3",$H380)),ISNUMBER(SEARCH("금1.2.3",$H380))),1,"")</f>
        <v/>
      </c>
      <c r="X380" s="319">
        <f>IF(ISNUMBER(SEARCH("토1",$H380)),1,"")</f>
        <v/>
      </c>
      <c r="Y380" s="319">
        <f>IF(OR(ISNUMBER(SEARCH("토2",$H380)),ISNUMBER(SEARCH("토1.2",$H380))),1,"")</f>
        <v/>
      </c>
      <c r="Z380" s="319">
        <f>IF(OR(ISNUMBER(SEARCH("토3",$H380)),ISNUMBER(SEARCH("토1.3",$H380)),ISNUMBER(SEARCH("토2.3",$H380)),ISNUMBER(SEARCH("토1.2.3",$H380))),1,"")</f>
        <v/>
      </c>
      <c r="AA380" s="319">
        <f>IF(ISNUMBER(SEARCH("일1",$H380)),1,"")</f>
        <v/>
      </c>
      <c r="AB380" s="319">
        <f>IF(OR(ISNUMBER(SEARCH("일2",$H380)),ISNUMBER(SEARCH("일1.2",$H380))),1,"")</f>
        <v/>
      </c>
      <c r="AC380" s="319">
        <f>IF(OR(ISNUMBER(SEARCH("일3",$H380)),ISNUMBER(SEARCH("일1.3",$H380)),ISNUMBER(SEARCH("일2.3",$H380)),ISNUMBER(SEARCH("일1.2.3",$H380))),1,"")</f>
        <v/>
      </c>
      <c r="AD380" s="319">
        <f>SUM(I380:AC380)</f>
        <v/>
      </c>
      <c r="AE380" s="323" t="n"/>
    </row>
    <row r="381" ht="24" customHeight="1">
      <c r="A381" s="168" t="n"/>
      <c r="B381" s="319" t="n"/>
      <c r="C381" s="319" t="n"/>
      <c r="D381" s="319" t="n"/>
      <c r="E381" s="341" t="n"/>
      <c r="F381" s="341" t="n"/>
      <c r="G381" s="342" t="n"/>
      <c r="H381" s="322" t="n"/>
      <c r="I381" s="319">
        <f>IF(ISNUMBER(SEARCH("월1",$H381)),1,"")</f>
        <v/>
      </c>
      <c r="J381" s="319">
        <f>IF(OR(ISNUMBER(SEARCH("월2",$H381)),ISNUMBER(SEARCH("월1.2",$H381))),1,"")</f>
        <v/>
      </c>
      <c r="K381" s="319">
        <f>IF(OR(ISNUMBER(SEARCH("월3",$H381)),ISNUMBER(SEARCH("월1.3",$H381)),ISNUMBER(SEARCH("월2.3",$H381)),ISNUMBER(SEARCH("월1.2.3",$H381))),1,"")</f>
        <v/>
      </c>
      <c r="L381" s="319">
        <f>IF(ISNUMBER(SEARCH("화1",$H381)),1,"")</f>
        <v/>
      </c>
      <c r="M381" s="319">
        <f>IF(OR(ISNUMBER(SEARCH("화2",$H381)),ISNUMBER(SEARCH("화1.2",$H381))),1,"")</f>
        <v/>
      </c>
      <c r="N381" s="319">
        <f>IF(OR(ISNUMBER(SEARCH("화3",$H381)),ISNUMBER(SEARCH("화1.3",$H381)),ISNUMBER(SEARCH("화2.3",$H381)),ISNUMBER(SEARCH("화1.2.3",$H381))),1,"")</f>
        <v/>
      </c>
      <c r="O381" s="319">
        <f>IF(ISNUMBER(SEARCH("수1",$H381)),1,"")</f>
        <v/>
      </c>
      <c r="P381" s="319">
        <f>IF(OR(ISNUMBER(SEARCH("수2",$H381)),ISNUMBER(SEARCH("수1.2",$H381))),1,"")</f>
        <v/>
      </c>
      <c r="Q381" s="319">
        <f>IF(OR(ISNUMBER(SEARCH("수3",$H381)),ISNUMBER(SEARCH("수1.3",$H381)),ISNUMBER(SEARCH("수2.3",$H381)),ISNUMBER(SEARCH("수1.2.3",$H381))),1,"")</f>
        <v/>
      </c>
      <c r="R381" s="319">
        <f>IF(ISNUMBER(SEARCH("목1",$H381)),1,"")</f>
        <v/>
      </c>
      <c r="S381" s="319">
        <f>IF(OR(ISNUMBER(SEARCH("목2",$H381)),ISNUMBER(SEARCH("목1.2",$H381))),1,"")</f>
        <v/>
      </c>
      <c r="T381" s="319">
        <f>IF(OR(ISNUMBER(SEARCH("목3",$H381)),ISNUMBER(SEARCH("목1.3",$H381)),ISNUMBER(SEARCH("목2.3",$H381)),ISNUMBER(SEARCH("목1.2.3",$H381))),1,"")</f>
        <v/>
      </c>
      <c r="U381" s="319">
        <f>IF(ISNUMBER(SEARCH("금1",$H381)),1,"")</f>
        <v/>
      </c>
      <c r="V381" s="319">
        <f>IF(OR(ISNUMBER(SEARCH("금2",$H381)),ISNUMBER(SEARCH("금1.2",$H381))),1,"")</f>
        <v/>
      </c>
      <c r="W381" s="319">
        <f>IF(OR(ISNUMBER(SEARCH("금3",$H381)),ISNUMBER(SEARCH("금1.3",$H381)),ISNUMBER(SEARCH("금2.3",$H381)),ISNUMBER(SEARCH("금1.2.3",$H381))),1,"")</f>
        <v/>
      </c>
      <c r="X381" s="319">
        <f>IF(ISNUMBER(SEARCH("토1",$H381)),1,"")</f>
        <v/>
      </c>
      <c r="Y381" s="319">
        <f>IF(OR(ISNUMBER(SEARCH("토2",$H381)),ISNUMBER(SEARCH("토1.2",$H381))),1,"")</f>
        <v/>
      </c>
      <c r="Z381" s="319">
        <f>IF(OR(ISNUMBER(SEARCH("토3",$H381)),ISNUMBER(SEARCH("토1.3",$H381)),ISNUMBER(SEARCH("토2.3",$H381)),ISNUMBER(SEARCH("토1.2.3",$H381))),1,"")</f>
        <v/>
      </c>
      <c r="AA381" s="319">
        <f>IF(ISNUMBER(SEARCH("일1",$H381)),1,"")</f>
        <v/>
      </c>
      <c r="AB381" s="319">
        <f>IF(OR(ISNUMBER(SEARCH("일2",$H381)),ISNUMBER(SEARCH("일1.2",$H381))),1,"")</f>
        <v/>
      </c>
      <c r="AC381" s="319">
        <f>IF(OR(ISNUMBER(SEARCH("일3",$H381)),ISNUMBER(SEARCH("일1.3",$H381)),ISNUMBER(SEARCH("일2.3",$H381)),ISNUMBER(SEARCH("일1.2.3",$H381))),1,"")</f>
        <v/>
      </c>
      <c r="AD381" s="319">
        <f>SUM(I381:AC381)</f>
        <v/>
      </c>
      <c r="AE381" s="323" t="n"/>
    </row>
    <row r="382" ht="24" customHeight="1">
      <c r="A382" s="168" t="n"/>
      <c r="B382" s="319" t="n"/>
      <c r="C382" s="319" t="n"/>
      <c r="D382" s="319" t="n"/>
      <c r="E382" s="341" t="n"/>
      <c r="F382" s="341" t="n"/>
      <c r="G382" s="342" t="n"/>
      <c r="H382" s="322" t="n"/>
      <c r="I382" s="319">
        <f>IF(ISNUMBER(SEARCH("월1",$H382)),1,"")</f>
        <v/>
      </c>
      <c r="J382" s="319">
        <f>IF(OR(ISNUMBER(SEARCH("월2",$H382)),ISNUMBER(SEARCH("월1.2",$H382))),1,"")</f>
        <v/>
      </c>
      <c r="K382" s="319">
        <f>IF(OR(ISNUMBER(SEARCH("월3",$H382)),ISNUMBER(SEARCH("월1.3",$H382)),ISNUMBER(SEARCH("월2.3",$H382)),ISNUMBER(SEARCH("월1.2.3",$H382))),1,"")</f>
        <v/>
      </c>
      <c r="L382" s="319">
        <f>IF(ISNUMBER(SEARCH("화1",$H382)),1,"")</f>
        <v/>
      </c>
      <c r="M382" s="319">
        <f>IF(OR(ISNUMBER(SEARCH("화2",$H382)),ISNUMBER(SEARCH("화1.2",$H382))),1,"")</f>
        <v/>
      </c>
      <c r="N382" s="319">
        <f>IF(OR(ISNUMBER(SEARCH("화3",$H382)),ISNUMBER(SEARCH("화1.3",$H382)),ISNUMBER(SEARCH("화2.3",$H382)),ISNUMBER(SEARCH("화1.2.3",$H382))),1,"")</f>
        <v/>
      </c>
      <c r="O382" s="319">
        <f>IF(ISNUMBER(SEARCH("수1",$H382)),1,"")</f>
        <v/>
      </c>
      <c r="P382" s="319">
        <f>IF(OR(ISNUMBER(SEARCH("수2",$H382)),ISNUMBER(SEARCH("수1.2",$H382))),1,"")</f>
        <v/>
      </c>
      <c r="Q382" s="319">
        <f>IF(OR(ISNUMBER(SEARCH("수3",$H382)),ISNUMBER(SEARCH("수1.3",$H382)),ISNUMBER(SEARCH("수2.3",$H382)),ISNUMBER(SEARCH("수1.2.3",$H382))),1,"")</f>
        <v/>
      </c>
      <c r="R382" s="319">
        <f>IF(ISNUMBER(SEARCH("목1",$H382)),1,"")</f>
        <v/>
      </c>
      <c r="S382" s="319">
        <f>IF(OR(ISNUMBER(SEARCH("목2",$H382)),ISNUMBER(SEARCH("목1.2",$H382))),1,"")</f>
        <v/>
      </c>
      <c r="T382" s="319">
        <f>IF(OR(ISNUMBER(SEARCH("목3",$H382)),ISNUMBER(SEARCH("목1.3",$H382)),ISNUMBER(SEARCH("목2.3",$H382)),ISNUMBER(SEARCH("목1.2.3",$H382))),1,"")</f>
        <v/>
      </c>
      <c r="U382" s="319">
        <f>IF(ISNUMBER(SEARCH("금1",$H382)),1,"")</f>
        <v/>
      </c>
      <c r="V382" s="319">
        <f>IF(OR(ISNUMBER(SEARCH("금2",$H382)),ISNUMBER(SEARCH("금1.2",$H382))),1,"")</f>
        <v/>
      </c>
      <c r="W382" s="319">
        <f>IF(OR(ISNUMBER(SEARCH("금3",$H382)),ISNUMBER(SEARCH("금1.3",$H382)),ISNUMBER(SEARCH("금2.3",$H382)),ISNUMBER(SEARCH("금1.2.3",$H382))),1,"")</f>
        <v/>
      </c>
      <c r="X382" s="319">
        <f>IF(ISNUMBER(SEARCH("토1",$H382)),1,"")</f>
        <v/>
      </c>
      <c r="Y382" s="319">
        <f>IF(OR(ISNUMBER(SEARCH("토2",$H382)),ISNUMBER(SEARCH("토1.2",$H382))),1,"")</f>
        <v/>
      </c>
      <c r="Z382" s="319">
        <f>IF(OR(ISNUMBER(SEARCH("토3",$H382)),ISNUMBER(SEARCH("토1.3",$H382)),ISNUMBER(SEARCH("토2.3",$H382)),ISNUMBER(SEARCH("토1.2.3",$H382))),1,"")</f>
        <v/>
      </c>
      <c r="AA382" s="319">
        <f>IF(ISNUMBER(SEARCH("일1",$H382)),1,"")</f>
        <v/>
      </c>
      <c r="AB382" s="319">
        <f>IF(OR(ISNUMBER(SEARCH("일2",$H382)),ISNUMBER(SEARCH("일1.2",$H382))),1,"")</f>
        <v/>
      </c>
      <c r="AC382" s="319">
        <f>IF(OR(ISNUMBER(SEARCH("일3",$H382)),ISNUMBER(SEARCH("일1.3",$H382)),ISNUMBER(SEARCH("일2.3",$H382)),ISNUMBER(SEARCH("일1.2.3",$H382))),1,"")</f>
        <v/>
      </c>
      <c r="AD382" s="319">
        <f>SUM(I382:AC382)</f>
        <v/>
      </c>
      <c r="AE382" s="323" t="n"/>
    </row>
    <row r="383" ht="24" customHeight="1">
      <c r="A383" s="168" t="n"/>
      <c r="B383" s="319" t="n"/>
      <c r="C383" s="319" t="n"/>
      <c r="D383" s="319" t="n"/>
      <c r="E383" s="341" t="n"/>
      <c r="F383" s="341" t="n"/>
      <c r="G383" s="342" t="n"/>
      <c r="H383" s="322" t="n"/>
      <c r="I383" s="319">
        <f>IF(ISNUMBER(SEARCH("월1",$H383)),1,"")</f>
        <v/>
      </c>
      <c r="J383" s="319">
        <f>IF(OR(ISNUMBER(SEARCH("월2",$H383)),ISNUMBER(SEARCH("월1.2",$H383))),1,"")</f>
        <v/>
      </c>
      <c r="K383" s="319">
        <f>IF(OR(ISNUMBER(SEARCH("월3",$H383)),ISNUMBER(SEARCH("월1.3",$H383)),ISNUMBER(SEARCH("월2.3",$H383)),ISNUMBER(SEARCH("월1.2.3",$H383))),1,"")</f>
        <v/>
      </c>
      <c r="L383" s="319">
        <f>IF(ISNUMBER(SEARCH("화1",$H383)),1,"")</f>
        <v/>
      </c>
      <c r="M383" s="319">
        <f>IF(OR(ISNUMBER(SEARCH("화2",$H383)),ISNUMBER(SEARCH("화1.2",$H383))),1,"")</f>
        <v/>
      </c>
      <c r="N383" s="319">
        <f>IF(OR(ISNUMBER(SEARCH("화3",$H383)),ISNUMBER(SEARCH("화1.3",$H383)),ISNUMBER(SEARCH("화2.3",$H383)),ISNUMBER(SEARCH("화1.2.3",$H383))),1,"")</f>
        <v/>
      </c>
      <c r="O383" s="319">
        <f>IF(ISNUMBER(SEARCH("수1",$H383)),1,"")</f>
        <v/>
      </c>
      <c r="P383" s="319">
        <f>IF(OR(ISNUMBER(SEARCH("수2",$H383)),ISNUMBER(SEARCH("수1.2",$H383))),1,"")</f>
        <v/>
      </c>
      <c r="Q383" s="319">
        <f>IF(OR(ISNUMBER(SEARCH("수3",$H383)),ISNUMBER(SEARCH("수1.3",$H383)),ISNUMBER(SEARCH("수2.3",$H383)),ISNUMBER(SEARCH("수1.2.3",$H383))),1,"")</f>
        <v/>
      </c>
      <c r="R383" s="319">
        <f>IF(ISNUMBER(SEARCH("목1",$H383)),1,"")</f>
        <v/>
      </c>
      <c r="S383" s="319">
        <f>IF(OR(ISNUMBER(SEARCH("목2",$H383)),ISNUMBER(SEARCH("목1.2",$H383))),1,"")</f>
        <v/>
      </c>
      <c r="T383" s="319">
        <f>IF(OR(ISNUMBER(SEARCH("목3",$H383)),ISNUMBER(SEARCH("목1.3",$H383)),ISNUMBER(SEARCH("목2.3",$H383)),ISNUMBER(SEARCH("목1.2.3",$H383))),1,"")</f>
        <v/>
      </c>
      <c r="U383" s="319">
        <f>IF(ISNUMBER(SEARCH("금1",$H383)),1,"")</f>
        <v/>
      </c>
      <c r="V383" s="319">
        <f>IF(OR(ISNUMBER(SEARCH("금2",$H383)),ISNUMBER(SEARCH("금1.2",$H383))),1,"")</f>
        <v/>
      </c>
      <c r="W383" s="319">
        <f>IF(OR(ISNUMBER(SEARCH("금3",$H383)),ISNUMBER(SEARCH("금1.3",$H383)),ISNUMBER(SEARCH("금2.3",$H383)),ISNUMBER(SEARCH("금1.2.3",$H383))),1,"")</f>
        <v/>
      </c>
      <c r="X383" s="319">
        <f>IF(ISNUMBER(SEARCH("토1",$H383)),1,"")</f>
        <v/>
      </c>
      <c r="Y383" s="319">
        <f>IF(OR(ISNUMBER(SEARCH("토2",$H383)),ISNUMBER(SEARCH("토1.2",$H383))),1,"")</f>
        <v/>
      </c>
      <c r="Z383" s="319">
        <f>IF(OR(ISNUMBER(SEARCH("토3",$H383)),ISNUMBER(SEARCH("토1.3",$H383)),ISNUMBER(SEARCH("토2.3",$H383)),ISNUMBER(SEARCH("토1.2.3",$H383))),1,"")</f>
        <v/>
      </c>
      <c r="AA383" s="319">
        <f>IF(ISNUMBER(SEARCH("일1",$H383)),1,"")</f>
        <v/>
      </c>
      <c r="AB383" s="319">
        <f>IF(OR(ISNUMBER(SEARCH("일2",$H383)),ISNUMBER(SEARCH("일1.2",$H383))),1,"")</f>
        <v/>
      </c>
      <c r="AC383" s="319">
        <f>IF(OR(ISNUMBER(SEARCH("일3",$H383)),ISNUMBER(SEARCH("일1.3",$H383)),ISNUMBER(SEARCH("일2.3",$H383)),ISNUMBER(SEARCH("일1.2.3",$H383))),1,"")</f>
        <v/>
      </c>
      <c r="AD383" s="319">
        <f>SUM(I383:AC383)</f>
        <v/>
      </c>
      <c r="AE383" s="323" t="n"/>
    </row>
    <row r="384" ht="24" customHeight="1">
      <c r="A384" s="168" t="n"/>
      <c r="B384" s="319" t="n"/>
      <c r="C384" s="319" t="n"/>
      <c r="D384" s="319" t="n"/>
      <c r="E384" s="341" t="n"/>
      <c r="F384" s="341" t="n"/>
      <c r="G384" s="342" t="n"/>
      <c r="H384" s="322" t="n"/>
      <c r="I384" s="319">
        <f>IF(ISNUMBER(SEARCH("월1",$H384)),1,"")</f>
        <v/>
      </c>
      <c r="J384" s="319">
        <f>IF(OR(ISNUMBER(SEARCH("월2",$H384)),ISNUMBER(SEARCH("월1.2",$H384))),1,"")</f>
        <v/>
      </c>
      <c r="K384" s="319">
        <f>IF(OR(ISNUMBER(SEARCH("월3",$H384)),ISNUMBER(SEARCH("월1.3",$H384)),ISNUMBER(SEARCH("월2.3",$H384)),ISNUMBER(SEARCH("월1.2.3",$H384))),1,"")</f>
        <v/>
      </c>
      <c r="L384" s="319">
        <f>IF(ISNUMBER(SEARCH("화1",$H384)),1,"")</f>
        <v/>
      </c>
      <c r="M384" s="319">
        <f>IF(OR(ISNUMBER(SEARCH("화2",$H384)),ISNUMBER(SEARCH("화1.2",$H384))),1,"")</f>
        <v/>
      </c>
      <c r="N384" s="319">
        <f>IF(OR(ISNUMBER(SEARCH("화3",$H384)),ISNUMBER(SEARCH("화1.3",$H384)),ISNUMBER(SEARCH("화2.3",$H384)),ISNUMBER(SEARCH("화1.2.3",$H384))),1,"")</f>
        <v/>
      </c>
      <c r="O384" s="319">
        <f>IF(ISNUMBER(SEARCH("수1",$H384)),1,"")</f>
        <v/>
      </c>
      <c r="P384" s="319">
        <f>IF(OR(ISNUMBER(SEARCH("수2",$H384)),ISNUMBER(SEARCH("수1.2",$H384))),1,"")</f>
        <v/>
      </c>
      <c r="Q384" s="319">
        <f>IF(OR(ISNUMBER(SEARCH("수3",$H384)),ISNUMBER(SEARCH("수1.3",$H384)),ISNUMBER(SEARCH("수2.3",$H384)),ISNUMBER(SEARCH("수1.2.3",$H384))),1,"")</f>
        <v/>
      </c>
      <c r="R384" s="319">
        <f>IF(ISNUMBER(SEARCH("목1",$H384)),1,"")</f>
        <v/>
      </c>
      <c r="S384" s="319">
        <f>IF(OR(ISNUMBER(SEARCH("목2",$H384)),ISNUMBER(SEARCH("목1.2",$H384))),1,"")</f>
        <v/>
      </c>
      <c r="T384" s="319">
        <f>IF(OR(ISNUMBER(SEARCH("목3",$H384)),ISNUMBER(SEARCH("목1.3",$H384)),ISNUMBER(SEARCH("목2.3",$H384)),ISNUMBER(SEARCH("목1.2.3",$H384))),1,"")</f>
        <v/>
      </c>
      <c r="U384" s="319">
        <f>IF(ISNUMBER(SEARCH("금1",$H384)),1,"")</f>
        <v/>
      </c>
      <c r="V384" s="319">
        <f>IF(OR(ISNUMBER(SEARCH("금2",$H384)),ISNUMBER(SEARCH("금1.2",$H384))),1,"")</f>
        <v/>
      </c>
      <c r="W384" s="319">
        <f>IF(OR(ISNUMBER(SEARCH("금3",$H384)),ISNUMBER(SEARCH("금1.3",$H384)),ISNUMBER(SEARCH("금2.3",$H384)),ISNUMBER(SEARCH("금1.2.3",$H384))),1,"")</f>
        <v/>
      </c>
      <c r="X384" s="319">
        <f>IF(ISNUMBER(SEARCH("토1",$H384)),1,"")</f>
        <v/>
      </c>
      <c r="Y384" s="319">
        <f>IF(OR(ISNUMBER(SEARCH("토2",$H384)),ISNUMBER(SEARCH("토1.2",$H384))),1,"")</f>
        <v/>
      </c>
      <c r="Z384" s="319">
        <f>IF(OR(ISNUMBER(SEARCH("토3",$H384)),ISNUMBER(SEARCH("토1.3",$H384)),ISNUMBER(SEARCH("토2.3",$H384)),ISNUMBER(SEARCH("토1.2.3",$H384))),1,"")</f>
        <v/>
      </c>
      <c r="AA384" s="319">
        <f>IF(ISNUMBER(SEARCH("일1",$H384)),1,"")</f>
        <v/>
      </c>
      <c r="AB384" s="319">
        <f>IF(OR(ISNUMBER(SEARCH("일2",$H384)),ISNUMBER(SEARCH("일1.2",$H384))),1,"")</f>
        <v/>
      </c>
      <c r="AC384" s="319">
        <f>IF(OR(ISNUMBER(SEARCH("일3",$H384)),ISNUMBER(SEARCH("일1.3",$H384)),ISNUMBER(SEARCH("일2.3",$H384)),ISNUMBER(SEARCH("일1.2.3",$H384))),1,"")</f>
        <v/>
      </c>
      <c r="AD384" s="319">
        <f>SUM(I384:AC384)</f>
        <v/>
      </c>
      <c r="AE384" s="323" t="n"/>
    </row>
    <row r="385" ht="24" customHeight="1">
      <c r="A385" s="168" t="n"/>
      <c r="B385" s="319" t="n"/>
      <c r="C385" s="319" t="n"/>
      <c r="D385" s="319" t="n"/>
      <c r="E385" s="341" t="n"/>
      <c r="F385" s="341" t="n"/>
      <c r="G385" s="342" t="n"/>
      <c r="H385" s="322" t="n"/>
      <c r="I385" s="319">
        <f>IF(ISNUMBER(SEARCH("월1",$H385)),1,"")</f>
        <v/>
      </c>
      <c r="J385" s="319">
        <f>IF(OR(ISNUMBER(SEARCH("월2",$H385)),ISNUMBER(SEARCH("월1.2",$H385))),1,"")</f>
        <v/>
      </c>
      <c r="K385" s="319">
        <f>IF(OR(ISNUMBER(SEARCH("월3",$H385)),ISNUMBER(SEARCH("월1.3",$H385)),ISNUMBER(SEARCH("월2.3",$H385)),ISNUMBER(SEARCH("월1.2.3",$H385))),1,"")</f>
        <v/>
      </c>
      <c r="L385" s="319">
        <f>IF(ISNUMBER(SEARCH("화1",$H385)),1,"")</f>
        <v/>
      </c>
      <c r="M385" s="319">
        <f>IF(OR(ISNUMBER(SEARCH("화2",$H385)),ISNUMBER(SEARCH("화1.2",$H385))),1,"")</f>
        <v/>
      </c>
      <c r="N385" s="319">
        <f>IF(OR(ISNUMBER(SEARCH("화3",$H385)),ISNUMBER(SEARCH("화1.3",$H385)),ISNUMBER(SEARCH("화2.3",$H385)),ISNUMBER(SEARCH("화1.2.3",$H385))),1,"")</f>
        <v/>
      </c>
      <c r="O385" s="319">
        <f>IF(ISNUMBER(SEARCH("수1",$H385)),1,"")</f>
        <v/>
      </c>
      <c r="P385" s="319">
        <f>IF(OR(ISNUMBER(SEARCH("수2",$H385)),ISNUMBER(SEARCH("수1.2",$H385))),1,"")</f>
        <v/>
      </c>
      <c r="Q385" s="319">
        <f>IF(OR(ISNUMBER(SEARCH("수3",$H385)),ISNUMBER(SEARCH("수1.3",$H385)),ISNUMBER(SEARCH("수2.3",$H385)),ISNUMBER(SEARCH("수1.2.3",$H385))),1,"")</f>
        <v/>
      </c>
      <c r="R385" s="319">
        <f>IF(ISNUMBER(SEARCH("목1",$H385)),1,"")</f>
        <v/>
      </c>
      <c r="S385" s="319">
        <f>IF(OR(ISNUMBER(SEARCH("목2",$H385)),ISNUMBER(SEARCH("목1.2",$H385))),1,"")</f>
        <v/>
      </c>
      <c r="T385" s="319">
        <f>IF(OR(ISNUMBER(SEARCH("목3",$H385)),ISNUMBER(SEARCH("목1.3",$H385)),ISNUMBER(SEARCH("목2.3",$H385)),ISNUMBER(SEARCH("목1.2.3",$H385))),1,"")</f>
        <v/>
      </c>
      <c r="U385" s="319">
        <f>IF(ISNUMBER(SEARCH("금1",$H385)),1,"")</f>
        <v/>
      </c>
      <c r="V385" s="319">
        <f>IF(OR(ISNUMBER(SEARCH("금2",$H385)),ISNUMBER(SEARCH("금1.2",$H385))),1,"")</f>
        <v/>
      </c>
      <c r="W385" s="319">
        <f>IF(OR(ISNUMBER(SEARCH("금3",$H385)),ISNUMBER(SEARCH("금1.3",$H385)),ISNUMBER(SEARCH("금2.3",$H385)),ISNUMBER(SEARCH("금1.2.3",$H385))),1,"")</f>
        <v/>
      </c>
      <c r="X385" s="319">
        <f>IF(ISNUMBER(SEARCH("토1",$H385)),1,"")</f>
        <v/>
      </c>
      <c r="Y385" s="319">
        <f>IF(OR(ISNUMBER(SEARCH("토2",$H385)),ISNUMBER(SEARCH("토1.2",$H385))),1,"")</f>
        <v/>
      </c>
      <c r="Z385" s="319">
        <f>IF(OR(ISNUMBER(SEARCH("토3",$H385)),ISNUMBER(SEARCH("토1.3",$H385)),ISNUMBER(SEARCH("토2.3",$H385)),ISNUMBER(SEARCH("토1.2.3",$H385))),1,"")</f>
        <v/>
      </c>
      <c r="AA385" s="319">
        <f>IF(ISNUMBER(SEARCH("일1",$H385)),1,"")</f>
        <v/>
      </c>
      <c r="AB385" s="319">
        <f>IF(OR(ISNUMBER(SEARCH("일2",$H385)),ISNUMBER(SEARCH("일1.2",$H385))),1,"")</f>
        <v/>
      </c>
      <c r="AC385" s="319">
        <f>IF(OR(ISNUMBER(SEARCH("일3",$H385)),ISNUMBER(SEARCH("일1.3",$H385)),ISNUMBER(SEARCH("일2.3",$H385)),ISNUMBER(SEARCH("일1.2.3",$H385))),1,"")</f>
        <v/>
      </c>
      <c r="AD385" s="319">
        <f>SUM(I385:AC385)</f>
        <v/>
      </c>
      <c r="AE385" s="323" t="n"/>
    </row>
    <row r="386" ht="24" customHeight="1">
      <c r="A386" s="168" t="n"/>
      <c r="B386" s="319" t="n"/>
      <c r="C386" s="319" t="n"/>
      <c r="D386" s="319" t="n"/>
      <c r="E386" s="341" t="n"/>
      <c r="F386" s="341" t="n"/>
      <c r="G386" s="342" t="n"/>
      <c r="H386" s="322" t="n"/>
      <c r="I386" s="319">
        <f>IF(ISNUMBER(SEARCH("월1",$H386)),1,"")</f>
        <v/>
      </c>
      <c r="J386" s="319">
        <f>IF(OR(ISNUMBER(SEARCH("월2",$H386)),ISNUMBER(SEARCH("월1.2",$H386))),1,"")</f>
        <v/>
      </c>
      <c r="K386" s="319">
        <f>IF(OR(ISNUMBER(SEARCH("월3",$H386)),ISNUMBER(SEARCH("월1.3",$H386)),ISNUMBER(SEARCH("월2.3",$H386)),ISNUMBER(SEARCH("월1.2.3",$H386))),1,"")</f>
        <v/>
      </c>
      <c r="L386" s="319">
        <f>IF(ISNUMBER(SEARCH("화1",$H386)),1,"")</f>
        <v/>
      </c>
      <c r="M386" s="319">
        <f>IF(OR(ISNUMBER(SEARCH("화2",$H386)),ISNUMBER(SEARCH("화1.2",$H386))),1,"")</f>
        <v/>
      </c>
      <c r="N386" s="319">
        <f>IF(OR(ISNUMBER(SEARCH("화3",$H386)),ISNUMBER(SEARCH("화1.3",$H386)),ISNUMBER(SEARCH("화2.3",$H386)),ISNUMBER(SEARCH("화1.2.3",$H386))),1,"")</f>
        <v/>
      </c>
      <c r="O386" s="319">
        <f>IF(ISNUMBER(SEARCH("수1",$H386)),1,"")</f>
        <v/>
      </c>
      <c r="P386" s="319">
        <f>IF(OR(ISNUMBER(SEARCH("수2",$H386)),ISNUMBER(SEARCH("수1.2",$H386))),1,"")</f>
        <v/>
      </c>
      <c r="Q386" s="319">
        <f>IF(OR(ISNUMBER(SEARCH("수3",$H386)),ISNUMBER(SEARCH("수1.3",$H386)),ISNUMBER(SEARCH("수2.3",$H386)),ISNUMBER(SEARCH("수1.2.3",$H386))),1,"")</f>
        <v/>
      </c>
      <c r="R386" s="319">
        <f>IF(ISNUMBER(SEARCH("목1",$H386)),1,"")</f>
        <v/>
      </c>
      <c r="S386" s="319">
        <f>IF(OR(ISNUMBER(SEARCH("목2",$H386)),ISNUMBER(SEARCH("목1.2",$H386))),1,"")</f>
        <v/>
      </c>
      <c r="T386" s="319">
        <f>IF(OR(ISNUMBER(SEARCH("목3",$H386)),ISNUMBER(SEARCH("목1.3",$H386)),ISNUMBER(SEARCH("목2.3",$H386)),ISNUMBER(SEARCH("목1.2.3",$H386))),1,"")</f>
        <v/>
      </c>
      <c r="U386" s="319">
        <f>IF(ISNUMBER(SEARCH("금1",$H386)),1,"")</f>
        <v/>
      </c>
      <c r="V386" s="319">
        <f>IF(OR(ISNUMBER(SEARCH("금2",$H386)),ISNUMBER(SEARCH("금1.2",$H386))),1,"")</f>
        <v/>
      </c>
      <c r="W386" s="319">
        <f>IF(OR(ISNUMBER(SEARCH("금3",$H386)),ISNUMBER(SEARCH("금1.3",$H386)),ISNUMBER(SEARCH("금2.3",$H386)),ISNUMBER(SEARCH("금1.2.3",$H386))),1,"")</f>
        <v/>
      </c>
      <c r="X386" s="319">
        <f>IF(ISNUMBER(SEARCH("토1",$H386)),1,"")</f>
        <v/>
      </c>
      <c r="Y386" s="319">
        <f>IF(OR(ISNUMBER(SEARCH("토2",$H386)),ISNUMBER(SEARCH("토1.2",$H386))),1,"")</f>
        <v/>
      </c>
      <c r="Z386" s="319">
        <f>IF(OR(ISNUMBER(SEARCH("토3",$H386)),ISNUMBER(SEARCH("토1.3",$H386)),ISNUMBER(SEARCH("토2.3",$H386)),ISNUMBER(SEARCH("토1.2.3",$H386))),1,"")</f>
        <v/>
      </c>
      <c r="AA386" s="319">
        <f>IF(ISNUMBER(SEARCH("일1",$H386)),1,"")</f>
        <v/>
      </c>
      <c r="AB386" s="319">
        <f>IF(OR(ISNUMBER(SEARCH("일2",$H386)),ISNUMBER(SEARCH("일1.2",$H386))),1,"")</f>
        <v/>
      </c>
      <c r="AC386" s="319">
        <f>IF(OR(ISNUMBER(SEARCH("일3",$H386)),ISNUMBER(SEARCH("일1.3",$H386)),ISNUMBER(SEARCH("일2.3",$H386)),ISNUMBER(SEARCH("일1.2.3",$H386))),1,"")</f>
        <v/>
      </c>
      <c r="AD386" s="319">
        <f>SUM(I386:AC386)</f>
        <v/>
      </c>
      <c r="AE386" s="323" t="n"/>
    </row>
    <row r="387" ht="24" customHeight="1">
      <c r="A387" s="168" t="n"/>
      <c r="B387" s="319" t="n"/>
      <c r="C387" s="319" t="n"/>
      <c r="D387" s="319" t="n"/>
      <c r="E387" s="341" t="n"/>
      <c r="F387" s="341" t="n"/>
      <c r="G387" s="342" t="n"/>
      <c r="H387" s="322" t="n"/>
      <c r="I387" s="319">
        <f>IF(ISNUMBER(SEARCH("월1",$H387)),1,"")</f>
        <v/>
      </c>
      <c r="J387" s="319">
        <f>IF(OR(ISNUMBER(SEARCH("월2",$H387)),ISNUMBER(SEARCH("월1.2",$H387))),1,"")</f>
        <v/>
      </c>
      <c r="K387" s="319">
        <f>IF(OR(ISNUMBER(SEARCH("월3",$H387)),ISNUMBER(SEARCH("월1.3",$H387)),ISNUMBER(SEARCH("월2.3",$H387)),ISNUMBER(SEARCH("월1.2.3",$H387))),1,"")</f>
        <v/>
      </c>
      <c r="L387" s="319">
        <f>IF(ISNUMBER(SEARCH("화1",$H387)),1,"")</f>
        <v/>
      </c>
      <c r="M387" s="319">
        <f>IF(OR(ISNUMBER(SEARCH("화2",$H387)),ISNUMBER(SEARCH("화1.2",$H387))),1,"")</f>
        <v/>
      </c>
      <c r="N387" s="319">
        <f>IF(OR(ISNUMBER(SEARCH("화3",$H387)),ISNUMBER(SEARCH("화1.3",$H387)),ISNUMBER(SEARCH("화2.3",$H387)),ISNUMBER(SEARCH("화1.2.3",$H387))),1,"")</f>
        <v/>
      </c>
      <c r="O387" s="319">
        <f>IF(ISNUMBER(SEARCH("수1",$H387)),1,"")</f>
        <v/>
      </c>
      <c r="P387" s="319">
        <f>IF(OR(ISNUMBER(SEARCH("수2",$H387)),ISNUMBER(SEARCH("수1.2",$H387))),1,"")</f>
        <v/>
      </c>
      <c r="Q387" s="319">
        <f>IF(OR(ISNUMBER(SEARCH("수3",$H387)),ISNUMBER(SEARCH("수1.3",$H387)),ISNUMBER(SEARCH("수2.3",$H387)),ISNUMBER(SEARCH("수1.2.3",$H387))),1,"")</f>
        <v/>
      </c>
      <c r="R387" s="319">
        <f>IF(ISNUMBER(SEARCH("목1",$H387)),1,"")</f>
        <v/>
      </c>
      <c r="S387" s="319">
        <f>IF(OR(ISNUMBER(SEARCH("목2",$H387)),ISNUMBER(SEARCH("목1.2",$H387))),1,"")</f>
        <v/>
      </c>
      <c r="T387" s="319">
        <f>IF(OR(ISNUMBER(SEARCH("목3",$H387)),ISNUMBER(SEARCH("목1.3",$H387)),ISNUMBER(SEARCH("목2.3",$H387)),ISNUMBER(SEARCH("목1.2.3",$H387))),1,"")</f>
        <v/>
      </c>
      <c r="U387" s="319">
        <f>IF(ISNUMBER(SEARCH("금1",$H387)),1,"")</f>
        <v/>
      </c>
      <c r="V387" s="319">
        <f>IF(OR(ISNUMBER(SEARCH("금2",$H387)),ISNUMBER(SEARCH("금1.2",$H387))),1,"")</f>
        <v/>
      </c>
      <c r="W387" s="319">
        <f>IF(OR(ISNUMBER(SEARCH("금3",$H387)),ISNUMBER(SEARCH("금1.3",$H387)),ISNUMBER(SEARCH("금2.3",$H387)),ISNUMBER(SEARCH("금1.2.3",$H387))),1,"")</f>
        <v/>
      </c>
      <c r="X387" s="319">
        <f>IF(ISNUMBER(SEARCH("토1",$H387)),1,"")</f>
        <v/>
      </c>
      <c r="Y387" s="319">
        <f>IF(OR(ISNUMBER(SEARCH("토2",$H387)),ISNUMBER(SEARCH("토1.2",$H387))),1,"")</f>
        <v/>
      </c>
      <c r="Z387" s="319">
        <f>IF(OR(ISNUMBER(SEARCH("토3",$H387)),ISNUMBER(SEARCH("토1.3",$H387)),ISNUMBER(SEARCH("토2.3",$H387)),ISNUMBER(SEARCH("토1.2.3",$H387))),1,"")</f>
        <v/>
      </c>
      <c r="AA387" s="319">
        <f>IF(ISNUMBER(SEARCH("일1",$H387)),1,"")</f>
        <v/>
      </c>
      <c r="AB387" s="319">
        <f>IF(OR(ISNUMBER(SEARCH("일2",$H387)),ISNUMBER(SEARCH("일1.2",$H387))),1,"")</f>
        <v/>
      </c>
      <c r="AC387" s="319">
        <f>IF(OR(ISNUMBER(SEARCH("일3",$H387)),ISNUMBER(SEARCH("일1.3",$H387)),ISNUMBER(SEARCH("일2.3",$H387)),ISNUMBER(SEARCH("일1.2.3",$H387))),1,"")</f>
        <v/>
      </c>
      <c r="AD387" s="319">
        <f>SUM(I387:AC387)</f>
        <v/>
      </c>
      <c r="AE387" s="323" t="n"/>
    </row>
    <row r="388" ht="24" customHeight="1">
      <c r="A388" s="168" t="n"/>
      <c r="B388" s="319" t="n"/>
      <c r="C388" s="319" t="n"/>
      <c r="D388" s="319" t="n"/>
      <c r="E388" s="341" t="n"/>
      <c r="F388" s="341" t="n"/>
      <c r="G388" s="342" t="n"/>
      <c r="H388" s="322" t="n"/>
      <c r="I388" s="319">
        <f>IF(ISNUMBER(SEARCH("월1",$H388)),1,"")</f>
        <v/>
      </c>
      <c r="J388" s="319">
        <f>IF(OR(ISNUMBER(SEARCH("월2",$H388)),ISNUMBER(SEARCH("월1.2",$H388))),1,"")</f>
        <v/>
      </c>
      <c r="K388" s="319">
        <f>IF(OR(ISNUMBER(SEARCH("월3",$H388)),ISNUMBER(SEARCH("월1.3",$H388)),ISNUMBER(SEARCH("월2.3",$H388)),ISNUMBER(SEARCH("월1.2.3",$H388))),1,"")</f>
        <v/>
      </c>
      <c r="L388" s="319">
        <f>IF(ISNUMBER(SEARCH("화1",$H388)),1,"")</f>
        <v/>
      </c>
      <c r="M388" s="319">
        <f>IF(OR(ISNUMBER(SEARCH("화2",$H388)),ISNUMBER(SEARCH("화1.2",$H388))),1,"")</f>
        <v/>
      </c>
      <c r="N388" s="319">
        <f>IF(OR(ISNUMBER(SEARCH("화3",$H388)),ISNUMBER(SEARCH("화1.3",$H388)),ISNUMBER(SEARCH("화2.3",$H388)),ISNUMBER(SEARCH("화1.2.3",$H388))),1,"")</f>
        <v/>
      </c>
      <c r="O388" s="319">
        <f>IF(ISNUMBER(SEARCH("수1",$H388)),1,"")</f>
        <v/>
      </c>
      <c r="P388" s="319">
        <f>IF(OR(ISNUMBER(SEARCH("수2",$H388)),ISNUMBER(SEARCH("수1.2",$H388))),1,"")</f>
        <v/>
      </c>
      <c r="Q388" s="319">
        <f>IF(OR(ISNUMBER(SEARCH("수3",$H388)),ISNUMBER(SEARCH("수1.3",$H388)),ISNUMBER(SEARCH("수2.3",$H388)),ISNUMBER(SEARCH("수1.2.3",$H388))),1,"")</f>
        <v/>
      </c>
      <c r="R388" s="319">
        <f>IF(ISNUMBER(SEARCH("목1",$H388)),1,"")</f>
        <v/>
      </c>
      <c r="S388" s="319">
        <f>IF(OR(ISNUMBER(SEARCH("목2",$H388)),ISNUMBER(SEARCH("목1.2",$H388))),1,"")</f>
        <v/>
      </c>
      <c r="T388" s="319">
        <f>IF(OR(ISNUMBER(SEARCH("목3",$H388)),ISNUMBER(SEARCH("목1.3",$H388)),ISNUMBER(SEARCH("목2.3",$H388)),ISNUMBER(SEARCH("목1.2.3",$H388))),1,"")</f>
        <v/>
      </c>
      <c r="U388" s="319">
        <f>IF(ISNUMBER(SEARCH("금1",$H388)),1,"")</f>
        <v/>
      </c>
      <c r="V388" s="319">
        <f>IF(OR(ISNUMBER(SEARCH("금2",$H388)),ISNUMBER(SEARCH("금1.2",$H388))),1,"")</f>
        <v/>
      </c>
      <c r="W388" s="319">
        <f>IF(OR(ISNUMBER(SEARCH("금3",$H388)),ISNUMBER(SEARCH("금1.3",$H388)),ISNUMBER(SEARCH("금2.3",$H388)),ISNUMBER(SEARCH("금1.2.3",$H388))),1,"")</f>
        <v/>
      </c>
      <c r="X388" s="319">
        <f>IF(ISNUMBER(SEARCH("토1",$H388)),1,"")</f>
        <v/>
      </c>
      <c r="Y388" s="319">
        <f>IF(OR(ISNUMBER(SEARCH("토2",$H388)),ISNUMBER(SEARCH("토1.2",$H388))),1,"")</f>
        <v/>
      </c>
      <c r="Z388" s="319">
        <f>IF(OR(ISNUMBER(SEARCH("토3",$H388)),ISNUMBER(SEARCH("토1.3",$H388)),ISNUMBER(SEARCH("토2.3",$H388)),ISNUMBER(SEARCH("토1.2.3",$H388))),1,"")</f>
        <v/>
      </c>
      <c r="AA388" s="319">
        <f>IF(ISNUMBER(SEARCH("일1",$H388)),1,"")</f>
        <v/>
      </c>
      <c r="AB388" s="319">
        <f>IF(OR(ISNUMBER(SEARCH("일2",$H388)),ISNUMBER(SEARCH("일1.2",$H388))),1,"")</f>
        <v/>
      </c>
      <c r="AC388" s="319">
        <f>IF(OR(ISNUMBER(SEARCH("일3",$H388)),ISNUMBER(SEARCH("일1.3",$H388)),ISNUMBER(SEARCH("일2.3",$H388)),ISNUMBER(SEARCH("일1.2.3",$H388))),1,"")</f>
        <v/>
      </c>
      <c r="AD388" s="319">
        <f>SUM(I388:AC388)</f>
        <v/>
      </c>
      <c r="AE388" s="323" t="n"/>
    </row>
    <row r="389" ht="24" customHeight="1">
      <c r="A389" s="168" t="n"/>
      <c r="B389" s="319" t="n"/>
      <c r="C389" s="319" t="n"/>
      <c r="D389" s="319" t="n"/>
      <c r="E389" s="341" t="n"/>
      <c r="F389" s="341" t="n"/>
      <c r="G389" s="342" t="n"/>
      <c r="H389" s="322" t="n"/>
      <c r="I389" s="319">
        <f>IF(ISNUMBER(SEARCH("월1",$H389)),1,"")</f>
        <v/>
      </c>
      <c r="J389" s="319">
        <f>IF(OR(ISNUMBER(SEARCH("월2",$H389)),ISNUMBER(SEARCH("월1.2",$H389))),1,"")</f>
        <v/>
      </c>
      <c r="K389" s="319">
        <f>IF(OR(ISNUMBER(SEARCH("월3",$H389)),ISNUMBER(SEARCH("월1.3",$H389)),ISNUMBER(SEARCH("월2.3",$H389)),ISNUMBER(SEARCH("월1.2.3",$H389))),1,"")</f>
        <v/>
      </c>
      <c r="L389" s="319">
        <f>IF(ISNUMBER(SEARCH("화1",$H389)),1,"")</f>
        <v/>
      </c>
      <c r="M389" s="319">
        <f>IF(OR(ISNUMBER(SEARCH("화2",$H389)),ISNUMBER(SEARCH("화1.2",$H389))),1,"")</f>
        <v/>
      </c>
      <c r="N389" s="319">
        <f>IF(OR(ISNUMBER(SEARCH("화3",$H389)),ISNUMBER(SEARCH("화1.3",$H389)),ISNUMBER(SEARCH("화2.3",$H389)),ISNUMBER(SEARCH("화1.2.3",$H389))),1,"")</f>
        <v/>
      </c>
      <c r="O389" s="319">
        <f>IF(ISNUMBER(SEARCH("수1",$H389)),1,"")</f>
        <v/>
      </c>
      <c r="P389" s="319">
        <f>IF(OR(ISNUMBER(SEARCH("수2",$H389)),ISNUMBER(SEARCH("수1.2",$H389))),1,"")</f>
        <v/>
      </c>
      <c r="Q389" s="319">
        <f>IF(OR(ISNUMBER(SEARCH("수3",$H389)),ISNUMBER(SEARCH("수1.3",$H389)),ISNUMBER(SEARCH("수2.3",$H389)),ISNUMBER(SEARCH("수1.2.3",$H389))),1,"")</f>
        <v/>
      </c>
      <c r="R389" s="319">
        <f>IF(ISNUMBER(SEARCH("목1",$H389)),1,"")</f>
        <v/>
      </c>
      <c r="S389" s="319">
        <f>IF(OR(ISNUMBER(SEARCH("목2",$H389)),ISNUMBER(SEARCH("목1.2",$H389))),1,"")</f>
        <v/>
      </c>
      <c r="T389" s="319">
        <f>IF(OR(ISNUMBER(SEARCH("목3",$H389)),ISNUMBER(SEARCH("목1.3",$H389)),ISNUMBER(SEARCH("목2.3",$H389)),ISNUMBER(SEARCH("목1.2.3",$H389))),1,"")</f>
        <v/>
      </c>
      <c r="U389" s="319">
        <f>IF(ISNUMBER(SEARCH("금1",$H389)),1,"")</f>
        <v/>
      </c>
      <c r="V389" s="319">
        <f>IF(OR(ISNUMBER(SEARCH("금2",$H389)),ISNUMBER(SEARCH("금1.2",$H389))),1,"")</f>
        <v/>
      </c>
      <c r="W389" s="319">
        <f>IF(OR(ISNUMBER(SEARCH("금3",$H389)),ISNUMBER(SEARCH("금1.3",$H389)),ISNUMBER(SEARCH("금2.3",$H389)),ISNUMBER(SEARCH("금1.2.3",$H389))),1,"")</f>
        <v/>
      </c>
      <c r="X389" s="319">
        <f>IF(ISNUMBER(SEARCH("토1",$H389)),1,"")</f>
        <v/>
      </c>
      <c r="Y389" s="319">
        <f>IF(OR(ISNUMBER(SEARCH("토2",$H389)),ISNUMBER(SEARCH("토1.2",$H389))),1,"")</f>
        <v/>
      </c>
      <c r="Z389" s="319">
        <f>IF(OR(ISNUMBER(SEARCH("토3",$H389)),ISNUMBER(SEARCH("토1.3",$H389)),ISNUMBER(SEARCH("토2.3",$H389)),ISNUMBER(SEARCH("토1.2.3",$H389))),1,"")</f>
        <v/>
      </c>
      <c r="AA389" s="319">
        <f>IF(ISNUMBER(SEARCH("일1",$H389)),1,"")</f>
        <v/>
      </c>
      <c r="AB389" s="319">
        <f>IF(OR(ISNUMBER(SEARCH("일2",$H389)),ISNUMBER(SEARCH("일1.2",$H389))),1,"")</f>
        <v/>
      </c>
      <c r="AC389" s="319">
        <f>IF(OR(ISNUMBER(SEARCH("일3",$H389)),ISNUMBER(SEARCH("일1.3",$H389)),ISNUMBER(SEARCH("일2.3",$H389)),ISNUMBER(SEARCH("일1.2.3",$H389))),1,"")</f>
        <v/>
      </c>
      <c r="AD389" s="319">
        <f>SUM(I389:AC389)</f>
        <v/>
      </c>
      <c r="AE389" s="323" t="n"/>
    </row>
    <row r="390" ht="24" customHeight="1">
      <c r="A390" s="168" t="n"/>
      <c r="B390" s="319" t="n"/>
      <c r="C390" s="319" t="n"/>
      <c r="D390" s="319" t="n"/>
      <c r="E390" s="341" t="n"/>
      <c r="F390" s="341" t="n"/>
      <c r="G390" s="342" t="n"/>
      <c r="H390" s="322" t="n"/>
      <c r="I390" s="319">
        <f>IF(ISNUMBER(SEARCH("월1",$H390)),1,"")</f>
        <v/>
      </c>
      <c r="J390" s="319">
        <f>IF(OR(ISNUMBER(SEARCH("월2",$H390)),ISNUMBER(SEARCH("월1.2",$H390))),1,"")</f>
        <v/>
      </c>
      <c r="K390" s="319">
        <f>IF(OR(ISNUMBER(SEARCH("월3",$H390)),ISNUMBER(SEARCH("월1.3",$H390)),ISNUMBER(SEARCH("월2.3",$H390)),ISNUMBER(SEARCH("월1.2.3",$H390))),1,"")</f>
        <v/>
      </c>
      <c r="L390" s="319">
        <f>IF(ISNUMBER(SEARCH("화1",$H390)),1,"")</f>
        <v/>
      </c>
      <c r="M390" s="319">
        <f>IF(OR(ISNUMBER(SEARCH("화2",$H390)),ISNUMBER(SEARCH("화1.2",$H390))),1,"")</f>
        <v/>
      </c>
      <c r="N390" s="319">
        <f>IF(OR(ISNUMBER(SEARCH("화3",$H390)),ISNUMBER(SEARCH("화1.3",$H390)),ISNUMBER(SEARCH("화2.3",$H390)),ISNUMBER(SEARCH("화1.2.3",$H390))),1,"")</f>
        <v/>
      </c>
      <c r="O390" s="319">
        <f>IF(ISNUMBER(SEARCH("수1",$H390)),1,"")</f>
        <v/>
      </c>
      <c r="P390" s="319">
        <f>IF(OR(ISNUMBER(SEARCH("수2",$H390)),ISNUMBER(SEARCH("수1.2",$H390))),1,"")</f>
        <v/>
      </c>
      <c r="Q390" s="319">
        <f>IF(OR(ISNUMBER(SEARCH("수3",$H390)),ISNUMBER(SEARCH("수1.3",$H390)),ISNUMBER(SEARCH("수2.3",$H390)),ISNUMBER(SEARCH("수1.2.3",$H390))),1,"")</f>
        <v/>
      </c>
      <c r="R390" s="319">
        <f>IF(ISNUMBER(SEARCH("목1",$H390)),1,"")</f>
        <v/>
      </c>
      <c r="S390" s="319">
        <f>IF(OR(ISNUMBER(SEARCH("목2",$H390)),ISNUMBER(SEARCH("목1.2",$H390))),1,"")</f>
        <v/>
      </c>
      <c r="T390" s="319">
        <f>IF(OR(ISNUMBER(SEARCH("목3",$H390)),ISNUMBER(SEARCH("목1.3",$H390)),ISNUMBER(SEARCH("목2.3",$H390)),ISNUMBER(SEARCH("목1.2.3",$H390))),1,"")</f>
        <v/>
      </c>
      <c r="U390" s="319">
        <f>IF(ISNUMBER(SEARCH("금1",$H390)),1,"")</f>
        <v/>
      </c>
      <c r="V390" s="319">
        <f>IF(OR(ISNUMBER(SEARCH("금2",$H390)),ISNUMBER(SEARCH("금1.2",$H390))),1,"")</f>
        <v/>
      </c>
      <c r="W390" s="319">
        <f>IF(OR(ISNUMBER(SEARCH("금3",$H390)),ISNUMBER(SEARCH("금1.3",$H390)),ISNUMBER(SEARCH("금2.3",$H390)),ISNUMBER(SEARCH("금1.2.3",$H390))),1,"")</f>
        <v/>
      </c>
      <c r="X390" s="319">
        <f>IF(ISNUMBER(SEARCH("토1",$H390)),1,"")</f>
        <v/>
      </c>
      <c r="Y390" s="319">
        <f>IF(OR(ISNUMBER(SEARCH("토2",$H390)),ISNUMBER(SEARCH("토1.2",$H390))),1,"")</f>
        <v/>
      </c>
      <c r="Z390" s="319">
        <f>IF(OR(ISNUMBER(SEARCH("토3",$H390)),ISNUMBER(SEARCH("토1.3",$H390)),ISNUMBER(SEARCH("토2.3",$H390)),ISNUMBER(SEARCH("토1.2.3",$H390))),1,"")</f>
        <v/>
      </c>
      <c r="AA390" s="319">
        <f>IF(ISNUMBER(SEARCH("일1",$H390)),1,"")</f>
        <v/>
      </c>
      <c r="AB390" s="319">
        <f>IF(OR(ISNUMBER(SEARCH("일2",$H390)),ISNUMBER(SEARCH("일1.2",$H390))),1,"")</f>
        <v/>
      </c>
      <c r="AC390" s="319">
        <f>IF(OR(ISNUMBER(SEARCH("일3",$H390)),ISNUMBER(SEARCH("일1.3",$H390)),ISNUMBER(SEARCH("일2.3",$H390)),ISNUMBER(SEARCH("일1.2.3",$H390))),1,"")</f>
        <v/>
      </c>
      <c r="AD390" s="319">
        <f>SUM(I390:AC390)</f>
        <v/>
      </c>
      <c r="AE390" s="323" t="n"/>
    </row>
    <row r="391" ht="24" customHeight="1">
      <c r="A391" s="168" t="n"/>
      <c r="B391" s="319" t="n"/>
      <c r="C391" s="319" t="n"/>
      <c r="D391" s="319" t="n"/>
      <c r="E391" s="341" t="n"/>
      <c r="F391" s="341" t="n"/>
      <c r="G391" s="342" t="n"/>
      <c r="H391" s="322" t="n"/>
      <c r="I391" s="319">
        <f>IF(ISNUMBER(SEARCH("월1",$H391)),1,"")</f>
        <v/>
      </c>
      <c r="J391" s="319">
        <f>IF(OR(ISNUMBER(SEARCH("월2",$H391)),ISNUMBER(SEARCH("월1.2",$H391))),1,"")</f>
        <v/>
      </c>
      <c r="K391" s="319">
        <f>IF(OR(ISNUMBER(SEARCH("월3",$H391)),ISNUMBER(SEARCH("월1.3",$H391)),ISNUMBER(SEARCH("월2.3",$H391)),ISNUMBER(SEARCH("월1.2.3",$H391))),1,"")</f>
        <v/>
      </c>
      <c r="L391" s="319">
        <f>IF(ISNUMBER(SEARCH("화1",$H391)),1,"")</f>
        <v/>
      </c>
      <c r="M391" s="319">
        <f>IF(OR(ISNUMBER(SEARCH("화2",$H391)),ISNUMBER(SEARCH("화1.2",$H391))),1,"")</f>
        <v/>
      </c>
      <c r="N391" s="319">
        <f>IF(OR(ISNUMBER(SEARCH("화3",$H391)),ISNUMBER(SEARCH("화1.3",$H391)),ISNUMBER(SEARCH("화2.3",$H391)),ISNUMBER(SEARCH("화1.2.3",$H391))),1,"")</f>
        <v/>
      </c>
      <c r="O391" s="319">
        <f>IF(ISNUMBER(SEARCH("수1",$H391)),1,"")</f>
        <v/>
      </c>
      <c r="P391" s="319">
        <f>IF(OR(ISNUMBER(SEARCH("수2",$H391)),ISNUMBER(SEARCH("수1.2",$H391))),1,"")</f>
        <v/>
      </c>
      <c r="Q391" s="319">
        <f>IF(OR(ISNUMBER(SEARCH("수3",$H391)),ISNUMBER(SEARCH("수1.3",$H391)),ISNUMBER(SEARCH("수2.3",$H391)),ISNUMBER(SEARCH("수1.2.3",$H391))),1,"")</f>
        <v/>
      </c>
      <c r="R391" s="319">
        <f>IF(ISNUMBER(SEARCH("목1",$H391)),1,"")</f>
        <v/>
      </c>
      <c r="S391" s="319">
        <f>IF(OR(ISNUMBER(SEARCH("목2",$H391)),ISNUMBER(SEARCH("목1.2",$H391))),1,"")</f>
        <v/>
      </c>
      <c r="T391" s="319">
        <f>IF(OR(ISNUMBER(SEARCH("목3",$H391)),ISNUMBER(SEARCH("목1.3",$H391)),ISNUMBER(SEARCH("목2.3",$H391)),ISNUMBER(SEARCH("목1.2.3",$H391))),1,"")</f>
        <v/>
      </c>
      <c r="U391" s="319">
        <f>IF(ISNUMBER(SEARCH("금1",$H391)),1,"")</f>
        <v/>
      </c>
      <c r="V391" s="319">
        <f>IF(OR(ISNUMBER(SEARCH("금2",$H391)),ISNUMBER(SEARCH("금1.2",$H391))),1,"")</f>
        <v/>
      </c>
      <c r="W391" s="319">
        <f>IF(OR(ISNUMBER(SEARCH("금3",$H391)),ISNUMBER(SEARCH("금1.3",$H391)),ISNUMBER(SEARCH("금2.3",$H391)),ISNUMBER(SEARCH("금1.2.3",$H391))),1,"")</f>
        <v/>
      </c>
      <c r="X391" s="319">
        <f>IF(ISNUMBER(SEARCH("토1",$H391)),1,"")</f>
        <v/>
      </c>
      <c r="Y391" s="319">
        <f>IF(OR(ISNUMBER(SEARCH("토2",$H391)),ISNUMBER(SEARCH("토1.2",$H391))),1,"")</f>
        <v/>
      </c>
      <c r="Z391" s="319">
        <f>IF(OR(ISNUMBER(SEARCH("토3",$H391)),ISNUMBER(SEARCH("토1.3",$H391)),ISNUMBER(SEARCH("토2.3",$H391)),ISNUMBER(SEARCH("토1.2.3",$H391))),1,"")</f>
        <v/>
      </c>
      <c r="AA391" s="319">
        <f>IF(ISNUMBER(SEARCH("일1",$H391)),1,"")</f>
        <v/>
      </c>
      <c r="AB391" s="319">
        <f>IF(OR(ISNUMBER(SEARCH("일2",$H391)),ISNUMBER(SEARCH("일1.2",$H391))),1,"")</f>
        <v/>
      </c>
      <c r="AC391" s="319">
        <f>IF(OR(ISNUMBER(SEARCH("일3",$H391)),ISNUMBER(SEARCH("일1.3",$H391)),ISNUMBER(SEARCH("일2.3",$H391)),ISNUMBER(SEARCH("일1.2.3",$H391))),1,"")</f>
        <v/>
      </c>
      <c r="AD391" s="319">
        <f>SUM(I391:AC391)</f>
        <v/>
      </c>
      <c r="AE391" s="323" t="n"/>
    </row>
    <row r="392" ht="24" customHeight="1">
      <c r="A392" s="168" t="n"/>
      <c r="B392" s="319" t="n"/>
      <c r="C392" s="319" t="n"/>
      <c r="D392" s="319" t="n"/>
      <c r="E392" s="341" t="n"/>
      <c r="F392" s="341" t="n"/>
      <c r="G392" s="342" t="n"/>
      <c r="H392" s="322" t="n"/>
      <c r="I392" s="319">
        <f>IF(ISNUMBER(SEARCH("월1",$H392)),1,"")</f>
        <v/>
      </c>
      <c r="J392" s="319">
        <f>IF(OR(ISNUMBER(SEARCH("월2",$H392)),ISNUMBER(SEARCH("월1.2",$H392))),1,"")</f>
        <v/>
      </c>
      <c r="K392" s="319">
        <f>IF(OR(ISNUMBER(SEARCH("월3",$H392)),ISNUMBER(SEARCH("월1.3",$H392)),ISNUMBER(SEARCH("월2.3",$H392)),ISNUMBER(SEARCH("월1.2.3",$H392))),1,"")</f>
        <v/>
      </c>
      <c r="L392" s="319">
        <f>IF(ISNUMBER(SEARCH("화1",$H392)),1,"")</f>
        <v/>
      </c>
      <c r="M392" s="319">
        <f>IF(OR(ISNUMBER(SEARCH("화2",$H392)),ISNUMBER(SEARCH("화1.2",$H392))),1,"")</f>
        <v/>
      </c>
      <c r="N392" s="319">
        <f>IF(OR(ISNUMBER(SEARCH("화3",$H392)),ISNUMBER(SEARCH("화1.3",$H392)),ISNUMBER(SEARCH("화2.3",$H392)),ISNUMBER(SEARCH("화1.2.3",$H392))),1,"")</f>
        <v/>
      </c>
      <c r="O392" s="319">
        <f>IF(ISNUMBER(SEARCH("수1",$H392)),1,"")</f>
        <v/>
      </c>
      <c r="P392" s="319">
        <f>IF(OR(ISNUMBER(SEARCH("수2",$H392)),ISNUMBER(SEARCH("수1.2",$H392))),1,"")</f>
        <v/>
      </c>
      <c r="Q392" s="319">
        <f>IF(OR(ISNUMBER(SEARCH("수3",$H392)),ISNUMBER(SEARCH("수1.3",$H392)),ISNUMBER(SEARCH("수2.3",$H392)),ISNUMBER(SEARCH("수1.2.3",$H392))),1,"")</f>
        <v/>
      </c>
      <c r="R392" s="319">
        <f>IF(ISNUMBER(SEARCH("목1",$H392)),1,"")</f>
        <v/>
      </c>
      <c r="S392" s="319">
        <f>IF(OR(ISNUMBER(SEARCH("목2",$H392)),ISNUMBER(SEARCH("목1.2",$H392))),1,"")</f>
        <v/>
      </c>
      <c r="T392" s="319">
        <f>IF(OR(ISNUMBER(SEARCH("목3",$H392)),ISNUMBER(SEARCH("목1.3",$H392)),ISNUMBER(SEARCH("목2.3",$H392)),ISNUMBER(SEARCH("목1.2.3",$H392))),1,"")</f>
        <v/>
      </c>
      <c r="U392" s="319">
        <f>IF(ISNUMBER(SEARCH("금1",$H392)),1,"")</f>
        <v/>
      </c>
      <c r="V392" s="319">
        <f>IF(OR(ISNUMBER(SEARCH("금2",$H392)),ISNUMBER(SEARCH("금1.2",$H392))),1,"")</f>
        <v/>
      </c>
      <c r="W392" s="319">
        <f>IF(OR(ISNUMBER(SEARCH("금3",$H392)),ISNUMBER(SEARCH("금1.3",$H392)),ISNUMBER(SEARCH("금2.3",$H392)),ISNUMBER(SEARCH("금1.2.3",$H392))),1,"")</f>
        <v/>
      </c>
      <c r="X392" s="319">
        <f>IF(ISNUMBER(SEARCH("토1",$H392)),1,"")</f>
        <v/>
      </c>
      <c r="Y392" s="319">
        <f>IF(OR(ISNUMBER(SEARCH("토2",$H392)),ISNUMBER(SEARCH("토1.2",$H392))),1,"")</f>
        <v/>
      </c>
      <c r="Z392" s="319">
        <f>IF(OR(ISNUMBER(SEARCH("토3",$H392)),ISNUMBER(SEARCH("토1.3",$H392)),ISNUMBER(SEARCH("토2.3",$H392)),ISNUMBER(SEARCH("토1.2.3",$H392))),1,"")</f>
        <v/>
      </c>
      <c r="AA392" s="319">
        <f>IF(ISNUMBER(SEARCH("일1",$H392)),1,"")</f>
        <v/>
      </c>
      <c r="AB392" s="319">
        <f>IF(OR(ISNUMBER(SEARCH("일2",$H392)),ISNUMBER(SEARCH("일1.2",$H392))),1,"")</f>
        <v/>
      </c>
      <c r="AC392" s="319">
        <f>IF(OR(ISNUMBER(SEARCH("일3",$H392)),ISNUMBER(SEARCH("일1.3",$H392)),ISNUMBER(SEARCH("일2.3",$H392)),ISNUMBER(SEARCH("일1.2.3",$H392))),1,"")</f>
        <v/>
      </c>
      <c r="AD392" s="319">
        <f>SUM(I392:AC392)</f>
        <v/>
      </c>
      <c r="AE392" s="323" t="n"/>
    </row>
    <row r="393" ht="24" customHeight="1">
      <c r="A393" s="168" t="n"/>
      <c r="B393" s="319" t="n"/>
      <c r="C393" s="319" t="n"/>
      <c r="D393" s="319" t="n"/>
      <c r="E393" s="341" t="n"/>
      <c r="F393" s="341" t="n"/>
      <c r="G393" s="342" t="n"/>
      <c r="H393" s="322" t="n"/>
      <c r="I393" s="319">
        <f>IF(ISNUMBER(SEARCH("월1",$H393)),1,"")</f>
        <v/>
      </c>
      <c r="J393" s="319">
        <f>IF(OR(ISNUMBER(SEARCH("월2",$H393)),ISNUMBER(SEARCH("월1.2",$H393))),1,"")</f>
        <v/>
      </c>
      <c r="K393" s="319">
        <f>IF(OR(ISNUMBER(SEARCH("월3",$H393)),ISNUMBER(SEARCH("월1.3",$H393)),ISNUMBER(SEARCH("월2.3",$H393)),ISNUMBER(SEARCH("월1.2.3",$H393))),1,"")</f>
        <v/>
      </c>
      <c r="L393" s="319">
        <f>IF(ISNUMBER(SEARCH("화1",$H393)),1,"")</f>
        <v/>
      </c>
      <c r="M393" s="319">
        <f>IF(OR(ISNUMBER(SEARCH("화2",$H393)),ISNUMBER(SEARCH("화1.2",$H393))),1,"")</f>
        <v/>
      </c>
      <c r="N393" s="319">
        <f>IF(OR(ISNUMBER(SEARCH("화3",$H393)),ISNUMBER(SEARCH("화1.3",$H393)),ISNUMBER(SEARCH("화2.3",$H393)),ISNUMBER(SEARCH("화1.2.3",$H393))),1,"")</f>
        <v/>
      </c>
      <c r="O393" s="319">
        <f>IF(ISNUMBER(SEARCH("수1",$H393)),1,"")</f>
        <v/>
      </c>
      <c r="P393" s="319">
        <f>IF(OR(ISNUMBER(SEARCH("수2",$H393)),ISNUMBER(SEARCH("수1.2",$H393))),1,"")</f>
        <v/>
      </c>
      <c r="Q393" s="319">
        <f>IF(OR(ISNUMBER(SEARCH("수3",$H393)),ISNUMBER(SEARCH("수1.3",$H393)),ISNUMBER(SEARCH("수2.3",$H393)),ISNUMBER(SEARCH("수1.2.3",$H393))),1,"")</f>
        <v/>
      </c>
      <c r="R393" s="319">
        <f>IF(ISNUMBER(SEARCH("목1",$H393)),1,"")</f>
        <v/>
      </c>
      <c r="S393" s="319">
        <f>IF(OR(ISNUMBER(SEARCH("목2",$H393)),ISNUMBER(SEARCH("목1.2",$H393))),1,"")</f>
        <v/>
      </c>
      <c r="T393" s="319">
        <f>IF(OR(ISNUMBER(SEARCH("목3",$H393)),ISNUMBER(SEARCH("목1.3",$H393)),ISNUMBER(SEARCH("목2.3",$H393)),ISNUMBER(SEARCH("목1.2.3",$H393))),1,"")</f>
        <v/>
      </c>
      <c r="U393" s="319">
        <f>IF(ISNUMBER(SEARCH("금1",$H393)),1,"")</f>
        <v/>
      </c>
      <c r="V393" s="319">
        <f>IF(OR(ISNUMBER(SEARCH("금2",$H393)),ISNUMBER(SEARCH("금1.2",$H393))),1,"")</f>
        <v/>
      </c>
      <c r="W393" s="319">
        <f>IF(OR(ISNUMBER(SEARCH("금3",$H393)),ISNUMBER(SEARCH("금1.3",$H393)),ISNUMBER(SEARCH("금2.3",$H393)),ISNUMBER(SEARCH("금1.2.3",$H393))),1,"")</f>
        <v/>
      </c>
      <c r="X393" s="319">
        <f>IF(ISNUMBER(SEARCH("토1",$H393)),1,"")</f>
        <v/>
      </c>
      <c r="Y393" s="319">
        <f>IF(OR(ISNUMBER(SEARCH("토2",$H393)),ISNUMBER(SEARCH("토1.2",$H393))),1,"")</f>
        <v/>
      </c>
      <c r="Z393" s="319">
        <f>IF(OR(ISNUMBER(SEARCH("토3",$H393)),ISNUMBER(SEARCH("토1.3",$H393)),ISNUMBER(SEARCH("토2.3",$H393)),ISNUMBER(SEARCH("토1.2.3",$H393))),1,"")</f>
        <v/>
      </c>
      <c r="AA393" s="319">
        <f>IF(ISNUMBER(SEARCH("일1",$H393)),1,"")</f>
        <v/>
      </c>
      <c r="AB393" s="319">
        <f>IF(OR(ISNUMBER(SEARCH("일2",$H393)),ISNUMBER(SEARCH("일1.2",$H393))),1,"")</f>
        <v/>
      </c>
      <c r="AC393" s="319">
        <f>IF(OR(ISNUMBER(SEARCH("일3",$H393)),ISNUMBER(SEARCH("일1.3",$H393)),ISNUMBER(SEARCH("일2.3",$H393)),ISNUMBER(SEARCH("일1.2.3",$H393))),1,"")</f>
        <v/>
      </c>
      <c r="AD393" s="319">
        <f>SUM(I393:AC393)</f>
        <v/>
      </c>
      <c r="AE393" s="323" t="n"/>
    </row>
    <row r="394" ht="24" customHeight="1">
      <c r="A394" s="168" t="n"/>
      <c r="B394" s="319" t="n"/>
      <c r="C394" s="319" t="n"/>
      <c r="D394" s="319" t="n"/>
      <c r="E394" s="341" t="n"/>
      <c r="F394" s="341" t="n"/>
      <c r="G394" s="342" t="n"/>
      <c r="H394" s="322" t="n"/>
      <c r="I394" s="319">
        <f>IF(ISNUMBER(SEARCH("월1",$H394)),1,"")</f>
        <v/>
      </c>
      <c r="J394" s="319">
        <f>IF(OR(ISNUMBER(SEARCH("월2",$H394)),ISNUMBER(SEARCH("월1.2",$H394))),1,"")</f>
        <v/>
      </c>
      <c r="K394" s="319">
        <f>IF(OR(ISNUMBER(SEARCH("월3",$H394)),ISNUMBER(SEARCH("월1.3",$H394)),ISNUMBER(SEARCH("월2.3",$H394)),ISNUMBER(SEARCH("월1.2.3",$H394))),1,"")</f>
        <v/>
      </c>
      <c r="L394" s="319">
        <f>IF(ISNUMBER(SEARCH("화1",$H394)),1,"")</f>
        <v/>
      </c>
      <c r="M394" s="319">
        <f>IF(OR(ISNUMBER(SEARCH("화2",$H394)),ISNUMBER(SEARCH("화1.2",$H394))),1,"")</f>
        <v/>
      </c>
      <c r="N394" s="319">
        <f>IF(OR(ISNUMBER(SEARCH("화3",$H394)),ISNUMBER(SEARCH("화1.3",$H394)),ISNUMBER(SEARCH("화2.3",$H394)),ISNUMBER(SEARCH("화1.2.3",$H394))),1,"")</f>
        <v/>
      </c>
      <c r="O394" s="319">
        <f>IF(ISNUMBER(SEARCH("수1",$H394)),1,"")</f>
        <v/>
      </c>
      <c r="P394" s="319">
        <f>IF(OR(ISNUMBER(SEARCH("수2",$H394)),ISNUMBER(SEARCH("수1.2",$H394))),1,"")</f>
        <v/>
      </c>
      <c r="Q394" s="319">
        <f>IF(OR(ISNUMBER(SEARCH("수3",$H394)),ISNUMBER(SEARCH("수1.3",$H394)),ISNUMBER(SEARCH("수2.3",$H394)),ISNUMBER(SEARCH("수1.2.3",$H394))),1,"")</f>
        <v/>
      </c>
      <c r="R394" s="319">
        <f>IF(ISNUMBER(SEARCH("목1",$H394)),1,"")</f>
        <v/>
      </c>
      <c r="S394" s="319">
        <f>IF(OR(ISNUMBER(SEARCH("목2",$H394)),ISNUMBER(SEARCH("목1.2",$H394))),1,"")</f>
        <v/>
      </c>
      <c r="T394" s="319">
        <f>IF(OR(ISNUMBER(SEARCH("목3",$H394)),ISNUMBER(SEARCH("목1.3",$H394)),ISNUMBER(SEARCH("목2.3",$H394)),ISNUMBER(SEARCH("목1.2.3",$H394))),1,"")</f>
        <v/>
      </c>
      <c r="U394" s="319">
        <f>IF(ISNUMBER(SEARCH("금1",$H394)),1,"")</f>
        <v/>
      </c>
      <c r="V394" s="319">
        <f>IF(OR(ISNUMBER(SEARCH("금2",$H394)),ISNUMBER(SEARCH("금1.2",$H394))),1,"")</f>
        <v/>
      </c>
      <c r="W394" s="319">
        <f>IF(OR(ISNUMBER(SEARCH("금3",$H394)),ISNUMBER(SEARCH("금1.3",$H394)),ISNUMBER(SEARCH("금2.3",$H394)),ISNUMBER(SEARCH("금1.2.3",$H394))),1,"")</f>
        <v/>
      </c>
      <c r="X394" s="319">
        <f>IF(ISNUMBER(SEARCH("토1",$H394)),1,"")</f>
        <v/>
      </c>
      <c r="Y394" s="319">
        <f>IF(OR(ISNUMBER(SEARCH("토2",$H394)),ISNUMBER(SEARCH("토1.2",$H394))),1,"")</f>
        <v/>
      </c>
      <c r="Z394" s="319">
        <f>IF(OR(ISNUMBER(SEARCH("토3",$H394)),ISNUMBER(SEARCH("토1.3",$H394)),ISNUMBER(SEARCH("토2.3",$H394)),ISNUMBER(SEARCH("토1.2.3",$H394))),1,"")</f>
        <v/>
      </c>
      <c r="AA394" s="319">
        <f>IF(ISNUMBER(SEARCH("일1",$H394)),1,"")</f>
        <v/>
      </c>
      <c r="AB394" s="319">
        <f>IF(OR(ISNUMBER(SEARCH("일2",$H394)),ISNUMBER(SEARCH("일1.2",$H394))),1,"")</f>
        <v/>
      </c>
      <c r="AC394" s="319">
        <f>IF(OR(ISNUMBER(SEARCH("일3",$H394)),ISNUMBER(SEARCH("일1.3",$H394)),ISNUMBER(SEARCH("일2.3",$H394)),ISNUMBER(SEARCH("일1.2.3",$H394))),1,"")</f>
        <v/>
      </c>
      <c r="AD394" s="319">
        <f>SUM(I394:AC394)</f>
        <v/>
      </c>
      <c r="AE394" s="323" t="n"/>
    </row>
    <row r="395" ht="24" customHeight="1">
      <c r="A395" s="168" t="n"/>
      <c r="B395" s="319" t="n"/>
      <c r="C395" s="319" t="n"/>
      <c r="D395" s="319" t="n"/>
      <c r="E395" s="341" t="n"/>
      <c r="F395" s="341" t="n"/>
      <c r="G395" s="342" t="n"/>
      <c r="H395" s="322" t="n"/>
      <c r="I395" s="319">
        <f>IF(ISNUMBER(SEARCH("월1",$H395)),1,"")</f>
        <v/>
      </c>
      <c r="J395" s="319">
        <f>IF(OR(ISNUMBER(SEARCH("월2",$H395)),ISNUMBER(SEARCH("월1.2",$H395))),1,"")</f>
        <v/>
      </c>
      <c r="K395" s="319">
        <f>IF(OR(ISNUMBER(SEARCH("월3",$H395)),ISNUMBER(SEARCH("월1.3",$H395)),ISNUMBER(SEARCH("월2.3",$H395)),ISNUMBER(SEARCH("월1.2.3",$H395))),1,"")</f>
        <v/>
      </c>
      <c r="L395" s="319">
        <f>IF(ISNUMBER(SEARCH("화1",$H395)),1,"")</f>
        <v/>
      </c>
      <c r="M395" s="319">
        <f>IF(OR(ISNUMBER(SEARCH("화2",$H395)),ISNUMBER(SEARCH("화1.2",$H395))),1,"")</f>
        <v/>
      </c>
      <c r="N395" s="319">
        <f>IF(OR(ISNUMBER(SEARCH("화3",$H395)),ISNUMBER(SEARCH("화1.3",$H395)),ISNUMBER(SEARCH("화2.3",$H395)),ISNUMBER(SEARCH("화1.2.3",$H395))),1,"")</f>
        <v/>
      </c>
      <c r="O395" s="319">
        <f>IF(ISNUMBER(SEARCH("수1",$H395)),1,"")</f>
        <v/>
      </c>
      <c r="P395" s="319">
        <f>IF(OR(ISNUMBER(SEARCH("수2",$H395)),ISNUMBER(SEARCH("수1.2",$H395))),1,"")</f>
        <v/>
      </c>
      <c r="Q395" s="319">
        <f>IF(OR(ISNUMBER(SEARCH("수3",$H395)),ISNUMBER(SEARCH("수1.3",$H395)),ISNUMBER(SEARCH("수2.3",$H395)),ISNUMBER(SEARCH("수1.2.3",$H395))),1,"")</f>
        <v/>
      </c>
      <c r="R395" s="319">
        <f>IF(ISNUMBER(SEARCH("목1",$H395)),1,"")</f>
        <v/>
      </c>
      <c r="S395" s="319">
        <f>IF(OR(ISNUMBER(SEARCH("목2",$H395)),ISNUMBER(SEARCH("목1.2",$H395))),1,"")</f>
        <v/>
      </c>
      <c r="T395" s="319">
        <f>IF(OR(ISNUMBER(SEARCH("목3",$H395)),ISNUMBER(SEARCH("목1.3",$H395)),ISNUMBER(SEARCH("목2.3",$H395)),ISNUMBER(SEARCH("목1.2.3",$H395))),1,"")</f>
        <v/>
      </c>
      <c r="U395" s="319">
        <f>IF(ISNUMBER(SEARCH("금1",$H395)),1,"")</f>
        <v/>
      </c>
      <c r="V395" s="319">
        <f>IF(OR(ISNUMBER(SEARCH("금2",$H395)),ISNUMBER(SEARCH("금1.2",$H395))),1,"")</f>
        <v/>
      </c>
      <c r="W395" s="319">
        <f>IF(OR(ISNUMBER(SEARCH("금3",$H395)),ISNUMBER(SEARCH("금1.3",$H395)),ISNUMBER(SEARCH("금2.3",$H395)),ISNUMBER(SEARCH("금1.2.3",$H395))),1,"")</f>
        <v/>
      </c>
      <c r="X395" s="319">
        <f>IF(ISNUMBER(SEARCH("토1",$H395)),1,"")</f>
        <v/>
      </c>
      <c r="Y395" s="319">
        <f>IF(OR(ISNUMBER(SEARCH("토2",$H395)),ISNUMBER(SEARCH("토1.2",$H395))),1,"")</f>
        <v/>
      </c>
      <c r="Z395" s="319">
        <f>IF(OR(ISNUMBER(SEARCH("토3",$H395)),ISNUMBER(SEARCH("토1.3",$H395)),ISNUMBER(SEARCH("토2.3",$H395)),ISNUMBER(SEARCH("토1.2.3",$H395))),1,"")</f>
        <v/>
      </c>
      <c r="AA395" s="319">
        <f>IF(ISNUMBER(SEARCH("일1",$H395)),1,"")</f>
        <v/>
      </c>
      <c r="AB395" s="319">
        <f>IF(OR(ISNUMBER(SEARCH("일2",$H395)),ISNUMBER(SEARCH("일1.2",$H395))),1,"")</f>
        <v/>
      </c>
      <c r="AC395" s="319">
        <f>IF(OR(ISNUMBER(SEARCH("일3",$H395)),ISNUMBER(SEARCH("일1.3",$H395)),ISNUMBER(SEARCH("일2.3",$H395)),ISNUMBER(SEARCH("일1.2.3",$H395))),1,"")</f>
        <v/>
      </c>
      <c r="AD395" s="319">
        <f>SUM(I395:AC395)</f>
        <v/>
      </c>
      <c r="AE395" s="323" t="n"/>
    </row>
    <row r="396" ht="24" customHeight="1">
      <c r="A396" s="168" t="n"/>
      <c r="B396" s="319" t="n"/>
      <c r="C396" s="319" t="n"/>
      <c r="D396" s="319" t="n"/>
      <c r="E396" s="341" t="n"/>
      <c r="F396" s="341" t="n"/>
      <c r="G396" s="342" t="n"/>
      <c r="H396" s="322" t="n"/>
      <c r="I396" s="319">
        <f>IF(ISNUMBER(SEARCH("월1",$H396)),1,"")</f>
        <v/>
      </c>
      <c r="J396" s="319">
        <f>IF(OR(ISNUMBER(SEARCH("월2",$H396)),ISNUMBER(SEARCH("월1.2",$H396))),1,"")</f>
        <v/>
      </c>
      <c r="K396" s="319">
        <f>IF(OR(ISNUMBER(SEARCH("월3",$H396)),ISNUMBER(SEARCH("월1.3",$H396)),ISNUMBER(SEARCH("월2.3",$H396)),ISNUMBER(SEARCH("월1.2.3",$H396))),1,"")</f>
        <v/>
      </c>
      <c r="L396" s="319">
        <f>IF(ISNUMBER(SEARCH("화1",$H396)),1,"")</f>
        <v/>
      </c>
      <c r="M396" s="319">
        <f>IF(OR(ISNUMBER(SEARCH("화2",$H396)),ISNUMBER(SEARCH("화1.2",$H396))),1,"")</f>
        <v/>
      </c>
      <c r="N396" s="319">
        <f>IF(OR(ISNUMBER(SEARCH("화3",$H396)),ISNUMBER(SEARCH("화1.3",$H396)),ISNUMBER(SEARCH("화2.3",$H396)),ISNUMBER(SEARCH("화1.2.3",$H396))),1,"")</f>
        <v/>
      </c>
      <c r="O396" s="319">
        <f>IF(ISNUMBER(SEARCH("수1",$H396)),1,"")</f>
        <v/>
      </c>
      <c r="P396" s="319">
        <f>IF(OR(ISNUMBER(SEARCH("수2",$H396)),ISNUMBER(SEARCH("수1.2",$H396))),1,"")</f>
        <v/>
      </c>
      <c r="Q396" s="319">
        <f>IF(OR(ISNUMBER(SEARCH("수3",$H396)),ISNUMBER(SEARCH("수1.3",$H396)),ISNUMBER(SEARCH("수2.3",$H396)),ISNUMBER(SEARCH("수1.2.3",$H396))),1,"")</f>
        <v/>
      </c>
      <c r="R396" s="319">
        <f>IF(ISNUMBER(SEARCH("목1",$H396)),1,"")</f>
        <v/>
      </c>
      <c r="S396" s="319">
        <f>IF(OR(ISNUMBER(SEARCH("목2",$H396)),ISNUMBER(SEARCH("목1.2",$H396))),1,"")</f>
        <v/>
      </c>
      <c r="T396" s="319">
        <f>IF(OR(ISNUMBER(SEARCH("목3",$H396)),ISNUMBER(SEARCH("목1.3",$H396)),ISNUMBER(SEARCH("목2.3",$H396)),ISNUMBER(SEARCH("목1.2.3",$H396))),1,"")</f>
        <v/>
      </c>
      <c r="U396" s="319">
        <f>IF(ISNUMBER(SEARCH("금1",$H396)),1,"")</f>
        <v/>
      </c>
      <c r="V396" s="319">
        <f>IF(OR(ISNUMBER(SEARCH("금2",$H396)),ISNUMBER(SEARCH("금1.2",$H396))),1,"")</f>
        <v/>
      </c>
      <c r="W396" s="319">
        <f>IF(OR(ISNUMBER(SEARCH("금3",$H396)),ISNUMBER(SEARCH("금1.3",$H396)),ISNUMBER(SEARCH("금2.3",$H396)),ISNUMBER(SEARCH("금1.2.3",$H396))),1,"")</f>
        <v/>
      </c>
      <c r="X396" s="319">
        <f>IF(ISNUMBER(SEARCH("토1",$H396)),1,"")</f>
        <v/>
      </c>
      <c r="Y396" s="319">
        <f>IF(OR(ISNUMBER(SEARCH("토2",$H396)),ISNUMBER(SEARCH("토1.2",$H396))),1,"")</f>
        <v/>
      </c>
      <c r="Z396" s="319">
        <f>IF(OR(ISNUMBER(SEARCH("토3",$H396)),ISNUMBER(SEARCH("토1.3",$H396)),ISNUMBER(SEARCH("토2.3",$H396)),ISNUMBER(SEARCH("토1.2.3",$H396))),1,"")</f>
        <v/>
      </c>
      <c r="AA396" s="319">
        <f>IF(ISNUMBER(SEARCH("일1",$H396)),1,"")</f>
        <v/>
      </c>
      <c r="AB396" s="319">
        <f>IF(OR(ISNUMBER(SEARCH("일2",$H396)),ISNUMBER(SEARCH("일1.2",$H396))),1,"")</f>
        <v/>
      </c>
      <c r="AC396" s="319">
        <f>IF(OR(ISNUMBER(SEARCH("일3",$H396)),ISNUMBER(SEARCH("일1.3",$H396)),ISNUMBER(SEARCH("일2.3",$H396)),ISNUMBER(SEARCH("일1.2.3",$H396))),1,"")</f>
        <v/>
      </c>
      <c r="AD396" s="319">
        <f>SUM(I396:AC396)</f>
        <v/>
      </c>
      <c r="AE396" s="323" t="n"/>
    </row>
    <row r="397" ht="24" customHeight="1">
      <c r="A397" s="168" t="n"/>
      <c r="B397" s="319" t="n"/>
      <c r="C397" s="319" t="n"/>
      <c r="D397" s="319" t="n"/>
      <c r="E397" s="341" t="n"/>
      <c r="F397" s="341" t="n"/>
      <c r="G397" s="342" t="n"/>
      <c r="H397" s="322" t="n"/>
      <c r="I397" s="319">
        <f>IF(ISNUMBER(SEARCH("월1",$H397)),1,"")</f>
        <v/>
      </c>
      <c r="J397" s="319">
        <f>IF(OR(ISNUMBER(SEARCH("월2",$H397)),ISNUMBER(SEARCH("월1.2",$H397))),1,"")</f>
        <v/>
      </c>
      <c r="K397" s="319">
        <f>IF(OR(ISNUMBER(SEARCH("월3",$H397)),ISNUMBER(SEARCH("월1.3",$H397)),ISNUMBER(SEARCH("월2.3",$H397)),ISNUMBER(SEARCH("월1.2.3",$H397))),1,"")</f>
        <v/>
      </c>
      <c r="L397" s="319">
        <f>IF(ISNUMBER(SEARCH("화1",$H397)),1,"")</f>
        <v/>
      </c>
      <c r="M397" s="319">
        <f>IF(OR(ISNUMBER(SEARCH("화2",$H397)),ISNUMBER(SEARCH("화1.2",$H397))),1,"")</f>
        <v/>
      </c>
      <c r="N397" s="319">
        <f>IF(OR(ISNUMBER(SEARCH("화3",$H397)),ISNUMBER(SEARCH("화1.3",$H397)),ISNUMBER(SEARCH("화2.3",$H397)),ISNUMBER(SEARCH("화1.2.3",$H397))),1,"")</f>
        <v/>
      </c>
      <c r="O397" s="319">
        <f>IF(ISNUMBER(SEARCH("수1",$H397)),1,"")</f>
        <v/>
      </c>
      <c r="P397" s="319">
        <f>IF(OR(ISNUMBER(SEARCH("수2",$H397)),ISNUMBER(SEARCH("수1.2",$H397))),1,"")</f>
        <v/>
      </c>
      <c r="Q397" s="319">
        <f>IF(OR(ISNUMBER(SEARCH("수3",$H397)),ISNUMBER(SEARCH("수1.3",$H397)),ISNUMBER(SEARCH("수2.3",$H397)),ISNUMBER(SEARCH("수1.2.3",$H397))),1,"")</f>
        <v/>
      </c>
      <c r="R397" s="319">
        <f>IF(ISNUMBER(SEARCH("목1",$H397)),1,"")</f>
        <v/>
      </c>
      <c r="S397" s="319">
        <f>IF(OR(ISNUMBER(SEARCH("목2",$H397)),ISNUMBER(SEARCH("목1.2",$H397))),1,"")</f>
        <v/>
      </c>
      <c r="T397" s="319">
        <f>IF(OR(ISNUMBER(SEARCH("목3",$H397)),ISNUMBER(SEARCH("목1.3",$H397)),ISNUMBER(SEARCH("목2.3",$H397)),ISNUMBER(SEARCH("목1.2.3",$H397))),1,"")</f>
        <v/>
      </c>
      <c r="U397" s="319">
        <f>IF(ISNUMBER(SEARCH("금1",$H397)),1,"")</f>
        <v/>
      </c>
      <c r="V397" s="319">
        <f>IF(OR(ISNUMBER(SEARCH("금2",$H397)),ISNUMBER(SEARCH("금1.2",$H397))),1,"")</f>
        <v/>
      </c>
      <c r="W397" s="319">
        <f>IF(OR(ISNUMBER(SEARCH("금3",$H397)),ISNUMBER(SEARCH("금1.3",$H397)),ISNUMBER(SEARCH("금2.3",$H397)),ISNUMBER(SEARCH("금1.2.3",$H397))),1,"")</f>
        <v/>
      </c>
      <c r="X397" s="319">
        <f>IF(ISNUMBER(SEARCH("토1",$H397)),1,"")</f>
        <v/>
      </c>
      <c r="Y397" s="319">
        <f>IF(OR(ISNUMBER(SEARCH("토2",$H397)),ISNUMBER(SEARCH("토1.2",$H397))),1,"")</f>
        <v/>
      </c>
      <c r="Z397" s="319">
        <f>IF(OR(ISNUMBER(SEARCH("토3",$H397)),ISNUMBER(SEARCH("토1.3",$H397)),ISNUMBER(SEARCH("토2.3",$H397)),ISNUMBER(SEARCH("토1.2.3",$H397))),1,"")</f>
        <v/>
      </c>
      <c r="AA397" s="319">
        <f>IF(ISNUMBER(SEARCH("일1",$H397)),1,"")</f>
        <v/>
      </c>
      <c r="AB397" s="319">
        <f>IF(OR(ISNUMBER(SEARCH("일2",$H397)),ISNUMBER(SEARCH("일1.2",$H397))),1,"")</f>
        <v/>
      </c>
      <c r="AC397" s="319">
        <f>IF(OR(ISNUMBER(SEARCH("일3",$H397)),ISNUMBER(SEARCH("일1.3",$H397)),ISNUMBER(SEARCH("일2.3",$H397)),ISNUMBER(SEARCH("일1.2.3",$H397))),1,"")</f>
        <v/>
      </c>
      <c r="AD397" s="319">
        <f>SUM(I397:AC397)</f>
        <v/>
      </c>
      <c r="AE397" s="323" t="n"/>
    </row>
    <row r="398" ht="24" customHeight="1">
      <c r="A398" s="168" t="n"/>
      <c r="B398" s="319" t="n"/>
      <c r="C398" s="319" t="n"/>
      <c r="D398" s="319" t="n"/>
      <c r="E398" s="341" t="n"/>
      <c r="F398" s="341" t="n"/>
      <c r="G398" s="342" t="n"/>
      <c r="H398" s="322" t="n"/>
      <c r="I398" s="319">
        <f>IF(ISNUMBER(SEARCH("월1",$H398)),1,"")</f>
        <v/>
      </c>
      <c r="J398" s="319">
        <f>IF(OR(ISNUMBER(SEARCH("월2",$H398)),ISNUMBER(SEARCH("월1.2",$H398))),1,"")</f>
        <v/>
      </c>
      <c r="K398" s="319">
        <f>IF(OR(ISNUMBER(SEARCH("월3",$H398)),ISNUMBER(SEARCH("월1.3",$H398)),ISNUMBER(SEARCH("월2.3",$H398)),ISNUMBER(SEARCH("월1.2.3",$H398))),1,"")</f>
        <v/>
      </c>
      <c r="L398" s="319">
        <f>IF(ISNUMBER(SEARCH("화1",$H398)),1,"")</f>
        <v/>
      </c>
      <c r="M398" s="319">
        <f>IF(OR(ISNUMBER(SEARCH("화2",$H398)),ISNUMBER(SEARCH("화1.2",$H398))),1,"")</f>
        <v/>
      </c>
      <c r="N398" s="319">
        <f>IF(OR(ISNUMBER(SEARCH("화3",$H398)),ISNUMBER(SEARCH("화1.3",$H398)),ISNUMBER(SEARCH("화2.3",$H398)),ISNUMBER(SEARCH("화1.2.3",$H398))),1,"")</f>
        <v/>
      </c>
      <c r="O398" s="319">
        <f>IF(ISNUMBER(SEARCH("수1",$H398)),1,"")</f>
        <v/>
      </c>
      <c r="P398" s="319">
        <f>IF(OR(ISNUMBER(SEARCH("수2",$H398)),ISNUMBER(SEARCH("수1.2",$H398))),1,"")</f>
        <v/>
      </c>
      <c r="Q398" s="319">
        <f>IF(OR(ISNUMBER(SEARCH("수3",$H398)),ISNUMBER(SEARCH("수1.3",$H398)),ISNUMBER(SEARCH("수2.3",$H398)),ISNUMBER(SEARCH("수1.2.3",$H398))),1,"")</f>
        <v/>
      </c>
      <c r="R398" s="319">
        <f>IF(ISNUMBER(SEARCH("목1",$H398)),1,"")</f>
        <v/>
      </c>
      <c r="S398" s="319">
        <f>IF(OR(ISNUMBER(SEARCH("목2",$H398)),ISNUMBER(SEARCH("목1.2",$H398))),1,"")</f>
        <v/>
      </c>
      <c r="T398" s="319">
        <f>IF(OR(ISNUMBER(SEARCH("목3",$H398)),ISNUMBER(SEARCH("목1.3",$H398)),ISNUMBER(SEARCH("목2.3",$H398)),ISNUMBER(SEARCH("목1.2.3",$H398))),1,"")</f>
        <v/>
      </c>
      <c r="U398" s="319">
        <f>IF(ISNUMBER(SEARCH("금1",$H398)),1,"")</f>
        <v/>
      </c>
      <c r="V398" s="319">
        <f>IF(OR(ISNUMBER(SEARCH("금2",$H398)),ISNUMBER(SEARCH("금1.2",$H398))),1,"")</f>
        <v/>
      </c>
      <c r="W398" s="319">
        <f>IF(OR(ISNUMBER(SEARCH("금3",$H398)),ISNUMBER(SEARCH("금1.3",$H398)),ISNUMBER(SEARCH("금2.3",$H398)),ISNUMBER(SEARCH("금1.2.3",$H398))),1,"")</f>
        <v/>
      </c>
      <c r="X398" s="319">
        <f>IF(ISNUMBER(SEARCH("토1",$H398)),1,"")</f>
        <v/>
      </c>
      <c r="Y398" s="319">
        <f>IF(OR(ISNUMBER(SEARCH("토2",$H398)),ISNUMBER(SEARCH("토1.2",$H398))),1,"")</f>
        <v/>
      </c>
      <c r="Z398" s="319">
        <f>IF(OR(ISNUMBER(SEARCH("토3",$H398)),ISNUMBER(SEARCH("토1.3",$H398)),ISNUMBER(SEARCH("토2.3",$H398)),ISNUMBER(SEARCH("토1.2.3",$H398))),1,"")</f>
        <v/>
      </c>
      <c r="AA398" s="319">
        <f>IF(ISNUMBER(SEARCH("일1",$H398)),1,"")</f>
        <v/>
      </c>
      <c r="AB398" s="319">
        <f>IF(OR(ISNUMBER(SEARCH("일2",$H398)),ISNUMBER(SEARCH("일1.2",$H398))),1,"")</f>
        <v/>
      </c>
      <c r="AC398" s="319">
        <f>IF(OR(ISNUMBER(SEARCH("일3",$H398)),ISNUMBER(SEARCH("일1.3",$H398)),ISNUMBER(SEARCH("일2.3",$H398)),ISNUMBER(SEARCH("일1.2.3",$H398))),1,"")</f>
        <v/>
      </c>
      <c r="AD398" s="319">
        <f>SUM(I398:AC398)</f>
        <v/>
      </c>
      <c r="AE398" s="323" t="n"/>
    </row>
    <row r="399" ht="24" customHeight="1">
      <c r="A399" s="168" t="n"/>
      <c r="B399" s="319" t="n"/>
      <c r="C399" s="319" t="n"/>
      <c r="D399" s="319" t="n"/>
      <c r="E399" s="341" t="n"/>
      <c r="F399" s="341" t="n"/>
      <c r="G399" s="342" t="n"/>
      <c r="H399" s="322" t="n"/>
      <c r="I399" s="319">
        <f>IF(ISNUMBER(SEARCH("월1",$H399)),1,"")</f>
        <v/>
      </c>
      <c r="J399" s="319">
        <f>IF(OR(ISNUMBER(SEARCH("월2",$H399)),ISNUMBER(SEARCH("월1.2",$H399))),1,"")</f>
        <v/>
      </c>
      <c r="K399" s="319">
        <f>IF(OR(ISNUMBER(SEARCH("월3",$H399)),ISNUMBER(SEARCH("월1.3",$H399)),ISNUMBER(SEARCH("월2.3",$H399)),ISNUMBER(SEARCH("월1.2.3",$H399))),1,"")</f>
        <v/>
      </c>
      <c r="L399" s="319">
        <f>IF(ISNUMBER(SEARCH("화1",$H399)),1,"")</f>
        <v/>
      </c>
      <c r="M399" s="319">
        <f>IF(OR(ISNUMBER(SEARCH("화2",$H399)),ISNUMBER(SEARCH("화1.2",$H399))),1,"")</f>
        <v/>
      </c>
      <c r="N399" s="319">
        <f>IF(OR(ISNUMBER(SEARCH("화3",$H399)),ISNUMBER(SEARCH("화1.3",$H399)),ISNUMBER(SEARCH("화2.3",$H399)),ISNUMBER(SEARCH("화1.2.3",$H399))),1,"")</f>
        <v/>
      </c>
      <c r="O399" s="319">
        <f>IF(ISNUMBER(SEARCH("수1",$H399)),1,"")</f>
        <v/>
      </c>
      <c r="P399" s="319">
        <f>IF(OR(ISNUMBER(SEARCH("수2",$H399)),ISNUMBER(SEARCH("수1.2",$H399))),1,"")</f>
        <v/>
      </c>
      <c r="Q399" s="319">
        <f>IF(OR(ISNUMBER(SEARCH("수3",$H399)),ISNUMBER(SEARCH("수1.3",$H399)),ISNUMBER(SEARCH("수2.3",$H399)),ISNUMBER(SEARCH("수1.2.3",$H399))),1,"")</f>
        <v/>
      </c>
      <c r="R399" s="319">
        <f>IF(ISNUMBER(SEARCH("목1",$H399)),1,"")</f>
        <v/>
      </c>
      <c r="S399" s="319">
        <f>IF(OR(ISNUMBER(SEARCH("목2",$H399)),ISNUMBER(SEARCH("목1.2",$H399))),1,"")</f>
        <v/>
      </c>
      <c r="T399" s="319">
        <f>IF(OR(ISNUMBER(SEARCH("목3",$H399)),ISNUMBER(SEARCH("목1.3",$H399)),ISNUMBER(SEARCH("목2.3",$H399)),ISNUMBER(SEARCH("목1.2.3",$H399))),1,"")</f>
        <v/>
      </c>
      <c r="U399" s="319">
        <f>IF(ISNUMBER(SEARCH("금1",$H399)),1,"")</f>
        <v/>
      </c>
      <c r="V399" s="319">
        <f>IF(OR(ISNUMBER(SEARCH("금2",$H399)),ISNUMBER(SEARCH("금1.2",$H399))),1,"")</f>
        <v/>
      </c>
      <c r="W399" s="319">
        <f>IF(OR(ISNUMBER(SEARCH("금3",$H399)),ISNUMBER(SEARCH("금1.3",$H399)),ISNUMBER(SEARCH("금2.3",$H399)),ISNUMBER(SEARCH("금1.2.3",$H399))),1,"")</f>
        <v/>
      </c>
      <c r="X399" s="319">
        <f>IF(ISNUMBER(SEARCH("토1",$H399)),1,"")</f>
        <v/>
      </c>
      <c r="Y399" s="319">
        <f>IF(OR(ISNUMBER(SEARCH("토2",$H399)),ISNUMBER(SEARCH("토1.2",$H399))),1,"")</f>
        <v/>
      </c>
      <c r="Z399" s="319">
        <f>IF(OR(ISNUMBER(SEARCH("토3",$H399)),ISNUMBER(SEARCH("토1.3",$H399)),ISNUMBER(SEARCH("토2.3",$H399)),ISNUMBER(SEARCH("토1.2.3",$H399))),1,"")</f>
        <v/>
      </c>
      <c r="AA399" s="319">
        <f>IF(ISNUMBER(SEARCH("일1",$H399)),1,"")</f>
        <v/>
      </c>
      <c r="AB399" s="319">
        <f>IF(OR(ISNUMBER(SEARCH("일2",$H399)),ISNUMBER(SEARCH("일1.2",$H399))),1,"")</f>
        <v/>
      </c>
      <c r="AC399" s="319">
        <f>IF(OR(ISNUMBER(SEARCH("일3",$H399)),ISNUMBER(SEARCH("일1.3",$H399)),ISNUMBER(SEARCH("일2.3",$H399)),ISNUMBER(SEARCH("일1.2.3",$H399))),1,"")</f>
        <v/>
      </c>
      <c r="AD399" s="319">
        <f>SUM(I399:AC399)</f>
        <v/>
      </c>
      <c r="AE399" s="323" t="n"/>
    </row>
    <row r="400" ht="24" customHeight="1">
      <c r="A400" s="168" t="n"/>
      <c r="B400" s="319" t="n"/>
      <c r="C400" s="319" t="n"/>
      <c r="D400" s="319" t="n"/>
      <c r="E400" s="341" t="n"/>
      <c r="F400" s="341" t="n"/>
      <c r="G400" s="342" t="n"/>
      <c r="H400" s="322" t="n"/>
      <c r="I400" s="319">
        <f>IF(ISNUMBER(SEARCH("월1",$H400)),1,"")</f>
        <v/>
      </c>
      <c r="J400" s="319">
        <f>IF(OR(ISNUMBER(SEARCH("월2",$H400)),ISNUMBER(SEARCH("월1.2",$H400))),1,"")</f>
        <v/>
      </c>
      <c r="K400" s="319">
        <f>IF(OR(ISNUMBER(SEARCH("월3",$H400)),ISNUMBER(SEARCH("월1.3",$H400)),ISNUMBER(SEARCH("월2.3",$H400)),ISNUMBER(SEARCH("월1.2.3",$H400))),1,"")</f>
        <v/>
      </c>
      <c r="L400" s="319">
        <f>IF(ISNUMBER(SEARCH("화1",$H400)),1,"")</f>
        <v/>
      </c>
      <c r="M400" s="319">
        <f>IF(OR(ISNUMBER(SEARCH("화2",$H400)),ISNUMBER(SEARCH("화1.2",$H400))),1,"")</f>
        <v/>
      </c>
      <c r="N400" s="319">
        <f>IF(OR(ISNUMBER(SEARCH("화3",$H400)),ISNUMBER(SEARCH("화1.3",$H400)),ISNUMBER(SEARCH("화2.3",$H400)),ISNUMBER(SEARCH("화1.2.3",$H400))),1,"")</f>
        <v/>
      </c>
      <c r="O400" s="319">
        <f>IF(ISNUMBER(SEARCH("수1",$H400)),1,"")</f>
        <v/>
      </c>
      <c r="P400" s="319">
        <f>IF(OR(ISNUMBER(SEARCH("수2",$H400)),ISNUMBER(SEARCH("수1.2",$H400))),1,"")</f>
        <v/>
      </c>
      <c r="Q400" s="319">
        <f>IF(OR(ISNUMBER(SEARCH("수3",$H400)),ISNUMBER(SEARCH("수1.3",$H400)),ISNUMBER(SEARCH("수2.3",$H400)),ISNUMBER(SEARCH("수1.2.3",$H400))),1,"")</f>
        <v/>
      </c>
      <c r="R400" s="319">
        <f>IF(ISNUMBER(SEARCH("목1",$H400)),1,"")</f>
        <v/>
      </c>
      <c r="S400" s="319">
        <f>IF(OR(ISNUMBER(SEARCH("목2",$H400)),ISNUMBER(SEARCH("목1.2",$H400))),1,"")</f>
        <v/>
      </c>
      <c r="T400" s="319">
        <f>IF(OR(ISNUMBER(SEARCH("목3",$H400)),ISNUMBER(SEARCH("목1.3",$H400)),ISNUMBER(SEARCH("목2.3",$H400)),ISNUMBER(SEARCH("목1.2.3",$H400))),1,"")</f>
        <v/>
      </c>
      <c r="U400" s="319">
        <f>IF(ISNUMBER(SEARCH("금1",$H400)),1,"")</f>
        <v/>
      </c>
      <c r="V400" s="319">
        <f>IF(OR(ISNUMBER(SEARCH("금2",$H400)),ISNUMBER(SEARCH("금1.2",$H400))),1,"")</f>
        <v/>
      </c>
      <c r="W400" s="319">
        <f>IF(OR(ISNUMBER(SEARCH("금3",$H400)),ISNUMBER(SEARCH("금1.3",$H400)),ISNUMBER(SEARCH("금2.3",$H400)),ISNUMBER(SEARCH("금1.2.3",$H400))),1,"")</f>
        <v/>
      </c>
      <c r="X400" s="319">
        <f>IF(ISNUMBER(SEARCH("토1",$H400)),1,"")</f>
        <v/>
      </c>
      <c r="Y400" s="319">
        <f>IF(OR(ISNUMBER(SEARCH("토2",$H400)),ISNUMBER(SEARCH("토1.2",$H400))),1,"")</f>
        <v/>
      </c>
      <c r="Z400" s="319">
        <f>IF(OR(ISNUMBER(SEARCH("토3",$H400)),ISNUMBER(SEARCH("토1.3",$H400)),ISNUMBER(SEARCH("토2.3",$H400)),ISNUMBER(SEARCH("토1.2.3",$H400))),1,"")</f>
        <v/>
      </c>
      <c r="AA400" s="319">
        <f>IF(ISNUMBER(SEARCH("일1",$H400)),1,"")</f>
        <v/>
      </c>
      <c r="AB400" s="319">
        <f>IF(OR(ISNUMBER(SEARCH("일2",$H400)),ISNUMBER(SEARCH("일1.2",$H400))),1,"")</f>
        <v/>
      </c>
      <c r="AC400" s="319">
        <f>IF(OR(ISNUMBER(SEARCH("일3",$H400)),ISNUMBER(SEARCH("일1.3",$H400)),ISNUMBER(SEARCH("일2.3",$H400)),ISNUMBER(SEARCH("일1.2.3",$H400))),1,"")</f>
        <v/>
      </c>
      <c r="AD400" s="319">
        <f>SUM(I400:AC400)</f>
        <v/>
      </c>
      <c r="AE400" s="323" t="n"/>
    </row>
    <row r="401" ht="24" customHeight="1">
      <c r="A401" s="168" t="n"/>
      <c r="B401" s="319" t="n"/>
      <c r="C401" s="319" t="n"/>
      <c r="D401" s="319" t="n"/>
      <c r="E401" s="341" t="n"/>
      <c r="F401" s="341" t="n"/>
      <c r="G401" s="342" t="n"/>
      <c r="H401" s="322" t="n"/>
      <c r="I401" s="319">
        <f>IF(ISNUMBER(SEARCH("월1",$H401)),1,"")</f>
        <v/>
      </c>
      <c r="J401" s="319">
        <f>IF(OR(ISNUMBER(SEARCH("월2",$H401)),ISNUMBER(SEARCH("월1.2",$H401))),1,"")</f>
        <v/>
      </c>
      <c r="K401" s="319">
        <f>IF(OR(ISNUMBER(SEARCH("월3",$H401)),ISNUMBER(SEARCH("월1.3",$H401)),ISNUMBER(SEARCH("월2.3",$H401)),ISNUMBER(SEARCH("월1.2.3",$H401))),1,"")</f>
        <v/>
      </c>
      <c r="L401" s="319">
        <f>IF(ISNUMBER(SEARCH("화1",$H401)),1,"")</f>
        <v/>
      </c>
      <c r="M401" s="319">
        <f>IF(OR(ISNUMBER(SEARCH("화2",$H401)),ISNUMBER(SEARCH("화1.2",$H401))),1,"")</f>
        <v/>
      </c>
      <c r="N401" s="319">
        <f>IF(OR(ISNUMBER(SEARCH("화3",$H401)),ISNUMBER(SEARCH("화1.3",$H401)),ISNUMBER(SEARCH("화2.3",$H401)),ISNUMBER(SEARCH("화1.2.3",$H401))),1,"")</f>
        <v/>
      </c>
      <c r="O401" s="319">
        <f>IF(ISNUMBER(SEARCH("수1",$H401)),1,"")</f>
        <v/>
      </c>
      <c r="P401" s="319">
        <f>IF(OR(ISNUMBER(SEARCH("수2",$H401)),ISNUMBER(SEARCH("수1.2",$H401))),1,"")</f>
        <v/>
      </c>
      <c r="Q401" s="319">
        <f>IF(OR(ISNUMBER(SEARCH("수3",$H401)),ISNUMBER(SEARCH("수1.3",$H401)),ISNUMBER(SEARCH("수2.3",$H401)),ISNUMBER(SEARCH("수1.2.3",$H401))),1,"")</f>
        <v/>
      </c>
      <c r="R401" s="319">
        <f>IF(ISNUMBER(SEARCH("목1",$H401)),1,"")</f>
        <v/>
      </c>
      <c r="S401" s="319">
        <f>IF(OR(ISNUMBER(SEARCH("목2",$H401)),ISNUMBER(SEARCH("목1.2",$H401))),1,"")</f>
        <v/>
      </c>
      <c r="T401" s="319">
        <f>IF(OR(ISNUMBER(SEARCH("목3",$H401)),ISNUMBER(SEARCH("목1.3",$H401)),ISNUMBER(SEARCH("목2.3",$H401)),ISNUMBER(SEARCH("목1.2.3",$H401))),1,"")</f>
        <v/>
      </c>
      <c r="U401" s="319">
        <f>IF(ISNUMBER(SEARCH("금1",$H401)),1,"")</f>
        <v/>
      </c>
      <c r="V401" s="319">
        <f>IF(OR(ISNUMBER(SEARCH("금2",$H401)),ISNUMBER(SEARCH("금1.2",$H401))),1,"")</f>
        <v/>
      </c>
      <c r="W401" s="319">
        <f>IF(OR(ISNUMBER(SEARCH("금3",$H401)),ISNUMBER(SEARCH("금1.3",$H401)),ISNUMBER(SEARCH("금2.3",$H401)),ISNUMBER(SEARCH("금1.2.3",$H401))),1,"")</f>
        <v/>
      </c>
      <c r="X401" s="319">
        <f>IF(ISNUMBER(SEARCH("토1",$H401)),1,"")</f>
        <v/>
      </c>
      <c r="Y401" s="319">
        <f>IF(OR(ISNUMBER(SEARCH("토2",$H401)),ISNUMBER(SEARCH("토1.2",$H401))),1,"")</f>
        <v/>
      </c>
      <c r="Z401" s="319">
        <f>IF(OR(ISNUMBER(SEARCH("토3",$H401)),ISNUMBER(SEARCH("토1.3",$H401)),ISNUMBER(SEARCH("토2.3",$H401)),ISNUMBER(SEARCH("토1.2.3",$H401))),1,"")</f>
        <v/>
      </c>
      <c r="AA401" s="319">
        <f>IF(ISNUMBER(SEARCH("일1",$H401)),1,"")</f>
        <v/>
      </c>
      <c r="AB401" s="319">
        <f>IF(OR(ISNUMBER(SEARCH("일2",$H401)),ISNUMBER(SEARCH("일1.2",$H401))),1,"")</f>
        <v/>
      </c>
      <c r="AC401" s="319">
        <f>IF(OR(ISNUMBER(SEARCH("일3",$H401)),ISNUMBER(SEARCH("일1.3",$H401)),ISNUMBER(SEARCH("일2.3",$H401)),ISNUMBER(SEARCH("일1.2.3",$H401))),1,"")</f>
        <v/>
      </c>
      <c r="AD401" s="319">
        <f>SUM(I401:AC401)</f>
        <v/>
      </c>
      <c r="AE401" s="323" t="n"/>
    </row>
    <row r="402" ht="24" customHeight="1">
      <c r="A402" s="168" t="n"/>
      <c r="B402" s="319" t="n"/>
      <c r="C402" s="319" t="n"/>
      <c r="D402" s="319" t="n"/>
      <c r="E402" s="341" t="n"/>
      <c r="F402" s="341" t="n"/>
      <c r="G402" s="342" t="n"/>
      <c r="H402" s="322" t="n"/>
      <c r="I402" s="319">
        <f>IF(ISNUMBER(SEARCH("월1",$H402)),1,"")</f>
        <v/>
      </c>
      <c r="J402" s="319">
        <f>IF(OR(ISNUMBER(SEARCH("월2",$H402)),ISNUMBER(SEARCH("월1.2",$H402))),1,"")</f>
        <v/>
      </c>
      <c r="K402" s="319">
        <f>IF(OR(ISNUMBER(SEARCH("월3",$H402)),ISNUMBER(SEARCH("월1.3",$H402)),ISNUMBER(SEARCH("월2.3",$H402)),ISNUMBER(SEARCH("월1.2.3",$H402))),1,"")</f>
        <v/>
      </c>
      <c r="L402" s="319">
        <f>IF(ISNUMBER(SEARCH("화1",$H402)),1,"")</f>
        <v/>
      </c>
      <c r="M402" s="319">
        <f>IF(OR(ISNUMBER(SEARCH("화2",$H402)),ISNUMBER(SEARCH("화1.2",$H402))),1,"")</f>
        <v/>
      </c>
      <c r="N402" s="319">
        <f>IF(OR(ISNUMBER(SEARCH("화3",$H402)),ISNUMBER(SEARCH("화1.3",$H402)),ISNUMBER(SEARCH("화2.3",$H402)),ISNUMBER(SEARCH("화1.2.3",$H402))),1,"")</f>
        <v/>
      </c>
      <c r="O402" s="319">
        <f>IF(ISNUMBER(SEARCH("수1",$H402)),1,"")</f>
        <v/>
      </c>
      <c r="P402" s="319">
        <f>IF(OR(ISNUMBER(SEARCH("수2",$H402)),ISNUMBER(SEARCH("수1.2",$H402))),1,"")</f>
        <v/>
      </c>
      <c r="Q402" s="319">
        <f>IF(OR(ISNUMBER(SEARCH("수3",$H402)),ISNUMBER(SEARCH("수1.3",$H402)),ISNUMBER(SEARCH("수2.3",$H402)),ISNUMBER(SEARCH("수1.2.3",$H402))),1,"")</f>
        <v/>
      </c>
      <c r="R402" s="319">
        <f>IF(ISNUMBER(SEARCH("목1",$H402)),1,"")</f>
        <v/>
      </c>
      <c r="S402" s="319">
        <f>IF(OR(ISNUMBER(SEARCH("목2",$H402)),ISNUMBER(SEARCH("목1.2",$H402))),1,"")</f>
        <v/>
      </c>
      <c r="T402" s="319">
        <f>IF(OR(ISNUMBER(SEARCH("목3",$H402)),ISNUMBER(SEARCH("목1.3",$H402)),ISNUMBER(SEARCH("목2.3",$H402)),ISNUMBER(SEARCH("목1.2.3",$H402))),1,"")</f>
        <v/>
      </c>
      <c r="U402" s="319">
        <f>IF(ISNUMBER(SEARCH("금1",$H402)),1,"")</f>
        <v/>
      </c>
      <c r="V402" s="319">
        <f>IF(OR(ISNUMBER(SEARCH("금2",$H402)),ISNUMBER(SEARCH("금1.2",$H402))),1,"")</f>
        <v/>
      </c>
      <c r="W402" s="319">
        <f>IF(OR(ISNUMBER(SEARCH("금3",$H402)),ISNUMBER(SEARCH("금1.3",$H402)),ISNUMBER(SEARCH("금2.3",$H402)),ISNUMBER(SEARCH("금1.2.3",$H402))),1,"")</f>
        <v/>
      </c>
      <c r="X402" s="319">
        <f>IF(ISNUMBER(SEARCH("토1",$H402)),1,"")</f>
        <v/>
      </c>
      <c r="Y402" s="319">
        <f>IF(OR(ISNUMBER(SEARCH("토2",$H402)),ISNUMBER(SEARCH("토1.2",$H402))),1,"")</f>
        <v/>
      </c>
      <c r="Z402" s="319">
        <f>IF(OR(ISNUMBER(SEARCH("토3",$H402)),ISNUMBER(SEARCH("토1.3",$H402)),ISNUMBER(SEARCH("토2.3",$H402)),ISNUMBER(SEARCH("토1.2.3",$H402))),1,"")</f>
        <v/>
      </c>
      <c r="AA402" s="319">
        <f>IF(ISNUMBER(SEARCH("일1",$H402)),1,"")</f>
        <v/>
      </c>
      <c r="AB402" s="319">
        <f>IF(OR(ISNUMBER(SEARCH("일2",$H402)),ISNUMBER(SEARCH("일1.2",$H402))),1,"")</f>
        <v/>
      </c>
      <c r="AC402" s="319">
        <f>IF(OR(ISNUMBER(SEARCH("일3",$H402)),ISNUMBER(SEARCH("일1.3",$H402)),ISNUMBER(SEARCH("일2.3",$H402)),ISNUMBER(SEARCH("일1.2.3",$H402))),1,"")</f>
        <v/>
      </c>
      <c r="AD402" s="319">
        <f>SUM(I402:AC402)</f>
        <v/>
      </c>
      <c r="AE402" s="323" t="n"/>
    </row>
    <row r="403" ht="24" customHeight="1">
      <c r="A403" s="168" t="n"/>
      <c r="B403" s="319" t="n"/>
      <c r="C403" s="319" t="n"/>
      <c r="D403" s="319" t="n"/>
      <c r="E403" s="341" t="n"/>
      <c r="F403" s="341" t="n"/>
      <c r="G403" s="342" t="n"/>
      <c r="H403" s="322" t="n"/>
      <c r="I403" s="319">
        <f>IF(ISNUMBER(SEARCH("월1",$H403)),1,"")</f>
        <v/>
      </c>
      <c r="J403" s="319">
        <f>IF(OR(ISNUMBER(SEARCH("월2",$H403)),ISNUMBER(SEARCH("월1.2",$H403))),1,"")</f>
        <v/>
      </c>
      <c r="K403" s="319">
        <f>IF(OR(ISNUMBER(SEARCH("월3",$H403)),ISNUMBER(SEARCH("월1.3",$H403)),ISNUMBER(SEARCH("월2.3",$H403)),ISNUMBER(SEARCH("월1.2.3",$H403))),1,"")</f>
        <v/>
      </c>
      <c r="L403" s="319">
        <f>IF(ISNUMBER(SEARCH("화1",$H403)),1,"")</f>
        <v/>
      </c>
      <c r="M403" s="319">
        <f>IF(OR(ISNUMBER(SEARCH("화2",$H403)),ISNUMBER(SEARCH("화1.2",$H403))),1,"")</f>
        <v/>
      </c>
      <c r="N403" s="319">
        <f>IF(OR(ISNUMBER(SEARCH("화3",$H403)),ISNUMBER(SEARCH("화1.3",$H403)),ISNUMBER(SEARCH("화2.3",$H403)),ISNUMBER(SEARCH("화1.2.3",$H403))),1,"")</f>
        <v/>
      </c>
      <c r="O403" s="319">
        <f>IF(ISNUMBER(SEARCH("수1",$H403)),1,"")</f>
        <v/>
      </c>
      <c r="P403" s="319">
        <f>IF(OR(ISNUMBER(SEARCH("수2",$H403)),ISNUMBER(SEARCH("수1.2",$H403))),1,"")</f>
        <v/>
      </c>
      <c r="Q403" s="319">
        <f>IF(OR(ISNUMBER(SEARCH("수3",$H403)),ISNUMBER(SEARCH("수1.3",$H403)),ISNUMBER(SEARCH("수2.3",$H403)),ISNUMBER(SEARCH("수1.2.3",$H403))),1,"")</f>
        <v/>
      </c>
      <c r="R403" s="319">
        <f>IF(ISNUMBER(SEARCH("목1",$H403)),1,"")</f>
        <v/>
      </c>
      <c r="S403" s="319">
        <f>IF(OR(ISNUMBER(SEARCH("목2",$H403)),ISNUMBER(SEARCH("목1.2",$H403))),1,"")</f>
        <v/>
      </c>
      <c r="T403" s="319">
        <f>IF(OR(ISNUMBER(SEARCH("목3",$H403)),ISNUMBER(SEARCH("목1.3",$H403)),ISNUMBER(SEARCH("목2.3",$H403)),ISNUMBER(SEARCH("목1.2.3",$H403))),1,"")</f>
        <v/>
      </c>
      <c r="U403" s="319">
        <f>IF(ISNUMBER(SEARCH("금1",$H403)),1,"")</f>
        <v/>
      </c>
      <c r="V403" s="319">
        <f>IF(OR(ISNUMBER(SEARCH("금2",$H403)),ISNUMBER(SEARCH("금1.2",$H403))),1,"")</f>
        <v/>
      </c>
      <c r="W403" s="319">
        <f>IF(OR(ISNUMBER(SEARCH("금3",$H403)),ISNUMBER(SEARCH("금1.3",$H403)),ISNUMBER(SEARCH("금2.3",$H403)),ISNUMBER(SEARCH("금1.2.3",$H403))),1,"")</f>
        <v/>
      </c>
      <c r="X403" s="319">
        <f>IF(ISNUMBER(SEARCH("토1",$H403)),1,"")</f>
        <v/>
      </c>
      <c r="Y403" s="319">
        <f>IF(OR(ISNUMBER(SEARCH("토2",$H403)),ISNUMBER(SEARCH("토1.2",$H403))),1,"")</f>
        <v/>
      </c>
      <c r="Z403" s="319">
        <f>IF(OR(ISNUMBER(SEARCH("토3",$H403)),ISNUMBER(SEARCH("토1.3",$H403)),ISNUMBER(SEARCH("토2.3",$H403)),ISNUMBER(SEARCH("토1.2.3",$H403))),1,"")</f>
        <v/>
      </c>
      <c r="AA403" s="319">
        <f>IF(ISNUMBER(SEARCH("일1",$H403)),1,"")</f>
        <v/>
      </c>
      <c r="AB403" s="319">
        <f>IF(OR(ISNUMBER(SEARCH("일2",$H403)),ISNUMBER(SEARCH("일1.2",$H403))),1,"")</f>
        <v/>
      </c>
      <c r="AC403" s="319">
        <f>IF(OR(ISNUMBER(SEARCH("일3",$H403)),ISNUMBER(SEARCH("일1.3",$H403)),ISNUMBER(SEARCH("일2.3",$H403)),ISNUMBER(SEARCH("일1.2.3",$H403))),1,"")</f>
        <v/>
      </c>
      <c r="AD403" s="319">
        <f>SUM(I403:AC403)</f>
        <v/>
      </c>
      <c r="AE403" s="323" t="n"/>
    </row>
    <row r="404" ht="24" customHeight="1">
      <c r="A404" s="168" t="n"/>
      <c r="B404" s="319" t="n"/>
      <c r="C404" s="319" t="n"/>
      <c r="D404" s="319" t="n"/>
      <c r="E404" s="341" t="n"/>
      <c r="F404" s="341" t="n"/>
      <c r="G404" s="342" t="n"/>
      <c r="H404" s="322" t="n"/>
      <c r="I404" s="319">
        <f>IF(ISNUMBER(SEARCH("월1",$H404)),1,"")</f>
        <v/>
      </c>
      <c r="J404" s="319">
        <f>IF(OR(ISNUMBER(SEARCH("월2",$H404)),ISNUMBER(SEARCH("월1.2",$H404))),1,"")</f>
        <v/>
      </c>
      <c r="K404" s="319">
        <f>IF(OR(ISNUMBER(SEARCH("월3",$H404)),ISNUMBER(SEARCH("월1.3",$H404)),ISNUMBER(SEARCH("월2.3",$H404)),ISNUMBER(SEARCH("월1.2.3",$H404))),1,"")</f>
        <v/>
      </c>
      <c r="L404" s="319">
        <f>IF(ISNUMBER(SEARCH("화1",$H404)),1,"")</f>
        <v/>
      </c>
      <c r="M404" s="319">
        <f>IF(OR(ISNUMBER(SEARCH("화2",$H404)),ISNUMBER(SEARCH("화1.2",$H404))),1,"")</f>
        <v/>
      </c>
      <c r="N404" s="319">
        <f>IF(OR(ISNUMBER(SEARCH("화3",$H404)),ISNUMBER(SEARCH("화1.3",$H404)),ISNUMBER(SEARCH("화2.3",$H404)),ISNUMBER(SEARCH("화1.2.3",$H404))),1,"")</f>
        <v/>
      </c>
      <c r="O404" s="319">
        <f>IF(ISNUMBER(SEARCH("수1",$H404)),1,"")</f>
        <v/>
      </c>
      <c r="P404" s="319">
        <f>IF(OR(ISNUMBER(SEARCH("수2",$H404)),ISNUMBER(SEARCH("수1.2",$H404))),1,"")</f>
        <v/>
      </c>
      <c r="Q404" s="319">
        <f>IF(OR(ISNUMBER(SEARCH("수3",$H404)),ISNUMBER(SEARCH("수1.3",$H404)),ISNUMBER(SEARCH("수2.3",$H404)),ISNUMBER(SEARCH("수1.2.3",$H404))),1,"")</f>
        <v/>
      </c>
      <c r="R404" s="319">
        <f>IF(ISNUMBER(SEARCH("목1",$H404)),1,"")</f>
        <v/>
      </c>
      <c r="S404" s="319">
        <f>IF(OR(ISNUMBER(SEARCH("목2",$H404)),ISNUMBER(SEARCH("목1.2",$H404))),1,"")</f>
        <v/>
      </c>
      <c r="T404" s="319">
        <f>IF(OR(ISNUMBER(SEARCH("목3",$H404)),ISNUMBER(SEARCH("목1.3",$H404)),ISNUMBER(SEARCH("목2.3",$H404)),ISNUMBER(SEARCH("목1.2.3",$H404))),1,"")</f>
        <v/>
      </c>
      <c r="U404" s="319">
        <f>IF(ISNUMBER(SEARCH("금1",$H404)),1,"")</f>
        <v/>
      </c>
      <c r="V404" s="319">
        <f>IF(OR(ISNUMBER(SEARCH("금2",$H404)),ISNUMBER(SEARCH("금1.2",$H404))),1,"")</f>
        <v/>
      </c>
      <c r="W404" s="319">
        <f>IF(OR(ISNUMBER(SEARCH("금3",$H404)),ISNUMBER(SEARCH("금1.3",$H404)),ISNUMBER(SEARCH("금2.3",$H404)),ISNUMBER(SEARCH("금1.2.3",$H404))),1,"")</f>
        <v/>
      </c>
      <c r="X404" s="319">
        <f>IF(ISNUMBER(SEARCH("토1",$H404)),1,"")</f>
        <v/>
      </c>
      <c r="Y404" s="319">
        <f>IF(OR(ISNUMBER(SEARCH("토2",$H404)),ISNUMBER(SEARCH("토1.2",$H404))),1,"")</f>
        <v/>
      </c>
      <c r="Z404" s="319">
        <f>IF(OR(ISNUMBER(SEARCH("토3",$H404)),ISNUMBER(SEARCH("토1.3",$H404)),ISNUMBER(SEARCH("토2.3",$H404)),ISNUMBER(SEARCH("토1.2.3",$H404))),1,"")</f>
        <v/>
      </c>
      <c r="AA404" s="319">
        <f>IF(ISNUMBER(SEARCH("일1",$H404)),1,"")</f>
        <v/>
      </c>
      <c r="AB404" s="319">
        <f>IF(OR(ISNUMBER(SEARCH("일2",$H404)),ISNUMBER(SEARCH("일1.2",$H404))),1,"")</f>
        <v/>
      </c>
      <c r="AC404" s="319">
        <f>IF(OR(ISNUMBER(SEARCH("일3",$H404)),ISNUMBER(SEARCH("일1.3",$H404)),ISNUMBER(SEARCH("일2.3",$H404)),ISNUMBER(SEARCH("일1.2.3",$H404))),1,"")</f>
        <v/>
      </c>
      <c r="AD404" s="319">
        <f>SUM(I404:AC404)</f>
        <v/>
      </c>
      <c r="AE404" s="323" t="n"/>
    </row>
    <row r="405" ht="24" customHeight="1">
      <c r="A405" s="168" t="n"/>
      <c r="B405" s="319" t="n"/>
      <c r="C405" s="319" t="n"/>
      <c r="D405" s="319" t="n"/>
      <c r="E405" s="341" t="n"/>
      <c r="F405" s="341" t="n"/>
      <c r="G405" s="342" t="n"/>
      <c r="H405" s="322" t="n"/>
      <c r="I405" s="319">
        <f>IF(ISNUMBER(SEARCH("월1",$H405)),1,"")</f>
        <v/>
      </c>
      <c r="J405" s="319">
        <f>IF(OR(ISNUMBER(SEARCH("월2",$H405)),ISNUMBER(SEARCH("월1.2",$H405))),1,"")</f>
        <v/>
      </c>
      <c r="K405" s="319">
        <f>IF(OR(ISNUMBER(SEARCH("월3",$H405)),ISNUMBER(SEARCH("월1.3",$H405)),ISNUMBER(SEARCH("월2.3",$H405)),ISNUMBER(SEARCH("월1.2.3",$H405))),1,"")</f>
        <v/>
      </c>
      <c r="L405" s="319">
        <f>IF(ISNUMBER(SEARCH("화1",$H405)),1,"")</f>
        <v/>
      </c>
      <c r="M405" s="319">
        <f>IF(OR(ISNUMBER(SEARCH("화2",$H405)),ISNUMBER(SEARCH("화1.2",$H405))),1,"")</f>
        <v/>
      </c>
      <c r="N405" s="319">
        <f>IF(OR(ISNUMBER(SEARCH("화3",$H405)),ISNUMBER(SEARCH("화1.3",$H405)),ISNUMBER(SEARCH("화2.3",$H405)),ISNUMBER(SEARCH("화1.2.3",$H405))),1,"")</f>
        <v/>
      </c>
      <c r="O405" s="319">
        <f>IF(ISNUMBER(SEARCH("수1",$H405)),1,"")</f>
        <v/>
      </c>
      <c r="P405" s="319">
        <f>IF(OR(ISNUMBER(SEARCH("수2",$H405)),ISNUMBER(SEARCH("수1.2",$H405))),1,"")</f>
        <v/>
      </c>
      <c r="Q405" s="319">
        <f>IF(OR(ISNUMBER(SEARCH("수3",$H405)),ISNUMBER(SEARCH("수1.3",$H405)),ISNUMBER(SEARCH("수2.3",$H405)),ISNUMBER(SEARCH("수1.2.3",$H405))),1,"")</f>
        <v/>
      </c>
      <c r="R405" s="319">
        <f>IF(ISNUMBER(SEARCH("목1",$H405)),1,"")</f>
        <v/>
      </c>
      <c r="S405" s="319">
        <f>IF(OR(ISNUMBER(SEARCH("목2",$H405)),ISNUMBER(SEARCH("목1.2",$H405))),1,"")</f>
        <v/>
      </c>
      <c r="T405" s="319">
        <f>IF(OR(ISNUMBER(SEARCH("목3",$H405)),ISNUMBER(SEARCH("목1.3",$H405)),ISNUMBER(SEARCH("목2.3",$H405)),ISNUMBER(SEARCH("목1.2.3",$H405))),1,"")</f>
        <v/>
      </c>
      <c r="U405" s="319">
        <f>IF(ISNUMBER(SEARCH("금1",$H405)),1,"")</f>
        <v/>
      </c>
      <c r="V405" s="319">
        <f>IF(OR(ISNUMBER(SEARCH("금2",$H405)),ISNUMBER(SEARCH("금1.2",$H405))),1,"")</f>
        <v/>
      </c>
      <c r="W405" s="319">
        <f>IF(OR(ISNUMBER(SEARCH("금3",$H405)),ISNUMBER(SEARCH("금1.3",$H405)),ISNUMBER(SEARCH("금2.3",$H405)),ISNUMBER(SEARCH("금1.2.3",$H405))),1,"")</f>
        <v/>
      </c>
      <c r="X405" s="319">
        <f>IF(ISNUMBER(SEARCH("토1",$H405)),1,"")</f>
        <v/>
      </c>
      <c r="Y405" s="319">
        <f>IF(OR(ISNUMBER(SEARCH("토2",$H405)),ISNUMBER(SEARCH("토1.2",$H405))),1,"")</f>
        <v/>
      </c>
      <c r="Z405" s="319">
        <f>IF(OR(ISNUMBER(SEARCH("토3",$H405)),ISNUMBER(SEARCH("토1.3",$H405)),ISNUMBER(SEARCH("토2.3",$H405)),ISNUMBER(SEARCH("토1.2.3",$H405))),1,"")</f>
        <v/>
      </c>
      <c r="AA405" s="319">
        <f>IF(ISNUMBER(SEARCH("일1",$H405)),1,"")</f>
        <v/>
      </c>
      <c r="AB405" s="319">
        <f>IF(OR(ISNUMBER(SEARCH("일2",$H405)),ISNUMBER(SEARCH("일1.2",$H405))),1,"")</f>
        <v/>
      </c>
      <c r="AC405" s="319">
        <f>IF(OR(ISNUMBER(SEARCH("일3",$H405)),ISNUMBER(SEARCH("일1.3",$H405)),ISNUMBER(SEARCH("일2.3",$H405)),ISNUMBER(SEARCH("일1.2.3",$H405))),1,"")</f>
        <v/>
      </c>
      <c r="AD405" s="319">
        <f>SUM(I405:AC405)</f>
        <v/>
      </c>
      <c r="AE405" s="323" t="n"/>
    </row>
    <row r="406" ht="24" customHeight="1">
      <c r="A406" s="168" t="n"/>
      <c r="B406" s="319" t="n"/>
      <c r="C406" s="319" t="n"/>
      <c r="D406" s="319" t="n"/>
      <c r="E406" s="341" t="n"/>
      <c r="F406" s="341" t="n"/>
      <c r="G406" s="342" t="n"/>
      <c r="H406" s="322" t="n"/>
      <c r="I406" s="319">
        <f>IF(ISNUMBER(SEARCH("월1",$H406)),1,"")</f>
        <v/>
      </c>
      <c r="J406" s="319">
        <f>IF(OR(ISNUMBER(SEARCH("월2",$H406)),ISNUMBER(SEARCH("월1.2",$H406))),1,"")</f>
        <v/>
      </c>
      <c r="K406" s="319">
        <f>IF(OR(ISNUMBER(SEARCH("월3",$H406)),ISNUMBER(SEARCH("월1.3",$H406)),ISNUMBER(SEARCH("월2.3",$H406)),ISNUMBER(SEARCH("월1.2.3",$H406))),1,"")</f>
        <v/>
      </c>
      <c r="L406" s="319">
        <f>IF(ISNUMBER(SEARCH("화1",$H406)),1,"")</f>
        <v/>
      </c>
      <c r="M406" s="319">
        <f>IF(OR(ISNUMBER(SEARCH("화2",$H406)),ISNUMBER(SEARCH("화1.2",$H406))),1,"")</f>
        <v/>
      </c>
      <c r="N406" s="319">
        <f>IF(OR(ISNUMBER(SEARCH("화3",$H406)),ISNUMBER(SEARCH("화1.3",$H406)),ISNUMBER(SEARCH("화2.3",$H406)),ISNUMBER(SEARCH("화1.2.3",$H406))),1,"")</f>
        <v/>
      </c>
      <c r="O406" s="319">
        <f>IF(ISNUMBER(SEARCH("수1",$H406)),1,"")</f>
        <v/>
      </c>
      <c r="P406" s="319">
        <f>IF(OR(ISNUMBER(SEARCH("수2",$H406)),ISNUMBER(SEARCH("수1.2",$H406))),1,"")</f>
        <v/>
      </c>
      <c r="Q406" s="319">
        <f>IF(OR(ISNUMBER(SEARCH("수3",$H406)),ISNUMBER(SEARCH("수1.3",$H406)),ISNUMBER(SEARCH("수2.3",$H406)),ISNUMBER(SEARCH("수1.2.3",$H406))),1,"")</f>
        <v/>
      </c>
      <c r="R406" s="319">
        <f>IF(ISNUMBER(SEARCH("목1",$H406)),1,"")</f>
        <v/>
      </c>
      <c r="S406" s="319">
        <f>IF(OR(ISNUMBER(SEARCH("목2",$H406)),ISNUMBER(SEARCH("목1.2",$H406))),1,"")</f>
        <v/>
      </c>
      <c r="T406" s="319">
        <f>IF(OR(ISNUMBER(SEARCH("목3",$H406)),ISNUMBER(SEARCH("목1.3",$H406)),ISNUMBER(SEARCH("목2.3",$H406)),ISNUMBER(SEARCH("목1.2.3",$H406))),1,"")</f>
        <v/>
      </c>
      <c r="U406" s="319">
        <f>IF(ISNUMBER(SEARCH("금1",$H406)),1,"")</f>
        <v/>
      </c>
      <c r="V406" s="319">
        <f>IF(OR(ISNUMBER(SEARCH("금2",$H406)),ISNUMBER(SEARCH("금1.2",$H406))),1,"")</f>
        <v/>
      </c>
      <c r="W406" s="319">
        <f>IF(OR(ISNUMBER(SEARCH("금3",$H406)),ISNUMBER(SEARCH("금1.3",$H406)),ISNUMBER(SEARCH("금2.3",$H406)),ISNUMBER(SEARCH("금1.2.3",$H406))),1,"")</f>
        <v/>
      </c>
      <c r="X406" s="319">
        <f>IF(ISNUMBER(SEARCH("토1",$H406)),1,"")</f>
        <v/>
      </c>
      <c r="Y406" s="319">
        <f>IF(OR(ISNUMBER(SEARCH("토2",$H406)),ISNUMBER(SEARCH("토1.2",$H406))),1,"")</f>
        <v/>
      </c>
      <c r="Z406" s="319">
        <f>IF(OR(ISNUMBER(SEARCH("토3",$H406)),ISNUMBER(SEARCH("토1.3",$H406)),ISNUMBER(SEARCH("토2.3",$H406)),ISNUMBER(SEARCH("토1.2.3",$H406))),1,"")</f>
        <v/>
      </c>
      <c r="AA406" s="319">
        <f>IF(ISNUMBER(SEARCH("일1",$H406)),1,"")</f>
        <v/>
      </c>
      <c r="AB406" s="319">
        <f>IF(OR(ISNUMBER(SEARCH("일2",$H406)),ISNUMBER(SEARCH("일1.2",$H406))),1,"")</f>
        <v/>
      </c>
      <c r="AC406" s="319">
        <f>IF(OR(ISNUMBER(SEARCH("일3",$H406)),ISNUMBER(SEARCH("일1.3",$H406)),ISNUMBER(SEARCH("일2.3",$H406)),ISNUMBER(SEARCH("일1.2.3",$H406))),1,"")</f>
        <v/>
      </c>
      <c r="AD406" s="319">
        <f>SUM(I406:AC406)</f>
        <v/>
      </c>
      <c r="AE406" s="323" t="n"/>
    </row>
    <row r="407" ht="24" customHeight="1">
      <c r="A407" s="168" t="n"/>
      <c r="B407" s="319" t="n"/>
      <c r="C407" s="319" t="n"/>
      <c r="D407" s="319" t="n"/>
      <c r="E407" s="341" t="n"/>
      <c r="F407" s="341" t="n"/>
      <c r="G407" s="342" t="n"/>
      <c r="H407" s="322" t="n"/>
      <c r="I407" s="319">
        <f>IF(ISNUMBER(SEARCH("월1",$H407)),1,"")</f>
        <v/>
      </c>
      <c r="J407" s="319">
        <f>IF(OR(ISNUMBER(SEARCH("월2",$H407)),ISNUMBER(SEARCH("월1.2",$H407))),1,"")</f>
        <v/>
      </c>
      <c r="K407" s="319">
        <f>IF(OR(ISNUMBER(SEARCH("월3",$H407)),ISNUMBER(SEARCH("월1.3",$H407)),ISNUMBER(SEARCH("월2.3",$H407)),ISNUMBER(SEARCH("월1.2.3",$H407))),1,"")</f>
        <v/>
      </c>
      <c r="L407" s="319">
        <f>IF(ISNUMBER(SEARCH("화1",$H407)),1,"")</f>
        <v/>
      </c>
      <c r="M407" s="319">
        <f>IF(OR(ISNUMBER(SEARCH("화2",$H407)),ISNUMBER(SEARCH("화1.2",$H407))),1,"")</f>
        <v/>
      </c>
      <c r="N407" s="319">
        <f>IF(OR(ISNUMBER(SEARCH("화3",$H407)),ISNUMBER(SEARCH("화1.3",$H407)),ISNUMBER(SEARCH("화2.3",$H407)),ISNUMBER(SEARCH("화1.2.3",$H407))),1,"")</f>
        <v/>
      </c>
      <c r="O407" s="319">
        <f>IF(ISNUMBER(SEARCH("수1",$H407)),1,"")</f>
        <v/>
      </c>
      <c r="P407" s="319">
        <f>IF(OR(ISNUMBER(SEARCH("수2",$H407)),ISNUMBER(SEARCH("수1.2",$H407))),1,"")</f>
        <v/>
      </c>
      <c r="Q407" s="319">
        <f>IF(OR(ISNUMBER(SEARCH("수3",$H407)),ISNUMBER(SEARCH("수1.3",$H407)),ISNUMBER(SEARCH("수2.3",$H407)),ISNUMBER(SEARCH("수1.2.3",$H407))),1,"")</f>
        <v/>
      </c>
      <c r="R407" s="319">
        <f>IF(ISNUMBER(SEARCH("목1",$H407)),1,"")</f>
        <v/>
      </c>
      <c r="S407" s="319">
        <f>IF(OR(ISNUMBER(SEARCH("목2",$H407)),ISNUMBER(SEARCH("목1.2",$H407))),1,"")</f>
        <v/>
      </c>
      <c r="T407" s="319">
        <f>IF(OR(ISNUMBER(SEARCH("목3",$H407)),ISNUMBER(SEARCH("목1.3",$H407)),ISNUMBER(SEARCH("목2.3",$H407)),ISNUMBER(SEARCH("목1.2.3",$H407))),1,"")</f>
        <v/>
      </c>
      <c r="U407" s="319">
        <f>IF(ISNUMBER(SEARCH("금1",$H407)),1,"")</f>
        <v/>
      </c>
      <c r="V407" s="319">
        <f>IF(OR(ISNUMBER(SEARCH("금2",$H407)),ISNUMBER(SEARCH("금1.2",$H407))),1,"")</f>
        <v/>
      </c>
      <c r="W407" s="319">
        <f>IF(OR(ISNUMBER(SEARCH("금3",$H407)),ISNUMBER(SEARCH("금1.3",$H407)),ISNUMBER(SEARCH("금2.3",$H407)),ISNUMBER(SEARCH("금1.2.3",$H407))),1,"")</f>
        <v/>
      </c>
      <c r="X407" s="319">
        <f>IF(ISNUMBER(SEARCH("토1",$H407)),1,"")</f>
        <v/>
      </c>
      <c r="Y407" s="319">
        <f>IF(OR(ISNUMBER(SEARCH("토2",$H407)),ISNUMBER(SEARCH("토1.2",$H407))),1,"")</f>
        <v/>
      </c>
      <c r="Z407" s="319">
        <f>IF(OR(ISNUMBER(SEARCH("토3",$H407)),ISNUMBER(SEARCH("토1.3",$H407)),ISNUMBER(SEARCH("토2.3",$H407)),ISNUMBER(SEARCH("토1.2.3",$H407))),1,"")</f>
        <v/>
      </c>
      <c r="AA407" s="319">
        <f>IF(ISNUMBER(SEARCH("일1",$H407)),1,"")</f>
        <v/>
      </c>
      <c r="AB407" s="319">
        <f>IF(OR(ISNUMBER(SEARCH("일2",$H407)),ISNUMBER(SEARCH("일1.2",$H407))),1,"")</f>
        <v/>
      </c>
      <c r="AC407" s="319">
        <f>IF(OR(ISNUMBER(SEARCH("일3",$H407)),ISNUMBER(SEARCH("일1.3",$H407)),ISNUMBER(SEARCH("일2.3",$H407)),ISNUMBER(SEARCH("일1.2.3",$H407))),1,"")</f>
        <v/>
      </c>
      <c r="AD407" s="319">
        <f>SUM(I407:AC407)</f>
        <v/>
      </c>
      <c r="AE407" s="323" t="n"/>
    </row>
    <row r="408" ht="24" customHeight="1">
      <c r="A408" s="168" t="n"/>
      <c r="B408" s="319" t="n"/>
      <c r="C408" s="319" t="n"/>
      <c r="D408" s="319" t="n"/>
      <c r="E408" s="341" t="n"/>
      <c r="F408" s="341" t="n"/>
      <c r="G408" s="342" t="n"/>
      <c r="H408" s="322" t="n"/>
      <c r="I408" s="319">
        <f>IF(ISNUMBER(SEARCH("월1",$H408)),1,"")</f>
        <v/>
      </c>
      <c r="J408" s="319">
        <f>IF(OR(ISNUMBER(SEARCH("월2",$H408)),ISNUMBER(SEARCH("월1.2",$H408))),1,"")</f>
        <v/>
      </c>
      <c r="K408" s="319">
        <f>IF(OR(ISNUMBER(SEARCH("월3",$H408)),ISNUMBER(SEARCH("월1.3",$H408)),ISNUMBER(SEARCH("월2.3",$H408)),ISNUMBER(SEARCH("월1.2.3",$H408))),1,"")</f>
        <v/>
      </c>
      <c r="L408" s="319">
        <f>IF(ISNUMBER(SEARCH("화1",$H408)),1,"")</f>
        <v/>
      </c>
      <c r="M408" s="319">
        <f>IF(OR(ISNUMBER(SEARCH("화2",$H408)),ISNUMBER(SEARCH("화1.2",$H408))),1,"")</f>
        <v/>
      </c>
      <c r="N408" s="319">
        <f>IF(OR(ISNUMBER(SEARCH("화3",$H408)),ISNUMBER(SEARCH("화1.3",$H408)),ISNUMBER(SEARCH("화2.3",$H408)),ISNUMBER(SEARCH("화1.2.3",$H408))),1,"")</f>
        <v/>
      </c>
      <c r="O408" s="319">
        <f>IF(ISNUMBER(SEARCH("수1",$H408)),1,"")</f>
        <v/>
      </c>
      <c r="P408" s="319">
        <f>IF(OR(ISNUMBER(SEARCH("수2",$H408)),ISNUMBER(SEARCH("수1.2",$H408))),1,"")</f>
        <v/>
      </c>
      <c r="Q408" s="319">
        <f>IF(OR(ISNUMBER(SEARCH("수3",$H408)),ISNUMBER(SEARCH("수1.3",$H408)),ISNUMBER(SEARCH("수2.3",$H408)),ISNUMBER(SEARCH("수1.2.3",$H408))),1,"")</f>
        <v/>
      </c>
      <c r="R408" s="319">
        <f>IF(ISNUMBER(SEARCH("목1",$H408)),1,"")</f>
        <v/>
      </c>
      <c r="S408" s="319">
        <f>IF(OR(ISNUMBER(SEARCH("목2",$H408)),ISNUMBER(SEARCH("목1.2",$H408))),1,"")</f>
        <v/>
      </c>
      <c r="T408" s="319">
        <f>IF(OR(ISNUMBER(SEARCH("목3",$H408)),ISNUMBER(SEARCH("목1.3",$H408)),ISNUMBER(SEARCH("목2.3",$H408)),ISNUMBER(SEARCH("목1.2.3",$H408))),1,"")</f>
        <v/>
      </c>
      <c r="U408" s="319">
        <f>IF(ISNUMBER(SEARCH("금1",$H408)),1,"")</f>
        <v/>
      </c>
      <c r="V408" s="319">
        <f>IF(OR(ISNUMBER(SEARCH("금2",$H408)),ISNUMBER(SEARCH("금1.2",$H408))),1,"")</f>
        <v/>
      </c>
      <c r="W408" s="319">
        <f>IF(OR(ISNUMBER(SEARCH("금3",$H408)),ISNUMBER(SEARCH("금1.3",$H408)),ISNUMBER(SEARCH("금2.3",$H408)),ISNUMBER(SEARCH("금1.2.3",$H408))),1,"")</f>
        <v/>
      </c>
      <c r="X408" s="319">
        <f>IF(ISNUMBER(SEARCH("토1",$H408)),1,"")</f>
        <v/>
      </c>
      <c r="Y408" s="319">
        <f>IF(OR(ISNUMBER(SEARCH("토2",$H408)),ISNUMBER(SEARCH("토1.2",$H408))),1,"")</f>
        <v/>
      </c>
      <c r="Z408" s="319">
        <f>IF(OR(ISNUMBER(SEARCH("토3",$H408)),ISNUMBER(SEARCH("토1.3",$H408)),ISNUMBER(SEARCH("토2.3",$H408)),ISNUMBER(SEARCH("토1.2.3",$H408))),1,"")</f>
        <v/>
      </c>
      <c r="AA408" s="319">
        <f>IF(ISNUMBER(SEARCH("일1",$H408)),1,"")</f>
        <v/>
      </c>
      <c r="AB408" s="319">
        <f>IF(OR(ISNUMBER(SEARCH("일2",$H408)),ISNUMBER(SEARCH("일1.2",$H408))),1,"")</f>
        <v/>
      </c>
      <c r="AC408" s="319">
        <f>IF(OR(ISNUMBER(SEARCH("일3",$H408)),ISNUMBER(SEARCH("일1.3",$H408)),ISNUMBER(SEARCH("일2.3",$H408)),ISNUMBER(SEARCH("일1.2.3",$H408))),1,"")</f>
        <v/>
      </c>
      <c r="AD408" s="319">
        <f>SUM(I408:AC408)</f>
        <v/>
      </c>
      <c r="AE408" s="323" t="n"/>
    </row>
    <row r="409" ht="24" customHeight="1">
      <c r="A409" s="168" t="n"/>
      <c r="B409" s="319" t="n"/>
      <c r="C409" s="319" t="n"/>
      <c r="D409" s="319" t="n"/>
      <c r="E409" s="341" t="n"/>
      <c r="F409" s="341" t="n"/>
      <c r="G409" s="342" t="n"/>
      <c r="H409" s="322" t="n"/>
      <c r="I409" s="319">
        <f>IF(ISNUMBER(SEARCH("월1",$H409)),1,"")</f>
        <v/>
      </c>
      <c r="J409" s="319">
        <f>IF(OR(ISNUMBER(SEARCH("월2",$H409)),ISNUMBER(SEARCH("월1.2",$H409))),1,"")</f>
        <v/>
      </c>
      <c r="K409" s="319">
        <f>IF(OR(ISNUMBER(SEARCH("월3",$H409)),ISNUMBER(SEARCH("월1.3",$H409)),ISNUMBER(SEARCH("월2.3",$H409)),ISNUMBER(SEARCH("월1.2.3",$H409))),1,"")</f>
        <v/>
      </c>
      <c r="L409" s="319">
        <f>IF(ISNUMBER(SEARCH("화1",$H409)),1,"")</f>
        <v/>
      </c>
      <c r="M409" s="319">
        <f>IF(OR(ISNUMBER(SEARCH("화2",$H409)),ISNUMBER(SEARCH("화1.2",$H409))),1,"")</f>
        <v/>
      </c>
      <c r="N409" s="319">
        <f>IF(OR(ISNUMBER(SEARCH("화3",$H409)),ISNUMBER(SEARCH("화1.3",$H409)),ISNUMBER(SEARCH("화2.3",$H409)),ISNUMBER(SEARCH("화1.2.3",$H409))),1,"")</f>
        <v/>
      </c>
      <c r="O409" s="319">
        <f>IF(ISNUMBER(SEARCH("수1",$H409)),1,"")</f>
        <v/>
      </c>
      <c r="P409" s="319">
        <f>IF(OR(ISNUMBER(SEARCH("수2",$H409)),ISNUMBER(SEARCH("수1.2",$H409))),1,"")</f>
        <v/>
      </c>
      <c r="Q409" s="319">
        <f>IF(OR(ISNUMBER(SEARCH("수3",$H409)),ISNUMBER(SEARCH("수1.3",$H409)),ISNUMBER(SEARCH("수2.3",$H409)),ISNUMBER(SEARCH("수1.2.3",$H409))),1,"")</f>
        <v/>
      </c>
      <c r="R409" s="319">
        <f>IF(ISNUMBER(SEARCH("목1",$H409)),1,"")</f>
        <v/>
      </c>
      <c r="S409" s="319">
        <f>IF(OR(ISNUMBER(SEARCH("목2",$H409)),ISNUMBER(SEARCH("목1.2",$H409))),1,"")</f>
        <v/>
      </c>
      <c r="T409" s="319">
        <f>IF(OR(ISNUMBER(SEARCH("목3",$H409)),ISNUMBER(SEARCH("목1.3",$H409)),ISNUMBER(SEARCH("목2.3",$H409)),ISNUMBER(SEARCH("목1.2.3",$H409))),1,"")</f>
        <v/>
      </c>
      <c r="U409" s="319">
        <f>IF(ISNUMBER(SEARCH("금1",$H409)),1,"")</f>
        <v/>
      </c>
      <c r="V409" s="319">
        <f>IF(OR(ISNUMBER(SEARCH("금2",$H409)),ISNUMBER(SEARCH("금1.2",$H409))),1,"")</f>
        <v/>
      </c>
      <c r="W409" s="319">
        <f>IF(OR(ISNUMBER(SEARCH("금3",$H409)),ISNUMBER(SEARCH("금1.3",$H409)),ISNUMBER(SEARCH("금2.3",$H409)),ISNUMBER(SEARCH("금1.2.3",$H409))),1,"")</f>
        <v/>
      </c>
      <c r="X409" s="319">
        <f>IF(ISNUMBER(SEARCH("토1",$H409)),1,"")</f>
        <v/>
      </c>
      <c r="Y409" s="319">
        <f>IF(OR(ISNUMBER(SEARCH("토2",$H409)),ISNUMBER(SEARCH("토1.2",$H409))),1,"")</f>
        <v/>
      </c>
      <c r="Z409" s="319">
        <f>IF(OR(ISNUMBER(SEARCH("토3",$H409)),ISNUMBER(SEARCH("토1.3",$H409)),ISNUMBER(SEARCH("토2.3",$H409)),ISNUMBER(SEARCH("토1.2.3",$H409))),1,"")</f>
        <v/>
      </c>
      <c r="AA409" s="319">
        <f>IF(ISNUMBER(SEARCH("일1",$H409)),1,"")</f>
        <v/>
      </c>
      <c r="AB409" s="319">
        <f>IF(OR(ISNUMBER(SEARCH("일2",$H409)),ISNUMBER(SEARCH("일1.2",$H409))),1,"")</f>
        <v/>
      </c>
      <c r="AC409" s="319">
        <f>IF(OR(ISNUMBER(SEARCH("일3",$H409)),ISNUMBER(SEARCH("일1.3",$H409)),ISNUMBER(SEARCH("일2.3",$H409)),ISNUMBER(SEARCH("일1.2.3",$H409))),1,"")</f>
        <v/>
      </c>
      <c r="AD409" s="319">
        <f>SUM(I409:AC409)</f>
        <v/>
      </c>
      <c r="AE409" s="323" t="n"/>
    </row>
    <row r="410" ht="24" customHeight="1">
      <c r="A410" s="168" t="n"/>
      <c r="B410" s="319" t="n"/>
      <c r="C410" s="319" t="n"/>
      <c r="D410" s="319" t="n"/>
      <c r="E410" s="341" t="n"/>
      <c r="F410" s="341" t="n"/>
      <c r="G410" s="342" t="n"/>
      <c r="H410" s="322" t="n"/>
      <c r="I410" s="319">
        <f>IF(ISNUMBER(SEARCH("월1",$H410)),1,"")</f>
        <v/>
      </c>
      <c r="J410" s="319">
        <f>IF(OR(ISNUMBER(SEARCH("월2",$H410)),ISNUMBER(SEARCH("월1.2",$H410))),1,"")</f>
        <v/>
      </c>
      <c r="K410" s="319">
        <f>IF(OR(ISNUMBER(SEARCH("월3",$H410)),ISNUMBER(SEARCH("월1.3",$H410)),ISNUMBER(SEARCH("월2.3",$H410)),ISNUMBER(SEARCH("월1.2.3",$H410))),1,"")</f>
        <v/>
      </c>
      <c r="L410" s="319">
        <f>IF(ISNUMBER(SEARCH("화1",$H410)),1,"")</f>
        <v/>
      </c>
      <c r="M410" s="319">
        <f>IF(OR(ISNUMBER(SEARCH("화2",$H410)),ISNUMBER(SEARCH("화1.2",$H410))),1,"")</f>
        <v/>
      </c>
      <c r="N410" s="319">
        <f>IF(OR(ISNUMBER(SEARCH("화3",$H410)),ISNUMBER(SEARCH("화1.3",$H410)),ISNUMBER(SEARCH("화2.3",$H410)),ISNUMBER(SEARCH("화1.2.3",$H410))),1,"")</f>
        <v/>
      </c>
      <c r="O410" s="319">
        <f>IF(ISNUMBER(SEARCH("수1",$H410)),1,"")</f>
        <v/>
      </c>
      <c r="P410" s="319">
        <f>IF(OR(ISNUMBER(SEARCH("수2",$H410)),ISNUMBER(SEARCH("수1.2",$H410))),1,"")</f>
        <v/>
      </c>
      <c r="Q410" s="319">
        <f>IF(OR(ISNUMBER(SEARCH("수3",$H410)),ISNUMBER(SEARCH("수1.3",$H410)),ISNUMBER(SEARCH("수2.3",$H410)),ISNUMBER(SEARCH("수1.2.3",$H410))),1,"")</f>
        <v/>
      </c>
      <c r="R410" s="319">
        <f>IF(ISNUMBER(SEARCH("목1",$H410)),1,"")</f>
        <v/>
      </c>
      <c r="S410" s="319">
        <f>IF(OR(ISNUMBER(SEARCH("목2",$H410)),ISNUMBER(SEARCH("목1.2",$H410))),1,"")</f>
        <v/>
      </c>
      <c r="T410" s="319">
        <f>IF(OR(ISNUMBER(SEARCH("목3",$H410)),ISNUMBER(SEARCH("목1.3",$H410)),ISNUMBER(SEARCH("목2.3",$H410)),ISNUMBER(SEARCH("목1.2.3",$H410))),1,"")</f>
        <v/>
      </c>
      <c r="U410" s="319">
        <f>IF(ISNUMBER(SEARCH("금1",$H410)),1,"")</f>
        <v/>
      </c>
      <c r="V410" s="319">
        <f>IF(OR(ISNUMBER(SEARCH("금2",$H410)),ISNUMBER(SEARCH("금1.2",$H410))),1,"")</f>
        <v/>
      </c>
      <c r="W410" s="319">
        <f>IF(OR(ISNUMBER(SEARCH("금3",$H410)),ISNUMBER(SEARCH("금1.3",$H410)),ISNUMBER(SEARCH("금2.3",$H410)),ISNUMBER(SEARCH("금1.2.3",$H410))),1,"")</f>
        <v/>
      </c>
      <c r="X410" s="319">
        <f>IF(ISNUMBER(SEARCH("토1",$H410)),1,"")</f>
        <v/>
      </c>
      <c r="Y410" s="319">
        <f>IF(OR(ISNUMBER(SEARCH("토2",$H410)),ISNUMBER(SEARCH("토1.2",$H410))),1,"")</f>
        <v/>
      </c>
      <c r="Z410" s="319">
        <f>IF(OR(ISNUMBER(SEARCH("토3",$H410)),ISNUMBER(SEARCH("토1.3",$H410)),ISNUMBER(SEARCH("토2.3",$H410)),ISNUMBER(SEARCH("토1.2.3",$H410))),1,"")</f>
        <v/>
      </c>
      <c r="AA410" s="319">
        <f>IF(ISNUMBER(SEARCH("일1",$H410)),1,"")</f>
        <v/>
      </c>
      <c r="AB410" s="319">
        <f>IF(OR(ISNUMBER(SEARCH("일2",$H410)),ISNUMBER(SEARCH("일1.2",$H410))),1,"")</f>
        <v/>
      </c>
      <c r="AC410" s="319">
        <f>IF(OR(ISNUMBER(SEARCH("일3",$H410)),ISNUMBER(SEARCH("일1.3",$H410)),ISNUMBER(SEARCH("일2.3",$H410)),ISNUMBER(SEARCH("일1.2.3",$H410))),1,"")</f>
        <v/>
      </c>
      <c r="AD410" s="319">
        <f>SUM(I410:AC410)</f>
        <v/>
      </c>
      <c r="AE410" s="323" t="n"/>
    </row>
    <row r="411" ht="24" customHeight="1">
      <c r="A411" s="168" t="n"/>
      <c r="B411" s="319" t="n"/>
      <c r="C411" s="319" t="n"/>
      <c r="D411" s="319" t="n"/>
      <c r="E411" s="341" t="n"/>
      <c r="F411" s="341" t="n"/>
      <c r="G411" s="342" t="n"/>
      <c r="H411" s="322" t="n"/>
      <c r="I411" s="319">
        <f>IF(ISNUMBER(SEARCH("월1",$H411)),1,"")</f>
        <v/>
      </c>
      <c r="J411" s="319">
        <f>IF(OR(ISNUMBER(SEARCH("월2",$H411)),ISNUMBER(SEARCH("월1.2",$H411))),1,"")</f>
        <v/>
      </c>
      <c r="K411" s="319">
        <f>IF(OR(ISNUMBER(SEARCH("월3",$H411)),ISNUMBER(SEARCH("월1.3",$H411)),ISNUMBER(SEARCH("월2.3",$H411)),ISNUMBER(SEARCH("월1.2.3",$H411))),1,"")</f>
        <v/>
      </c>
      <c r="L411" s="319">
        <f>IF(ISNUMBER(SEARCH("화1",$H411)),1,"")</f>
        <v/>
      </c>
      <c r="M411" s="319">
        <f>IF(OR(ISNUMBER(SEARCH("화2",$H411)),ISNUMBER(SEARCH("화1.2",$H411))),1,"")</f>
        <v/>
      </c>
      <c r="N411" s="319">
        <f>IF(OR(ISNUMBER(SEARCH("화3",$H411)),ISNUMBER(SEARCH("화1.3",$H411)),ISNUMBER(SEARCH("화2.3",$H411)),ISNUMBER(SEARCH("화1.2.3",$H411))),1,"")</f>
        <v/>
      </c>
      <c r="O411" s="319">
        <f>IF(ISNUMBER(SEARCH("수1",$H411)),1,"")</f>
        <v/>
      </c>
      <c r="P411" s="319">
        <f>IF(OR(ISNUMBER(SEARCH("수2",$H411)),ISNUMBER(SEARCH("수1.2",$H411))),1,"")</f>
        <v/>
      </c>
      <c r="Q411" s="319">
        <f>IF(OR(ISNUMBER(SEARCH("수3",$H411)),ISNUMBER(SEARCH("수1.3",$H411)),ISNUMBER(SEARCH("수2.3",$H411)),ISNUMBER(SEARCH("수1.2.3",$H411))),1,"")</f>
        <v/>
      </c>
      <c r="R411" s="319">
        <f>IF(ISNUMBER(SEARCH("목1",$H411)),1,"")</f>
        <v/>
      </c>
      <c r="S411" s="319">
        <f>IF(OR(ISNUMBER(SEARCH("목2",$H411)),ISNUMBER(SEARCH("목1.2",$H411))),1,"")</f>
        <v/>
      </c>
      <c r="T411" s="319">
        <f>IF(OR(ISNUMBER(SEARCH("목3",$H411)),ISNUMBER(SEARCH("목1.3",$H411)),ISNUMBER(SEARCH("목2.3",$H411)),ISNUMBER(SEARCH("목1.2.3",$H411))),1,"")</f>
        <v/>
      </c>
      <c r="U411" s="319">
        <f>IF(ISNUMBER(SEARCH("금1",$H411)),1,"")</f>
        <v/>
      </c>
      <c r="V411" s="319">
        <f>IF(OR(ISNUMBER(SEARCH("금2",$H411)),ISNUMBER(SEARCH("금1.2",$H411))),1,"")</f>
        <v/>
      </c>
      <c r="W411" s="319">
        <f>IF(OR(ISNUMBER(SEARCH("금3",$H411)),ISNUMBER(SEARCH("금1.3",$H411)),ISNUMBER(SEARCH("금2.3",$H411)),ISNUMBER(SEARCH("금1.2.3",$H411))),1,"")</f>
        <v/>
      </c>
      <c r="X411" s="319">
        <f>IF(ISNUMBER(SEARCH("토1",$H411)),1,"")</f>
        <v/>
      </c>
      <c r="Y411" s="319">
        <f>IF(OR(ISNUMBER(SEARCH("토2",$H411)),ISNUMBER(SEARCH("토1.2",$H411))),1,"")</f>
        <v/>
      </c>
      <c r="Z411" s="319">
        <f>IF(OR(ISNUMBER(SEARCH("토3",$H411)),ISNUMBER(SEARCH("토1.3",$H411)),ISNUMBER(SEARCH("토2.3",$H411)),ISNUMBER(SEARCH("토1.2.3",$H411))),1,"")</f>
        <v/>
      </c>
      <c r="AA411" s="319">
        <f>IF(ISNUMBER(SEARCH("일1",$H411)),1,"")</f>
        <v/>
      </c>
      <c r="AB411" s="319">
        <f>IF(OR(ISNUMBER(SEARCH("일2",$H411)),ISNUMBER(SEARCH("일1.2",$H411))),1,"")</f>
        <v/>
      </c>
      <c r="AC411" s="319">
        <f>IF(OR(ISNUMBER(SEARCH("일3",$H411)),ISNUMBER(SEARCH("일1.3",$H411)),ISNUMBER(SEARCH("일2.3",$H411)),ISNUMBER(SEARCH("일1.2.3",$H411))),1,"")</f>
        <v/>
      </c>
      <c r="AD411" s="319">
        <f>SUM(I411:AC411)</f>
        <v/>
      </c>
      <c r="AE411" s="323" t="n"/>
    </row>
    <row r="412" ht="24" customHeight="1">
      <c r="A412" s="168" t="n"/>
      <c r="B412" s="319" t="n"/>
      <c r="C412" s="319" t="n"/>
      <c r="D412" s="319" t="n"/>
      <c r="E412" s="341" t="n"/>
      <c r="F412" s="341" t="n"/>
      <c r="G412" s="342" t="n"/>
      <c r="H412" s="322" t="n"/>
      <c r="I412" s="319">
        <f>IF(ISNUMBER(SEARCH("월1",$H412)),1,"")</f>
        <v/>
      </c>
      <c r="J412" s="319">
        <f>IF(OR(ISNUMBER(SEARCH("월2",$H412)),ISNUMBER(SEARCH("월1.2",$H412))),1,"")</f>
        <v/>
      </c>
      <c r="K412" s="319">
        <f>IF(OR(ISNUMBER(SEARCH("월3",$H412)),ISNUMBER(SEARCH("월1.3",$H412)),ISNUMBER(SEARCH("월2.3",$H412)),ISNUMBER(SEARCH("월1.2.3",$H412))),1,"")</f>
        <v/>
      </c>
      <c r="L412" s="319">
        <f>IF(ISNUMBER(SEARCH("화1",$H412)),1,"")</f>
        <v/>
      </c>
      <c r="M412" s="319">
        <f>IF(OR(ISNUMBER(SEARCH("화2",$H412)),ISNUMBER(SEARCH("화1.2",$H412))),1,"")</f>
        <v/>
      </c>
      <c r="N412" s="319">
        <f>IF(OR(ISNUMBER(SEARCH("화3",$H412)),ISNUMBER(SEARCH("화1.3",$H412)),ISNUMBER(SEARCH("화2.3",$H412)),ISNUMBER(SEARCH("화1.2.3",$H412))),1,"")</f>
        <v/>
      </c>
      <c r="O412" s="319">
        <f>IF(ISNUMBER(SEARCH("수1",$H412)),1,"")</f>
        <v/>
      </c>
      <c r="P412" s="319">
        <f>IF(OR(ISNUMBER(SEARCH("수2",$H412)),ISNUMBER(SEARCH("수1.2",$H412))),1,"")</f>
        <v/>
      </c>
      <c r="Q412" s="319">
        <f>IF(OR(ISNUMBER(SEARCH("수3",$H412)),ISNUMBER(SEARCH("수1.3",$H412)),ISNUMBER(SEARCH("수2.3",$H412)),ISNUMBER(SEARCH("수1.2.3",$H412))),1,"")</f>
        <v/>
      </c>
      <c r="R412" s="319">
        <f>IF(ISNUMBER(SEARCH("목1",$H412)),1,"")</f>
        <v/>
      </c>
      <c r="S412" s="319">
        <f>IF(OR(ISNUMBER(SEARCH("목2",$H412)),ISNUMBER(SEARCH("목1.2",$H412))),1,"")</f>
        <v/>
      </c>
      <c r="T412" s="319">
        <f>IF(OR(ISNUMBER(SEARCH("목3",$H412)),ISNUMBER(SEARCH("목1.3",$H412)),ISNUMBER(SEARCH("목2.3",$H412)),ISNUMBER(SEARCH("목1.2.3",$H412))),1,"")</f>
        <v/>
      </c>
      <c r="U412" s="319">
        <f>IF(ISNUMBER(SEARCH("금1",$H412)),1,"")</f>
        <v/>
      </c>
      <c r="V412" s="319">
        <f>IF(OR(ISNUMBER(SEARCH("금2",$H412)),ISNUMBER(SEARCH("금1.2",$H412))),1,"")</f>
        <v/>
      </c>
      <c r="W412" s="319">
        <f>IF(OR(ISNUMBER(SEARCH("금3",$H412)),ISNUMBER(SEARCH("금1.3",$H412)),ISNUMBER(SEARCH("금2.3",$H412)),ISNUMBER(SEARCH("금1.2.3",$H412))),1,"")</f>
        <v/>
      </c>
      <c r="X412" s="319">
        <f>IF(ISNUMBER(SEARCH("토1",$H412)),1,"")</f>
        <v/>
      </c>
      <c r="Y412" s="319">
        <f>IF(OR(ISNUMBER(SEARCH("토2",$H412)),ISNUMBER(SEARCH("토1.2",$H412))),1,"")</f>
        <v/>
      </c>
      <c r="Z412" s="319">
        <f>IF(OR(ISNUMBER(SEARCH("토3",$H412)),ISNUMBER(SEARCH("토1.3",$H412)),ISNUMBER(SEARCH("토2.3",$H412)),ISNUMBER(SEARCH("토1.2.3",$H412))),1,"")</f>
        <v/>
      </c>
      <c r="AA412" s="319">
        <f>IF(ISNUMBER(SEARCH("일1",$H412)),1,"")</f>
        <v/>
      </c>
      <c r="AB412" s="319">
        <f>IF(OR(ISNUMBER(SEARCH("일2",$H412)),ISNUMBER(SEARCH("일1.2",$H412))),1,"")</f>
        <v/>
      </c>
      <c r="AC412" s="319">
        <f>IF(OR(ISNUMBER(SEARCH("일3",$H412)),ISNUMBER(SEARCH("일1.3",$H412)),ISNUMBER(SEARCH("일2.3",$H412)),ISNUMBER(SEARCH("일1.2.3",$H412))),1,"")</f>
        <v/>
      </c>
      <c r="AD412" s="319">
        <f>SUM(I412:AC412)</f>
        <v/>
      </c>
      <c r="AE412" s="323" t="n"/>
    </row>
    <row r="413" ht="24" customHeight="1">
      <c r="A413" s="170" t="n"/>
      <c r="B413" s="324" t="n"/>
      <c r="C413" s="324" t="n"/>
      <c r="D413" s="324" t="n"/>
      <c r="E413" s="343" t="n"/>
      <c r="F413" s="343" t="n"/>
      <c r="G413" s="344" t="n"/>
      <c r="H413" s="327" t="n"/>
      <c r="I413" s="324">
        <f>IF(ISNUMBER(SEARCH("월1",$H413)),1,"")</f>
        <v/>
      </c>
      <c r="J413" s="324">
        <f>IF(OR(ISNUMBER(SEARCH("월2",$H413)),ISNUMBER(SEARCH("월1.2",$H413))),1,"")</f>
        <v/>
      </c>
      <c r="K413" s="324">
        <f>IF(OR(ISNUMBER(SEARCH("월3",$H413)),ISNUMBER(SEARCH("월1.3",$H413)),ISNUMBER(SEARCH("월2.3",$H413)),ISNUMBER(SEARCH("월1.2.3",$H413))),1,"")</f>
        <v/>
      </c>
      <c r="L413" s="324">
        <f>IF(ISNUMBER(SEARCH("화1",$H413)),1,"")</f>
        <v/>
      </c>
      <c r="M413" s="324">
        <f>IF(OR(ISNUMBER(SEARCH("화2",$H413)),ISNUMBER(SEARCH("화1.2",$H413))),1,"")</f>
        <v/>
      </c>
      <c r="N413" s="324">
        <f>IF(OR(ISNUMBER(SEARCH("화3",$H413)),ISNUMBER(SEARCH("화1.3",$H413)),ISNUMBER(SEARCH("화2.3",$H413)),ISNUMBER(SEARCH("화1.2.3",$H413))),1,"")</f>
        <v/>
      </c>
      <c r="O413" s="324">
        <f>IF(ISNUMBER(SEARCH("수1",$H413)),1,"")</f>
        <v/>
      </c>
      <c r="P413" s="324">
        <f>IF(OR(ISNUMBER(SEARCH("수2",$H413)),ISNUMBER(SEARCH("수1.2",$H413))),1,"")</f>
        <v/>
      </c>
      <c r="Q413" s="324">
        <f>IF(OR(ISNUMBER(SEARCH("수3",$H413)),ISNUMBER(SEARCH("수1.3",$H413)),ISNUMBER(SEARCH("수2.3",$H413)),ISNUMBER(SEARCH("수1.2.3",$H413))),1,"")</f>
        <v/>
      </c>
      <c r="R413" s="324">
        <f>IF(ISNUMBER(SEARCH("목1",$H413)),1,"")</f>
        <v/>
      </c>
      <c r="S413" s="324">
        <f>IF(OR(ISNUMBER(SEARCH("목2",$H413)),ISNUMBER(SEARCH("목1.2",$H413))),1,"")</f>
        <v/>
      </c>
      <c r="T413" s="324">
        <f>IF(OR(ISNUMBER(SEARCH("목3",$H413)),ISNUMBER(SEARCH("목1.3",$H413)),ISNUMBER(SEARCH("목2.3",$H413)),ISNUMBER(SEARCH("목1.2.3",$H413))),1,"")</f>
        <v/>
      </c>
      <c r="U413" s="324">
        <f>IF(ISNUMBER(SEARCH("금1",$H413)),1,"")</f>
        <v/>
      </c>
      <c r="V413" s="324">
        <f>IF(OR(ISNUMBER(SEARCH("금2",$H413)),ISNUMBER(SEARCH("금1.2",$H413))),1,"")</f>
        <v/>
      </c>
      <c r="W413" s="324">
        <f>IF(OR(ISNUMBER(SEARCH("금3",$H413)),ISNUMBER(SEARCH("금1.3",$H413)),ISNUMBER(SEARCH("금2.3",$H413)),ISNUMBER(SEARCH("금1.2.3",$H413))),1,"")</f>
        <v/>
      </c>
      <c r="X413" s="324">
        <f>IF(ISNUMBER(SEARCH("토1",$H413)),1,"")</f>
        <v/>
      </c>
      <c r="Y413" s="324">
        <f>IF(OR(ISNUMBER(SEARCH("토2",$H413)),ISNUMBER(SEARCH("토1.2",$H413))),1,"")</f>
        <v/>
      </c>
      <c r="Z413" s="324">
        <f>IF(OR(ISNUMBER(SEARCH("토3",$H413)),ISNUMBER(SEARCH("토1.3",$H413)),ISNUMBER(SEARCH("토2.3",$H413)),ISNUMBER(SEARCH("토1.2.3",$H413))),1,"")</f>
        <v/>
      </c>
      <c r="AA413" s="324">
        <f>IF(ISNUMBER(SEARCH("일1",$H413)),1,"")</f>
        <v/>
      </c>
      <c r="AB413" s="324">
        <f>IF(OR(ISNUMBER(SEARCH("일2",$H413)),ISNUMBER(SEARCH("일1.2",$H413))),1,"")</f>
        <v/>
      </c>
      <c r="AC413" s="324">
        <f>IF(OR(ISNUMBER(SEARCH("일3",$H413)),ISNUMBER(SEARCH("일1.3",$H413)),ISNUMBER(SEARCH("일2.3",$H413)),ISNUMBER(SEARCH("일1.2.3",$H413))),1,"")</f>
        <v/>
      </c>
      <c r="AD413" s="324">
        <f>SUM(I413:AC413)</f>
        <v/>
      </c>
      <c r="AE413" s="328" t="n"/>
    </row>
    <row r="414" ht="27" customHeight="1">
      <c r="A414" s="336" t="n"/>
      <c r="B414" s="337" t="n"/>
      <c r="C414" s="337" t="n"/>
      <c r="D414" s="337" t="n"/>
      <c r="E414" s="337" t="n"/>
      <c r="F414" s="337" t="n"/>
      <c r="G414" s="337" t="n"/>
      <c r="H414" s="337" t="n"/>
      <c r="I414" s="337" t="n"/>
      <c r="J414" s="337" t="n"/>
      <c r="K414" s="337" t="n"/>
      <c r="L414" s="337" t="n"/>
      <c r="M414" s="337" t="n"/>
      <c r="N414" s="337" t="n"/>
      <c r="O414" s="337" t="n"/>
      <c r="P414" s="337" t="n"/>
      <c r="Q414" s="337" t="n"/>
      <c r="R414" s="337" t="n"/>
      <c r="S414" s="337" t="n"/>
      <c r="T414" s="337" t="n"/>
      <c r="U414" s="337" t="n"/>
      <c r="V414" s="337" t="n"/>
      <c r="W414" s="337" t="n"/>
      <c r="X414" s="337" t="n"/>
      <c r="Y414" s="337" t="n"/>
      <c r="Z414" s="337" t="n"/>
      <c r="AA414" s="337" t="n"/>
      <c r="AB414" s="337" t="n"/>
      <c r="AC414" s="337" t="n"/>
      <c r="AD414" s="337" t="n"/>
      <c r="AE414" s="338" t="n"/>
    </row>
    <row r="415" ht="24" customHeight="1">
      <c r="A415" s="166" t="n"/>
      <c r="B415" s="314" t="n"/>
      <c r="C415" s="314" t="n"/>
      <c r="D415" s="314" t="n"/>
      <c r="E415" s="339" t="n"/>
      <c r="F415" s="339" t="n"/>
      <c r="G415" s="340" t="n"/>
      <c r="H415" s="317" t="n"/>
      <c r="I415" s="314">
        <f>IF(ISNUMBER(SEARCH("월1",$H415)),1,"")</f>
        <v/>
      </c>
      <c r="J415" s="314">
        <f>IF(OR(ISNUMBER(SEARCH("월2",$H415)),ISNUMBER(SEARCH("월1.2",$H415))),1,"")</f>
        <v/>
      </c>
      <c r="K415" s="314">
        <f>IF(OR(ISNUMBER(SEARCH("월3",$H415)),ISNUMBER(SEARCH("월1.3",$H415)),ISNUMBER(SEARCH("월2.3",$H415)),ISNUMBER(SEARCH("월1.2.3",$H415))),1,"")</f>
        <v/>
      </c>
      <c r="L415" s="314">
        <f>IF(ISNUMBER(SEARCH("화1",$H415)),1,"")</f>
        <v/>
      </c>
      <c r="M415" s="314">
        <f>IF(OR(ISNUMBER(SEARCH("화2",$H415)),ISNUMBER(SEARCH("화1.2",$H415))),1,"")</f>
        <v/>
      </c>
      <c r="N415" s="314">
        <f>IF(OR(ISNUMBER(SEARCH("화3",$H415)),ISNUMBER(SEARCH("화1.3",$H415)),ISNUMBER(SEARCH("화2.3",$H415)),ISNUMBER(SEARCH("화1.2.3",$H415))),1,"")</f>
        <v/>
      </c>
      <c r="O415" s="314">
        <f>IF(ISNUMBER(SEARCH("수1",$H415)),1,"")</f>
        <v/>
      </c>
      <c r="P415" s="314">
        <f>IF(OR(ISNUMBER(SEARCH("수2",$H415)),ISNUMBER(SEARCH("수1.2",$H415))),1,"")</f>
        <v/>
      </c>
      <c r="Q415" s="314">
        <f>IF(OR(ISNUMBER(SEARCH("수3",$H415)),ISNUMBER(SEARCH("수1.3",$H415)),ISNUMBER(SEARCH("수2.3",$H415)),ISNUMBER(SEARCH("수1.2.3",$H415))),1,"")</f>
        <v/>
      </c>
      <c r="R415" s="314">
        <f>IF(ISNUMBER(SEARCH("목1",$H415)),1,"")</f>
        <v/>
      </c>
      <c r="S415" s="314">
        <f>IF(OR(ISNUMBER(SEARCH("목2",$H415)),ISNUMBER(SEARCH("목1.2",$H415))),1,"")</f>
        <v/>
      </c>
      <c r="T415" s="314">
        <f>IF(OR(ISNUMBER(SEARCH("목3",$H415)),ISNUMBER(SEARCH("목1.3",$H415)),ISNUMBER(SEARCH("목2.3",$H415)),ISNUMBER(SEARCH("목1.2.3",$H415))),1,"")</f>
        <v/>
      </c>
      <c r="U415" s="314">
        <f>IF(ISNUMBER(SEARCH("금1",$H415)),1,"")</f>
        <v/>
      </c>
      <c r="V415" s="314">
        <f>IF(OR(ISNUMBER(SEARCH("금2",$H415)),ISNUMBER(SEARCH("금1.2",$H415))),1,"")</f>
        <v/>
      </c>
      <c r="W415" s="314">
        <f>IF(OR(ISNUMBER(SEARCH("금3",$H415)),ISNUMBER(SEARCH("금1.3",$H415)),ISNUMBER(SEARCH("금2.3",$H415)),ISNUMBER(SEARCH("금1.2.3",$H415))),1,"")</f>
        <v/>
      </c>
      <c r="X415" s="314">
        <f>IF(ISNUMBER(SEARCH("토1",$H415)),1,"")</f>
        <v/>
      </c>
      <c r="Y415" s="314">
        <f>IF(OR(ISNUMBER(SEARCH("토2",$H415)),ISNUMBER(SEARCH("토1.2",$H415))),1,"")</f>
        <v/>
      </c>
      <c r="Z415" s="314">
        <f>IF(OR(ISNUMBER(SEARCH("토3",$H415)),ISNUMBER(SEARCH("토1.3",$H415)),ISNUMBER(SEARCH("토2.3",$H415)),ISNUMBER(SEARCH("토1.2.3",$H415))),1,"")</f>
        <v/>
      </c>
      <c r="AA415" s="314">
        <f>IF(ISNUMBER(SEARCH("일1",$H415)),1,"")</f>
        <v/>
      </c>
      <c r="AB415" s="314">
        <f>IF(OR(ISNUMBER(SEARCH("일2",$H415)),ISNUMBER(SEARCH("일1.2",$H415))),1,"")</f>
        <v/>
      </c>
      <c r="AC415" s="314">
        <f>IF(OR(ISNUMBER(SEARCH("일3",$H415)),ISNUMBER(SEARCH("일1.3",$H415)),ISNUMBER(SEARCH("일2.3",$H415)),ISNUMBER(SEARCH("일1.2.3",$H415))),1,"")</f>
        <v/>
      </c>
      <c r="AD415" s="314">
        <f>SUM(I415:AC415)</f>
        <v/>
      </c>
      <c r="AE415" s="318" t="n"/>
    </row>
    <row r="416" ht="24" customHeight="1">
      <c r="A416" s="168" t="n"/>
      <c r="B416" s="319" t="n"/>
      <c r="C416" s="319" t="n"/>
      <c r="D416" s="319" t="n"/>
      <c r="E416" s="341" t="n"/>
      <c r="F416" s="341" t="n"/>
      <c r="G416" s="342" t="n"/>
      <c r="H416" s="322" t="n"/>
      <c r="I416" s="319">
        <f>IF(ISNUMBER(SEARCH("월1",$H416)),1,"")</f>
        <v/>
      </c>
      <c r="J416" s="319">
        <f>IF(OR(ISNUMBER(SEARCH("월2",$H416)),ISNUMBER(SEARCH("월1.2",$H416))),1,"")</f>
        <v/>
      </c>
      <c r="K416" s="319">
        <f>IF(OR(ISNUMBER(SEARCH("월3",$H416)),ISNUMBER(SEARCH("월1.3",$H416)),ISNUMBER(SEARCH("월2.3",$H416)),ISNUMBER(SEARCH("월1.2.3",$H416))),1,"")</f>
        <v/>
      </c>
      <c r="L416" s="319">
        <f>IF(ISNUMBER(SEARCH("화1",$H416)),1,"")</f>
        <v/>
      </c>
      <c r="M416" s="319">
        <f>IF(OR(ISNUMBER(SEARCH("화2",$H416)),ISNUMBER(SEARCH("화1.2",$H416))),1,"")</f>
        <v/>
      </c>
      <c r="N416" s="319">
        <f>IF(OR(ISNUMBER(SEARCH("화3",$H416)),ISNUMBER(SEARCH("화1.3",$H416)),ISNUMBER(SEARCH("화2.3",$H416)),ISNUMBER(SEARCH("화1.2.3",$H416))),1,"")</f>
        <v/>
      </c>
      <c r="O416" s="319">
        <f>IF(ISNUMBER(SEARCH("수1",$H416)),1,"")</f>
        <v/>
      </c>
      <c r="P416" s="319">
        <f>IF(OR(ISNUMBER(SEARCH("수2",$H416)),ISNUMBER(SEARCH("수1.2",$H416))),1,"")</f>
        <v/>
      </c>
      <c r="Q416" s="319">
        <f>IF(OR(ISNUMBER(SEARCH("수3",$H416)),ISNUMBER(SEARCH("수1.3",$H416)),ISNUMBER(SEARCH("수2.3",$H416)),ISNUMBER(SEARCH("수1.2.3",$H416))),1,"")</f>
        <v/>
      </c>
      <c r="R416" s="319">
        <f>IF(ISNUMBER(SEARCH("목1",$H416)),1,"")</f>
        <v/>
      </c>
      <c r="S416" s="319">
        <f>IF(OR(ISNUMBER(SEARCH("목2",$H416)),ISNUMBER(SEARCH("목1.2",$H416))),1,"")</f>
        <v/>
      </c>
      <c r="T416" s="319">
        <f>IF(OR(ISNUMBER(SEARCH("목3",$H416)),ISNUMBER(SEARCH("목1.3",$H416)),ISNUMBER(SEARCH("목2.3",$H416)),ISNUMBER(SEARCH("목1.2.3",$H416))),1,"")</f>
        <v/>
      </c>
      <c r="U416" s="319">
        <f>IF(ISNUMBER(SEARCH("금1",$H416)),1,"")</f>
        <v/>
      </c>
      <c r="V416" s="319">
        <f>IF(OR(ISNUMBER(SEARCH("금2",$H416)),ISNUMBER(SEARCH("금1.2",$H416))),1,"")</f>
        <v/>
      </c>
      <c r="W416" s="319">
        <f>IF(OR(ISNUMBER(SEARCH("금3",$H416)),ISNUMBER(SEARCH("금1.3",$H416)),ISNUMBER(SEARCH("금2.3",$H416)),ISNUMBER(SEARCH("금1.2.3",$H416))),1,"")</f>
        <v/>
      </c>
      <c r="X416" s="319">
        <f>IF(ISNUMBER(SEARCH("토1",$H416)),1,"")</f>
        <v/>
      </c>
      <c r="Y416" s="319">
        <f>IF(OR(ISNUMBER(SEARCH("토2",$H416)),ISNUMBER(SEARCH("토1.2",$H416))),1,"")</f>
        <v/>
      </c>
      <c r="Z416" s="319">
        <f>IF(OR(ISNUMBER(SEARCH("토3",$H416)),ISNUMBER(SEARCH("토1.3",$H416)),ISNUMBER(SEARCH("토2.3",$H416)),ISNUMBER(SEARCH("토1.2.3",$H416))),1,"")</f>
        <v/>
      </c>
      <c r="AA416" s="319">
        <f>IF(ISNUMBER(SEARCH("일1",$H416)),1,"")</f>
        <v/>
      </c>
      <c r="AB416" s="319">
        <f>IF(OR(ISNUMBER(SEARCH("일2",$H416)),ISNUMBER(SEARCH("일1.2",$H416))),1,"")</f>
        <v/>
      </c>
      <c r="AC416" s="319">
        <f>IF(OR(ISNUMBER(SEARCH("일3",$H416)),ISNUMBER(SEARCH("일1.3",$H416)),ISNUMBER(SEARCH("일2.3",$H416)),ISNUMBER(SEARCH("일1.2.3",$H416))),1,"")</f>
        <v/>
      </c>
      <c r="AD416" s="319">
        <f>SUM(I416:AC416)</f>
        <v/>
      </c>
      <c r="AE416" s="323" t="n"/>
    </row>
    <row r="417" ht="24" customHeight="1">
      <c r="A417" s="168" t="n"/>
      <c r="B417" s="319" t="n"/>
      <c r="C417" s="319" t="n"/>
      <c r="D417" s="319" t="n"/>
      <c r="E417" s="341" t="n"/>
      <c r="F417" s="341" t="n"/>
      <c r="G417" s="342" t="n"/>
      <c r="H417" s="322" t="n"/>
      <c r="I417" s="319">
        <f>IF(ISNUMBER(SEARCH("월1",$H417)),1,"")</f>
        <v/>
      </c>
      <c r="J417" s="319">
        <f>IF(OR(ISNUMBER(SEARCH("월2",$H417)),ISNUMBER(SEARCH("월1.2",$H417))),1,"")</f>
        <v/>
      </c>
      <c r="K417" s="319">
        <f>IF(OR(ISNUMBER(SEARCH("월3",$H417)),ISNUMBER(SEARCH("월1.3",$H417)),ISNUMBER(SEARCH("월2.3",$H417)),ISNUMBER(SEARCH("월1.2.3",$H417))),1,"")</f>
        <v/>
      </c>
      <c r="L417" s="319">
        <f>IF(ISNUMBER(SEARCH("화1",$H417)),1,"")</f>
        <v/>
      </c>
      <c r="M417" s="319">
        <f>IF(OR(ISNUMBER(SEARCH("화2",$H417)),ISNUMBER(SEARCH("화1.2",$H417))),1,"")</f>
        <v/>
      </c>
      <c r="N417" s="319">
        <f>IF(OR(ISNUMBER(SEARCH("화3",$H417)),ISNUMBER(SEARCH("화1.3",$H417)),ISNUMBER(SEARCH("화2.3",$H417)),ISNUMBER(SEARCH("화1.2.3",$H417))),1,"")</f>
        <v/>
      </c>
      <c r="O417" s="319">
        <f>IF(ISNUMBER(SEARCH("수1",$H417)),1,"")</f>
        <v/>
      </c>
      <c r="P417" s="319">
        <f>IF(OR(ISNUMBER(SEARCH("수2",$H417)),ISNUMBER(SEARCH("수1.2",$H417))),1,"")</f>
        <v/>
      </c>
      <c r="Q417" s="319">
        <f>IF(OR(ISNUMBER(SEARCH("수3",$H417)),ISNUMBER(SEARCH("수1.3",$H417)),ISNUMBER(SEARCH("수2.3",$H417)),ISNUMBER(SEARCH("수1.2.3",$H417))),1,"")</f>
        <v/>
      </c>
      <c r="R417" s="319">
        <f>IF(ISNUMBER(SEARCH("목1",$H417)),1,"")</f>
        <v/>
      </c>
      <c r="S417" s="319">
        <f>IF(OR(ISNUMBER(SEARCH("목2",$H417)),ISNUMBER(SEARCH("목1.2",$H417))),1,"")</f>
        <v/>
      </c>
      <c r="T417" s="319">
        <f>IF(OR(ISNUMBER(SEARCH("목3",$H417)),ISNUMBER(SEARCH("목1.3",$H417)),ISNUMBER(SEARCH("목2.3",$H417)),ISNUMBER(SEARCH("목1.2.3",$H417))),1,"")</f>
        <v/>
      </c>
      <c r="U417" s="319">
        <f>IF(ISNUMBER(SEARCH("금1",$H417)),1,"")</f>
        <v/>
      </c>
      <c r="V417" s="319">
        <f>IF(OR(ISNUMBER(SEARCH("금2",$H417)),ISNUMBER(SEARCH("금1.2",$H417))),1,"")</f>
        <v/>
      </c>
      <c r="W417" s="319">
        <f>IF(OR(ISNUMBER(SEARCH("금3",$H417)),ISNUMBER(SEARCH("금1.3",$H417)),ISNUMBER(SEARCH("금2.3",$H417)),ISNUMBER(SEARCH("금1.2.3",$H417))),1,"")</f>
        <v/>
      </c>
      <c r="X417" s="319">
        <f>IF(ISNUMBER(SEARCH("토1",$H417)),1,"")</f>
        <v/>
      </c>
      <c r="Y417" s="319">
        <f>IF(OR(ISNUMBER(SEARCH("토2",$H417)),ISNUMBER(SEARCH("토1.2",$H417))),1,"")</f>
        <v/>
      </c>
      <c r="Z417" s="319">
        <f>IF(OR(ISNUMBER(SEARCH("토3",$H417)),ISNUMBER(SEARCH("토1.3",$H417)),ISNUMBER(SEARCH("토2.3",$H417)),ISNUMBER(SEARCH("토1.2.3",$H417))),1,"")</f>
        <v/>
      </c>
      <c r="AA417" s="319">
        <f>IF(ISNUMBER(SEARCH("일1",$H417)),1,"")</f>
        <v/>
      </c>
      <c r="AB417" s="319">
        <f>IF(OR(ISNUMBER(SEARCH("일2",$H417)),ISNUMBER(SEARCH("일1.2",$H417))),1,"")</f>
        <v/>
      </c>
      <c r="AC417" s="319">
        <f>IF(OR(ISNUMBER(SEARCH("일3",$H417)),ISNUMBER(SEARCH("일1.3",$H417)),ISNUMBER(SEARCH("일2.3",$H417)),ISNUMBER(SEARCH("일1.2.3",$H417))),1,"")</f>
        <v/>
      </c>
      <c r="AD417" s="319">
        <f>SUM(I417:AC417)</f>
        <v/>
      </c>
      <c r="AE417" s="323" t="n"/>
    </row>
    <row r="418" ht="24" customHeight="1">
      <c r="A418" s="168" t="n"/>
      <c r="B418" s="319" t="n"/>
      <c r="C418" s="319" t="n"/>
      <c r="D418" s="319" t="n"/>
      <c r="E418" s="341" t="n"/>
      <c r="F418" s="341" t="n"/>
      <c r="G418" s="342" t="n"/>
      <c r="H418" s="322" t="n"/>
      <c r="I418" s="319">
        <f>IF(ISNUMBER(SEARCH("월1",$H418)),1,"")</f>
        <v/>
      </c>
      <c r="J418" s="319">
        <f>IF(OR(ISNUMBER(SEARCH("월2",$H418)),ISNUMBER(SEARCH("월1.2",$H418))),1,"")</f>
        <v/>
      </c>
      <c r="K418" s="319">
        <f>IF(OR(ISNUMBER(SEARCH("월3",$H418)),ISNUMBER(SEARCH("월1.3",$H418)),ISNUMBER(SEARCH("월2.3",$H418)),ISNUMBER(SEARCH("월1.2.3",$H418))),1,"")</f>
        <v/>
      </c>
      <c r="L418" s="319">
        <f>IF(ISNUMBER(SEARCH("화1",$H418)),1,"")</f>
        <v/>
      </c>
      <c r="M418" s="319">
        <f>IF(OR(ISNUMBER(SEARCH("화2",$H418)),ISNUMBER(SEARCH("화1.2",$H418))),1,"")</f>
        <v/>
      </c>
      <c r="N418" s="319">
        <f>IF(OR(ISNUMBER(SEARCH("화3",$H418)),ISNUMBER(SEARCH("화1.3",$H418)),ISNUMBER(SEARCH("화2.3",$H418)),ISNUMBER(SEARCH("화1.2.3",$H418))),1,"")</f>
        <v/>
      </c>
      <c r="O418" s="319">
        <f>IF(ISNUMBER(SEARCH("수1",$H418)),1,"")</f>
        <v/>
      </c>
      <c r="P418" s="319">
        <f>IF(OR(ISNUMBER(SEARCH("수2",$H418)),ISNUMBER(SEARCH("수1.2",$H418))),1,"")</f>
        <v/>
      </c>
      <c r="Q418" s="319">
        <f>IF(OR(ISNUMBER(SEARCH("수3",$H418)),ISNUMBER(SEARCH("수1.3",$H418)),ISNUMBER(SEARCH("수2.3",$H418)),ISNUMBER(SEARCH("수1.2.3",$H418))),1,"")</f>
        <v/>
      </c>
      <c r="R418" s="319">
        <f>IF(ISNUMBER(SEARCH("목1",$H418)),1,"")</f>
        <v/>
      </c>
      <c r="S418" s="319">
        <f>IF(OR(ISNUMBER(SEARCH("목2",$H418)),ISNUMBER(SEARCH("목1.2",$H418))),1,"")</f>
        <v/>
      </c>
      <c r="T418" s="319">
        <f>IF(OR(ISNUMBER(SEARCH("목3",$H418)),ISNUMBER(SEARCH("목1.3",$H418)),ISNUMBER(SEARCH("목2.3",$H418)),ISNUMBER(SEARCH("목1.2.3",$H418))),1,"")</f>
        <v/>
      </c>
      <c r="U418" s="319">
        <f>IF(ISNUMBER(SEARCH("금1",$H418)),1,"")</f>
        <v/>
      </c>
      <c r="V418" s="319">
        <f>IF(OR(ISNUMBER(SEARCH("금2",$H418)),ISNUMBER(SEARCH("금1.2",$H418))),1,"")</f>
        <v/>
      </c>
      <c r="W418" s="319">
        <f>IF(OR(ISNUMBER(SEARCH("금3",$H418)),ISNUMBER(SEARCH("금1.3",$H418)),ISNUMBER(SEARCH("금2.3",$H418)),ISNUMBER(SEARCH("금1.2.3",$H418))),1,"")</f>
        <v/>
      </c>
      <c r="X418" s="319">
        <f>IF(ISNUMBER(SEARCH("토1",$H418)),1,"")</f>
        <v/>
      </c>
      <c r="Y418" s="319">
        <f>IF(OR(ISNUMBER(SEARCH("토2",$H418)),ISNUMBER(SEARCH("토1.2",$H418))),1,"")</f>
        <v/>
      </c>
      <c r="Z418" s="319">
        <f>IF(OR(ISNUMBER(SEARCH("토3",$H418)),ISNUMBER(SEARCH("토1.3",$H418)),ISNUMBER(SEARCH("토2.3",$H418)),ISNUMBER(SEARCH("토1.2.3",$H418))),1,"")</f>
        <v/>
      </c>
      <c r="AA418" s="319">
        <f>IF(ISNUMBER(SEARCH("일1",$H418)),1,"")</f>
        <v/>
      </c>
      <c r="AB418" s="319">
        <f>IF(OR(ISNUMBER(SEARCH("일2",$H418)),ISNUMBER(SEARCH("일1.2",$H418))),1,"")</f>
        <v/>
      </c>
      <c r="AC418" s="319">
        <f>IF(OR(ISNUMBER(SEARCH("일3",$H418)),ISNUMBER(SEARCH("일1.3",$H418)),ISNUMBER(SEARCH("일2.3",$H418)),ISNUMBER(SEARCH("일1.2.3",$H418))),1,"")</f>
        <v/>
      </c>
      <c r="AD418" s="319">
        <f>SUM(I418:AC418)</f>
        <v/>
      </c>
      <c r="AE418" s="323" t="n"/>
    </row>
    <row r="419" ht="24" customHeight="1">
      <c r="A419" s="168" t="n"/>
      <c r="B419" s="319" t="n"/>
      <c r="C419" s="319" t="n"/>
      <c r="D419" s="319" t="n"/>
      <c r="E419" s="341" t="n"/>
      <c r="F419" s="341" t="n"/>
      <c r="G419" s="342" t="n"/>
      <c r="H419" s="322" t="n"/>
      <c r="I419" s="319">
        <f>IF(ISNUMBER(SEARCH("월1",$H419)),1,"")</f>
        <v/>
      </c>
      <c r="J419" s="319">
        <f>IF(OR(ISNUMBER(SEARCH("월2",$H419)),ISNUMBER(SEARCH("월1.2",$H419))),1,"")</f>
        <v/>
      </c>
      <c r="K419" s="319">
        <f>IF(OR(ISNUMBER(SEARCH("월3",$H419)),ISNUMBER(SEARCH("월1.3",$H419)),ISNUMBER(SEARCH("월2.3",$H419)),ISNUMBER(SEARCH("월1.2.3",$H419))),1,"")</f>
        <v/>
      </c>
      <c r="L419" s="319">
        <f>IF(ISNUMBER(SEARCH("화1",$H419)),1,"")</f>
        <v/>
      </c>
      <c r="M419" s="319">
        <f>IF(OR(ISNUMBER(SEARCH("화2",$H419)),ISNUMBER(SEARCH("화1.2",$H419))),1,"")</f>
        <v/>
      </c>
      <c r="N419" s="319">
        <f>IF(OR(ISNUMBER(SEARCH("화3",$H419)),ISNUMBER(SEARCH("화1.3",$H419)),ISNUMBER(SEARCH("화2.3",$H419)),ISNUMBER(SEARCH("화1.2.3",$H419))),1,"")</f>
        <v/>
      </c>
      <c r="O419" s="319">
        <f>IF(ISNUMBER(SEARCH("수1",$H419)),1,"")</f>
        <v/>
      </c>
      <c r="P419" s="319">
        <f>IF(OR(ISNUMBER(SEARCH("수2",$H419)),ISNUMBER(SEARCH("수1.2",$H419))),1,"")</f>
        <v/>
      </c>
      <c r="Q419" s="319">
        <f>IF(OR(ISNUMBER(SEARCH("수3",$H419)),ISNUMBER(SEARCH("수1.3",$H419)),ISNUMBER(SEARCH("수2.3",$H419)),ISNUMBER(SEARCH("수1.2.3",$H419))),1,"")</f>
        <v/>
      </c>
      <c r="R419" s="319">
        <f>IF(ISNUMBER(SEARCH("목1",$H419)),1,"")</f>
        <v/>
      </c>
      <c r="S419" s="319">
        <f>IF(OR(ISNUMBER(SEARCH("목2",$H419)),ISNUMBER(SEARCH("목1.2",$H419))),1,"")</f>
        <v/>
      </c>
      <c r="T419" s="319">
        <f>IF(OR(ISNUMBER(SEARCH("목3",$H419)),ISNUMBER(SEARCH("목1.3",$H419)),ISNUMBER(SEARCH("목2.3",$H419)),ISNUMBER(SEARCH("목1.2.3",$H419))),1,"")</f>
        <v/>
      </c>
      <c r="U419" s="319">
        <f>IF(ISNUMBER(SEARCH("금1",$H419)),1,"")</f>
        <v/>
      </c>
      <c r="V419" s="319">
        <f>IF(OR(ISNUMBER(SEARCH("금2",$H419)),ISNUMBER(SEARCH("금1.2",$H419))),1,"")</f>
        <v/>
      </c>
      <c r="W419" s="319">
        <f>IF(OR(ISNUMBER(SEARCH("금3",$H419)),ISNUMBER(SEARCH("금1.3",$H419)),ISNUMBER(SEARCH("금2.3",$H419)),ISNUMBER(SEARCH("금1.2.3",$H419))),1,"")</f>
        <v/>
      </c>
      <c r="X419" s="319">
        <f>IF(ISNUMBER(SEARCH("토1",$H419)),1,"")</f>
        <v/>
      </c>
      <c r="Y419" s="319">
        <f>IF(OR(ISNUMBER(SEARCH("토2",$H419)),ISNUMBER(SEARCH("토1.2",$H419))),1,"")</f>
        <v/>
      </c>
      <c r="Z419" s="319">
        <f>IF(OR(ISNUMBER(SEARCH("토3",$H419)),ISNUMBER(SEARCH("토1.3",$H419)),ISNUMBER(SEARCH("토2.3",$H419)),ISNUMBER(SEARCH("토1.2.3",$H419))),1,"")</f>
        <v/>
      </c>
      <c r="AA419" s="319">
        <f>IF(ISNUMBER(SEARCH("일1",$H419)),1,"")</f>
        <v/>
      </c>
      <c r="AB419" s="319">
        <f>IF(OR(ISNUMBER(SEARCH("일2",$H419)),ISNUMBER(SEARCH("일1.2",$H419))),1,"")</f>
        <v/>
      </c>
      <c r="AC419" s="319">
        <f>IF(OR(ISNUMBER(SEARCH("일3",$H419)),ISNUMBER(SEARCH("일1.3",$H419)),ISNUMBER(SEARCH("일2.3",$H419)),ISNUMBER(SEARCH("일1.2.3",$H419))),1,"")</f>
        <v/>
      </c>
      <c r="AD419" s="319">
        <f>SUM(I419:AC419)</f>
        <v/>
      </c>
      <c r="AE419" s="323" t="n"/>
    </row>
    <row r="420" ht="24" customHeight="1">
      <c r="A420" s="168" t="n"/>
      <c r="B420" s="319" t="n"/>
      <c r="C420" s="319" t="n"/>
      <c r="D420" s="319" t="n"/>
      <c r="E420" s="341" t="n"/>
      <c r="F420" s="341" t="n"/>
      <c r="G420" s="342" t="n"/>
      <c r="H420" s="322" t="n"/>
      <c r="I420" s="319">
        <f>IF(ISNUMBER(SEARCH("월1",$H420)),1,"")</f>
        <v/>
      </c>
      <c r="J420" s="319">
        <f>IF(OR(ISNUMBER(SEARCH("월2",$H420)),ISNUMBER(SEARCH("월1.2",$H420))),1,"")</f>
        <v/>
      </c>
      <c r="K420" s="319">
        <f>IF(OR(ISNUMBER(SEARCH("월3",$H420)),ISNUMBER(SEARCH("월1.3",$H420)),ISNUMBER(SEARCH("월2.3",$H420)),ISNUMBER(SEARCH("월1.2.3",$H420))),1,"")</f>
        <v/>
      </c>
      <c r="L420" s="319">
        <f>IF(ISNUMBER(SEARCH("화1",$H420)),1,"")</f>
        <v/>
      </c>
      <c r="M420" s="319">
        <f>IF(OR(ISNUMBER(SEARCH("화2",$H420)),ISNUMBER(SEARCH("화1.2",$H420))),1,"")</f>
        <v/>
      </c>
      <c r="N420" s="319">
        <f>IF(OR(ISNUMBER(SEARCH("화3",$H420)),ISNUMBER(SEARCH("화1.3",$H420)),ISNUMBER(SEARCH("화2.3",$H420)),ISNUMBER(SEARCH("화1.2.3",$H420))),1,"")</f>
        <v/>
      </c>
      <c r="O420" s="319">
        <f>IF(ISNUMBER(SEARCH("수1",$H420)),1,"")</f>
        <v/>
      </c>
      <c r="P420" s="319">
        <f>IF(OR(ISNUMBER(SEARCH("수2",$H420)),ISNUMBER(SEARCH("수1.2",$H420))),1,"")</f>
        <v/>
      </c>
      <c r="Q420" s="319">
        <f>IF(OR(ISNUMBER(SEARCH("수3",$H420)),ISNUMBER(SEARCH("수1.3",$H420)),ISNUMBER(SEARCH("수2.3",$H420)),ISNUMBER(SEARCH("수1.2.3",$H420))),1,"")</f>
        <v/>
      </c>
      <c r="R420" s="319">
        <f>IF(ISNUMBER(SEARCH("목1",$H420)),1,"")</f>
        <v/>
      </c>
      <c r="S420" s="319">
        <f>IF(OR(ISNUMBER(SEARCH("목2",$H420)),ISNUMBER(SEARCH("목1.2",$H420))),1,"")</f>
        <v/>
      </c>
      <c r="T420" s="319">
        <f>IF(OR(ISNUMBER(SEARCH("목3",$H420)),ISNUMBER(SEARCH("목1.3",$H420)),ISNUMBER(SEARCH("목2.3",$H420)),ISNUMBER(SEARCH("목1.2.3",$H420))),1,"")</f>
        <v/>
      </c>
      <c r="U420" s="319">
        <f>IF(ISNUMBER(SEARCH("금1",$H420)),1,"")</f>
        <v/>
      </c>
      <c r="V420" s="319">
        <f>IF(OR(ISNUMBER(SEARCH("금2",$H420)),ISNUMBER(SEARCH("금1.2",$H420))),1,"")</f>
        <v/>
      </c>
      <c r="W420" s="319">
        <f>IF(OR(ISNUMBER(SEARCH("금3",$H420)),ISNUMBER(SEARCH("금1.3",$H420)),ISNUMBER(SEARCH("금2.3",$H420)),ISNUMBER(SEARCH("금1.2.3",$H420))),1,"")</f>
        <v/>
      </c>
      <c r="X420" s="319">
        <f>IF(ISNUMBER(SEARCH("토1",$H420)),1,"")</f>
        <v/>
      </c>
      <c r="Y420" s="319">
        <f>IF(OR(ISNUMBER(SEARCH("토2",$H420)),ISNUMBER(SEARCH("토1.2",$H420))),1,"")</f>
        <v/>
      </c>
      <c r="Z420" s="319">
        <f>IF(OR(ISNUMBER(SEARCH("토3",$H420)),ISNUMBER(SEARCH("토1.3",$H420)),ISNUMBER(SEARCH("토2.3",$H420)),ISNUMBER(SEARCH("토1.2.3",$H420))),1,"")</f>
        <v/>
      </c>
      <c r="AA420" s="319">
        <f>IF(ISNUMBER(SEARCH("일1",$H420)),1,"")</f>
        <v/>
      </c>
      <c r="AB420" s="319">
        <f>IF(OR(ISNUMBER(SEARCH("일2",$H420)),ISNUMBER(SEARCH("일1.2",$H420))),1,"")</f>
        <v/>
      </c>
      <c r="AC420" s="319">
        <f>IF(OR(ISNUMBER(SEARCH("일3",$H420)),ISNUMBER(SEARCH("일1.3",$H420)),ISNUMBER(SEARCH("일2.3",$H420)),ISNUMBER(SEARCH("일1.2.3",$H420))),1,"")</f>
        <v/>
      </c>
      <c r="AD420" s="319">
        <f>SUM(I420:AC420)</f>
        <v/>
      </c>
      <c r="AE420" s="323" t="n"/>
    </row>
    <row r="421" ht="24" customHeight="1">
      <c r="A421" s="168" t="n"/>
      <c r="B421" s="319" t="n"/>
      <c r="C421" s="319" t="n"/>
      <c r="D421" s="319" t="n"/>
      <c r="E421" s="341" t="n"/>
      <c r="F421" s="341" t="n"/>
      <c r="G421" s="342" t="n"/>
      <c r="H421" s="322" t="n"/>
      <c r="I421" s="319">
        <f>IF(ISNUMBER(SEARCH("월1",$H421)),1,"")</f>
        <v/>
      </c>
      <c r="J421" s="319">
        <f>IF(OR(ISNUMBER(SEARCH("월2",$H421)),ISNUMBER(SEARCH("월1.2",$H421))),1,"")</f>
        <v/>
      </c>
      <c r="K421" s="319">
        <f>IF(OR(ISNUMBER(SEARCH("월3",$H421)),ISNUMBER(SEARCH("월1.3",$H421)),ISNUMBER(SEARCH("월2.3",$H421)),ISNUMBER(SEARCH("월1.2.3",$H421))),1,"")</f>
        <v/>
      </c>
      <c r="L421" s="319">
        <f>IF(ISNUMBER(SEARCH("화1",$H421)),1,"")</f>
        <v/>
      </c>
      <c r="M421" s="319">
        <f>IF(OR(ISNUMBER(SEARCH("화2",$H421)),ISNUMBER(SEARCH("화1.2",$H421))),1,"")</f>
        <v/>
      </c>
      <c r="N421" s="319">
        <f>IF(OR(ISNUMBER(SEARCH("화3",$H421)),ISNUMBER(SEARCH("화1.3",$H421)),ISNUMBER(SEARCH("화2.3",$H421)),ISNUMBER(SEARCH("화1.2.3",$H421))),1,"")</f>
        <v/>
      </c>
      <c r="O421" s="319">
        <f>IF(ISNUMBER(SEARCH("수1",$H421)),1,"")</f>
        <v/>
      </c>
      <c r="P421" s="319">
        <f>IF(OR(ISNUMBER(SEARCH("수2",$H421)),ISNUMBER(SEARCH("수1.2",$H421))),1,"")</f>
        <v/>
      </c>
      <c r="Q421" s="319">
        <f>IF(OR(ISNUMBER(SEARCH("수3",$H421)),ISNUMBER(SEARCH("수1.3",$H421)),ISNUMBER(SEARCH("수2.3",$H421)),ISNUMBER(SEARCH("수1.2.3",$H421))),1,"")</f>
        <v/>
      </c>
      <c r="R421" s="319">
        <f>IF(ISNUMBER(SEARCH("목1",$H421)),1,"")</f>
        <v/>
      </c>
      <c r="S421" s="319">
        <f>IF(OR(ISNUMBER(SEARCH("목2",$H421)),ISNUMBER(SEARCH("목1.2",$H421))),1,"")</f>
        <v/>
      </c>
      <c r="T421" s="319">
        <f>IF(OR(ISNUMBER(SEARCH("목3",$H421)),ISNUMBER(SEARCH("목1.3",$H421)),ISNUMBER(SEARCH("목2.3",$H421)),ISNUMBER(SEARCH("목1.2.3",$H421))),1,"")</f>
        <v/>
      </c>
      <c r="U421" s="319">
        <f>IF(ISNUMBER(SEARCH("금1",$H421)),1,"")</f>
        <v/>
      </c>
      <c r="V421" s="319">
        <f>IF(OR(ISNUMBER(SEARCH("금2",$H421)),ISNUMBER(SEARCH("금1.2",$H421))),1,"")</f>
        <v/>
      </c>
      <c r="W421" s="319">
        <f>IF(OR(ISNUMBER(SEARCH("금3",$H421)),ISNUMBER(SEARCH("금1.3",$H421)),ISNUMBER(SEARCH("금2.3",$H421)),ISNUMBER(SEARCH("금1.2.3",$H421))),1,"")</f>
        <v/>
      </c>
      <c r="X421" s="319">
        <f>IF(ISNUMBER(SEARCH("토1",$H421)),1,"")</f>
        <v/>
      </c>
      <c r="Y421" s="319">
        <f>IF(OR(ISNUMBER(SEARCH("토2",$H421)),ISNUMBER(SEARCH("토1.2",$H421))),1,"")</f>
        <v/>
      </c>
      <c r="Z421" s="319">
        <f>IF(OR(ISNUMBER(SEARCH("토3",$H421)),ISNUMBER(SEARCH("토1.3",$H421)),ISNUMBER(SEARCH("토2.3",$H421)),ISNUMBER(SEARCH("토1.2.3",$H421))),1,"")</f>
        <v/>
      </c>
      <c r="AA421" s="319">
        <f>IF(ISNUMBER(SEARCH("일1",$H421)),1,"")</f>
        <v/>
      </c>
      <c r="AB421" s="319">
        <f>IF(OR(ISNUMBER(SEARCH("일2",$H421)),ISNUMBER(SEARCH("일1.2",$H421))),1,"")</f>
        <v/>
      </c>
      <c r="AC421" s="319">
        <f>IF(OR(ISNUMBER(SEARCH("일3",$H421)),ISNUMBER(SEARCH("일1.3",$H421)),ISNUMBER(SEARCH("일2.3",$H421)),ISNUMBER(SEARCH("일1.2.3",$H421))),1,"")</f>
        <v/>
      </c>
      <c r="AD421" s="319">
        <f>SUM(I421:AC421)</f>
        <v/>
      </c>
      <c r="AE421" s="323" t="n"/>
    </row>
    <row r="422" ht="24" customHeight="1">
      <c r="A422" s="168" t="n"/>
      <c r="B422" s="319" t="n"/>
      <c r="C422" s="319" t="n"/>
      <c r="D422" s="319" t="n"/>
      <c r="E422" s="341" t="n"/>
      <c r="F422" s="341" t="n"/>
      <c r="G422" s="342" t="n"/>
      <c r="H422" s="322" t="n"/>
      <c r="I422" s="319">
        <f>IF(ISNUMBER(SEARCH("월1",$H422)),1,"")</f>
        <v/>
      </c>
      <c r="J422" s="319">
        <f>IF(OR(ISNUMBER(SEARCH("월2",$H422)),ISNUMBER(SEARCH("월1.2",$H422))),1,"")</f>
        <v/>
      </c>
      <c r="K422" s="319">
        <f>IF(OR(ISNUMBER(SEARCH("월3",$H422)),ISNUMBER(SEARCH("월1.3",$H422)),ISNUMBER(SEARCH("월2.3",$H422)),ISNUMBER(SEARCH("월1.2.3",$H422))),1,"")</f>
        <v/>
      </c>
      <c r="L422" s="319">
        <f>IF(ISNUMBER(SEARCH("화1",$H422)),1,"")</f>
        <v/>
      </c>
      <c r="M422" s="319">
        <f>IF(OR(ISNUMBER(SEARCH("화2",$H422)),ISNUMBER(SEARCH("화1.2",$H422))),1,"")</f>
        <v/>
      </c>
      <c r="N422" s="319">
        <f>IF(OR(ISNUMBER(SEARCH("화3",$H422)),ISNUMBER(SEARCH("화1.3",$H422)),ISNUMBER(SEARCH("화2.3",$H422)),ISNUMBER(SEARCH("화1.2.3",$H422))),1,"")</f>
        <v/>
      </c>
      <c r="O422" s="319">
        <f>IF(ISNUMBER(SEARCH("수1",$H422)),1,"")</f>
        <v/>
      </c>
      <c r="P422" s="319">
        <f>IF(OR(ISNUMBER(SEARCH("수2",$H422)),ISNUMBER(SEARCH("수1.2",$H422))),1,"")</f>
        <v/>
      </c>
      <c r="Q422" s="319">
        <f>IF(OR(ISNUMBER(SEARCH("수3",$H422)),ISNUMBER(SEARCH("수1.3",$H422)),ISNUMBER(SEARCH("수2.3",$H422)),ISNUMBER(SEARCH("수1.2.3",$H422))),1,"")</f>
        <v/>
      </c>
      <c r="R422" s="319">
        <f>IF(ISNUMBER(SEARCH("목1",$H422)),1,"")</f>
        <v/>
      </c>
      <c r="S422" s="319">
        <f>IF(OR(ISNUMBER(SEARCH("목2",$H422)),ISNUMBER(SEARCH("목1.2",$H422))),1,"")</f>
        <v/>
      </c>
      <c r="T422" s="319">
        <f>IF(OR(ISNUMBER(SEARCH("목3",$H422)),ISNUMBER(SEARCH("목1.3",$H422)),ISNUMBER(SEARCH("목2.3",$H422)),ISNUMBER(SEARCH("목1.2.3",$H422))),1,"")</f>
        <v/>
      </c>
      <c r="U422" s="319">
        <f>IF(ISNUMBER(SEARCH("금1",$H422)),1,"")</f>
        <v/>
      </c>
      <c r="V422" s="319">
        <f>IF(OR(ISNUMBER(SEARCH("금2",$H422)),ISNUMBER(SEARCH("금1.2",$H422))),1,"")</f>
        <v/>
      </c>
      <c r="W422" s="319">
        <f>IF(OR(ISNUMBER(SEARCH("금3",$H422)),ISNUMBER(SEARCH("금1.3",$H422)),ISNUMBER(SEARCH("금2.3",$H422)),ISNUMBER(SEARCH("금1.2.3",$H422))),1,"")</f>
        <v/>
      </c>
      <c r="X422" s="319">
        <f>IF(ISNUMBER(SEARCH("토1",$H422)),1,"")</f>
        <v/>
      </c>
      <c r="Y422" s="319">
        <f>IF(OR(ISNUMBER(SEARCH("토2",$H422)),ISNUMBER(SEARCH("토1.2",$H422))),1,"")</f>
        <v/>
      </c>
      <c r="Z422" s="319">
        <f>IF(OR(ISNUMBER(SEARCH("토3",$H422)),ISNUMBER(SEARCH("토1.3",$H422)),ISNUMBER(SEARCH("토2.3",$H422)),ISNUMBER(SEARCH("토1.2.3",$H422))),1,"")</f>
        <v/>
      </c>
      <c r="AA422" s="319">
        <f>IF(ISNUMBER(SEARCH("일1",$H422)),1,"")</f>
        <v/>
      </c>
      <c r="AB422" s="319">
        <f>IF(OR(ISNUMBER(SEARCH("일2",$H422)),ISNUMBER(SEARCH("일1.2",$H422))),1,"")</f>
        <v/>
      </c>
      <c r="AC422" s="319">
        <f>IF(OR(ISNUMBER(SEARCH("일3",$H422)),ISNUMBER(SEARCH("일1.3",$H422)),ISNUMBER(SEARCH("일2.3",$H422)),ISNUMBER(SEARCH("일1.2.3",$H422))),1,"")</f>
        <v/>
      </c>
      <c r="AD422" s="319">
        <f>SUM(I422:AC422)</f>
        <v/>
      </c>
      <c r="AE422" s="323" t="n"/>
    </row>
    <row r="423" ht="24" customHeight="1">
      <c r="A423" s="168" t="n"/>
      <c r="B423" s="319" t="n"/>
      <c r="C423" s="319" t="n"/>
      <c r="D423" s="319" t="n"/>
      <c r="E423" s="341" t="n"/>
      <c r="F423" s="341" t="n"/>
      <c r="G423" s="342" t="n"/>
      <c r="H423" s="322" t="n"/>
      <c r="I423" s="319">
        <f>IF(ISNUMBER(SEARCH("월1",$H423)),1,"")</f>
        <v/>
      </c>
      <c r="J423" s="319">
        <f>IF(OR(ISNUMBER(SEARCH("월2",$H423)),ISNUMBER(SEARCH("월1.2",$H423))),1,"")</f>
        <v/>
      </c>
      <c r="K423" s="319">
        <f>IF(OR(ISNUMBER(SEARCH("월3",$H423)),ISNUMBER(SEARCH("월1.3",$H423)),ISNUMBER(SEARCH("월2.3",$H423)),ISNUMBER(SEARCH("월1.2.3",$H423))),1,"")</f>
        <v/>
      </c>
      <c r="L423" s="319">
        <f>IF(ISNUMBER(SEARCH("화1",$H423)),1,"")</f>
        <v/>
      </c>
      <c r="M423" s="319">
        <f>IF(OR(ISNUMBER(SEARCH("화2",$H423)),ISNUMBER(SEARCH("화1.2",$H423))),1,"")</f>
        <v/>
      </c>
      <c r="N423" s="319">
        <f>IF(OR(ISNUMBER(SEARCH("화3",$H423)),ISNUMBER(SEARCH("화1.3",$H423)),ISNUMBER(SEARCH("화2.3",$H423)),ISNUMBER(SEARCH("화1.2.3",$H423))),1,"")</f>
        <v/>
      </c>
      <c r="O423" s="319">
        <f>IF(ISNUMBER(SEARCH("수1",$H423)),1,"")</f>
        <v/>
      </c>
      <c r="P423" s="319">
        <f>IF(OR(ISNUMBER(SEARCH("수2",$H423)),ISNUMBER(SEARCH("수1.2",$H423))),1,"")</f>
        <v/>
      </c>
      <c r="Q423" s="319">
        <f>IF(OR(ISNUMBER(SEARCH("수3",$H423)),ISNUMBER(SEARCH("수1.3",$H423)),ISNUMBER(SEARCH("수2.3",$H423)),ISNUMBER(SEARCH("수1.2.3",$H423))),1,"")</f>
        <v/>
      </c>
      <c r="R423" s="319">
        <f>IF(ISNUMBER(SEARCH("목1",$H423)),1,"")</f>
        <v/>
      </c>
      <c r="S423" s="319">
        <f>IF(OR(ISNUMBER(SEARCH("목2",$H423)),ISNUMBER(SEARCH("목1.2",$H423))),1,"")</f>
        <v/>
      </c>
      <c r="T423" s="319">
        <f>IF(OR(ISNUMBER(SEARCH("목3",$H423)),ISNUMBER(SEARCH("목1.3",$H423)),ISNUMBER(SEARCH("목2.3",$H423)),ISNUMBER(SEARCH("목1.2.3",$H423))),1,"")</f>
        <v/>
      </c>
      <c r="U423" s="319">
        <f>IF(ISNUMBER(SEARCH("금1",$H423)),1,"")</f>
        <v/>
      </c>
      <c r="V423" s="319">
        <f>IF(OR(ISNUMBER(SEARCH("금2",$H423)),ISNUMBER(SEARCH("금1.2",$H423))),1,"")</f>
        <v/>
      </c>
      <c r="W423" s="319">
        <f>IF(OR(ISNUMBER(SEARCH("금3",$H423)),ISNUMBER(SEARCH("금1.3",$H423)),ISNUMBER(SEARCH("금2.3",$H423)),ISNUMBER(SEARCH("금1.2.3",$H423))),1,"")</f>
        <v/>
      </c>
      <c r="X423" s="319">
        <f>IF(ISNUMBER(SEARCH("토1",$H423)),1,"")</f>
        <v/>
      </c>
      <c r="Y423" s="319">
        <f>IF(OR(ISNUMBER(SEARCH("토2",$H423)),ISNUMBER(SEARCH("토1.2",$H423))),1,"")</f>
        <v/>
      </c>
      <c r="Z423" s="319">
        <f>IF(OR(ISNUMBER(SEARCH("토3",$H423)),ISNUMBER(SEARCH("토1.3",$H423)),ISNUMBER(SEARCH("토2.3",$H423)),ISNUMBER(SEARCH("토1.2.3",$H423))),1,"")</f>
        <v/>
      </c>
      <c r="AA423" s="319">
        <f>IF(ISNUMBER(SEARCH("일1",$H423)),1,"")</f>
        <v/>
      </c>
      <c r="AB423" s="319">
        <f>IF(OR(ISNUMBER(SEARCH("일2",$H423)),ISNUMBER(SEARCH("일1.2",$H423))),1,"")</f>
        <v/>
      </c>
      <c r="AC423" s="319">
        <f>IF(OR(ISNUMBER(SEARCH("일3",$H423)),ISNUMBER(SEARCH("일1.3",$H423)),ISNUMBER(SEARCH("일2.3",$H423)),ISNUMBER(SEARCH("일1.2.3",$H423))),1,"")</f>
        <v/>
      </c>
      <c r="AD423" s="319">
        <f>SUM(I423:AC423)</f>
        <v/>
      </c>
      <c r="AE423" s="323" t="n"/>
    </row>
    <row r="424" ht="24" customHeight="1">
      <c r="A424" s="168" t="n"/>
      <c r="B424" s="319" t="n"/>
      <c r="C424" s="319" t="n"/>
      <c r="D424" s="319" t="n"/>
      <c r="E424" s="341" t="n"/>
      <c r="F424" s="341" t="n"/>
      <c r="G424" s="342" t="n"/>
      <c r="H424" s="322" t="n"/>
      <c r="I424" s="319">
        <f>IF(ISNUMBER(SEARCH("월1",$H424)),1,"")</f>
        <v/>
      </c>
      <c r="J424" s="319">
        <f>IF(OR(ISNUMBER(SEARCH("월2",$H424)),ISNUMBER(SEARCH("월1.2",$H424))),1,"")</f>
        <v/>
      </c>
      <c r="K424" s="319">
        <f>IF(OR(ISNUMBER(SEARCH("월3",$H424)),ISNUMBER(SEARCH("월1.3",$H424)),ISNUMBER(SEARCH("월2.3",$H424)),ISNUMBER(SEARCH("월1.2.3",$H424))),1,"")</f>
        <v/>
      </c>
      <c r="L424" s="319">
        <f>IF(ISNUMBER(SEARCH("화1",$H424)),1,"")</f>
        <v/>
      </c>
      <c r="M424" s="319">
        <f>IF(OR(ISNUMBER(SEARCH("화2",$H424)),ISNUMBER(SEARCH("화1.2",$H424))),1,"")</f>
        <v/>
      </c>
      <c r="N424" s="319">
        <f>IF(OR(ISNUMBER(SEARCH("화3",$H424)),ISNUMBER(SEARCH("화1.3",$H424)),ISNUMBER(SEARCH("화2.3",$H424)),ISNUMBER(SEARCH("화1.2.3",$H424))),1,"")</f>
        <v/>
      </c>
      <c r="O424" s="319">
        <f>IF(ISNUMBER(SEARCH("수1",$H424)),1,"")</f>
        <v/>
      </c>
      <c r="P424" s="319">
        <f>IF(OR(ISNUMBER(SEARCH("수2",$H424)),ISNUMBER(SEARCH("수1.2",$H424))),1,"")</f>
        <v/>
      </c>
      <c r="Q424" s="319">
        <f>IF(OR(ISNUMBER(SEARCH("수3",$H424)),ISNUMBER(SEARCH("수1.3",$H424)),ISNUMBER(SEARCH("수2.3",$H424)),ISNUMBER(SEARCH("수1.2.3",$H424))),1,"")</f>
        <v/>
      </c>
      <c r="R424" s="319">
        <f>IF(ISNUMBER(SEARCH("목1",$H424)),1,"")</f>
        <v/>
      </c>
      <c r="S424" s="319">
        <f>IF(OR(ISNUMBER(SEARCH("목2",$H424)),ISNUMBER(SEARCH("목1.2",$H424))),1,"")</f>
        <v/>
      </c>
      <c r="T424" s="319">
        <f>IF(OR(ISNUMBER(SEARCH("목3",$H424)),ISNUMBER(SEARCH("목1.3",$H424)),ISNUMBER(SEARCH("목2.3",$H424)),ISNUMBER(SEARCH("목1.2.3",$H424))),1,"")</f>
        <v/>
      </c>
      <c r="U424" s="319">
        <f>IF(ISNUMBER(SEARCH("금1",$H424)),1,"")</f>
        <v/>
      </c>
      <c r="V424" s="319">
        <f>IF(OR(ISNUMBER(SEARCH("금2",$H424)),ISNUMBER(SEARCH("금1.2",$H424))),1,"")</f>
        <v/>
      </c>
      <c r="W424" s="319">
        <f>IF(OR(ISNUMBER(SEARCH("금3",$H424)),ISNUMBER(SEARCH("금1.3",$H424)),ISNUMBER(SEARCH("금2.3",$H424)),ISNUMBER(SEARCH("금1.2.3",$H424))),1,"")</f>
        <v/>
      </c>
      <c r="X424" s="319">
        <f>IF(ISNUMBER(SEARCH("토1",$H424)),1,"")</f>
        <v/>
      </c>
      <c r="Y424" s="319">
        <f>IF(OR(ISNUMBER(SEARCH("토2",$H424)),ISNUMBER(SEARCH("토1.2",$H424))),1,"")</f>
        <v/>
      </c>
      <c r="Z424" s="319">
        <f>IF(OR(ISNUMBER(SEARCH("토3",$H424)),ISNUMBER(SEARCH("토1.3",$H424)),ISNUMBER(SEARCH("토2.3",$H424)),ISNUMBER(SEARCH("토1.2.3",$H424))),1,"")</f>
        <v/>
      </c>
      <c r="AA424" s="319">
        <f>IF(ISNUMBER(SEARCH("일1",$H424)),1,"")</f>
        <v/>
      </c>
      <c r="AB424" s="319">
        <f>IF(OR(ISNUMBER(SEARCH("일2",$H424)),ISNUMBER(SEARCH("일1.2",$H424))),1,"")</f>
        <v/>
      </c>
      <c r="AC424" s="319">
        <f>IF(OR(ISNUMBER(SEARCH("일3",$H424)),ISNUMBER(SEARCH("일1.3",$H424)),ISNUMBER(SEARCH("일2.3",$H424)),ISNUMBER(SEARCH("일1.2.3",$H424))),1,"")</f>
        <v/>
      </c>
      <c r="AD424" s="319">
        <f>SUM(I424:AC424)</f>
        <v/>
      </c>
      <c r="AE424" s="323" t="n"/>
    </row>
    <row r="425" ht="24" customHeight="1">
      <c r="A425" s="168" t="n"/>
      <c r="B425" s="319" t="n"/>
      <c r="C425" s="319" t="n"/>
      <c r="D425" s="319" t="n"/>
      <c r="E425" s="341" t="n"/>
      <c r="F425" s="341" t="n"/>
      <c r="G425" s="342" t="n"/>
      <c r="H425" s="322" t="n"/>
      <c r="I425" s="319">
        <f>IF(ISNUMBER(SEARCH("월1",$H425)),1,"")</f>
        <v/>
      </c>
      <c r="J425" s="319">
        <f>IF(OR(ISNUMBER(SEARCH("월2",$H425)),ISNUMBER(SEARCH("월1.2",$H425))),1,"")</f>
        <v/>
      </c>
      <c r="K425" s="319">
        <f>IF(OR(ISNUMBER(SEARCH("월3",$H425)),ISNUMBER(SEARCH("월1.3",$H425)),ISNUMBER(SEARCH("월2.3",$H425)),ISNUMBER(SEARCH("월1.2.3",$H425))),1,"")</f>
        <v/>
      </c>
      <c r="L425" s="319">
        <f>IF(ISNUMBER(SEARCH("화1",$H425)),1,"")</f>
        <v/>
      </c>
      <c r="M425" s="319">
        <f>IF(OR(ISNUMBER(SEARCH("화2",$H425)),ISNUMBER(SEARCH("화1.2",$H425))),1,"")</f>
        <v/>
      </c>
      <c r="N425" s="319">
        <f>IF(OR(ISNUMBER(SEARCH("화3",$H425)),ISNUMBER(SEARCH("화1.3",$H425)),ISNUMBER(SEARCH("화2.3",$H425)),ISNUMBER(SEARCH("화1.2.3",$H425))),1,"")</f>
        <v/>
      </c>
      <c r="O425" s="319">
        <f>IF(ISNUMBER(SEARCH("수1",$H425)),1,"")</f>
        <v/>
      </c>
      <c r="P425" s="319">
        <f>IF(OR(ISNUMBER(SEARCH("수2",$H425)),ISNUMBER(SEARCH("수1.2",$H425))),1,"")</f>
        <v/>
      </c>
      <c r="Q425" s="319">
        <f>IF(OR(ISNUMBER(SEARCH("수3",$H425)),ISNUMBER(SEARCH("수1.3",$H425)),ISNUMBER(SEARCH("수2.3",$H425)),ISNUMBER(SEARCH("수1.2.3",$H425))),1,"")</f>
        <v/>
      </c>
      <c r="R425" s="319">
        <f>IF(ISNUMBER(SEARCH("목1",$H425)),1,"")</f>
        <v/>
      </c>
      <c r="S425" s="319">
        <f>IF(OR(ISNUMBER(SEARCH("목2",$H425)),ISNUMBER(SEARCH("목1.2",$H425))),1,"")</f>
        <v/>
      </c>
      <c r="T425" s="319">
        <f>IF(OR(ISNUMBER(SEARCH("목3",$H425)),ISNUMBER(SEARCH("목1.3",$H425)),ISNUMBER(SEARCH("목2.3",$H425)),ISNUMBER(SEARCH("목1.2.3",$H425))),1,"")</f>
        <v/>
      </c>
      <c r="U425" s="319">
        <f>IF(ISNUMBER(SEARCH("금1",$H425)),1,"")</f>
        <v/>
      </c>
      <c r="V425" s="319">
        <f>IF(OR(ISNUMBER(SEARCH("금2",$H425)),ISNUMBER(SEARCH("금1.2",$H425))),1,"")</f>
        <v/>
      </c>
      <c r="W425" s="319">
        <f>IF(OR(ISNUMBER(SEARCH("금3",$H425)),ISNUMBER(SEARCH("금1.3",$H425)),ISNUMBER(SEARCH("금2.3",$H425)),ISNUMBER(SEARCH("금1.2.3",$H425))),1,"")</f>
        <v/>
      </c>
      <c r="X425" s="319">
        <f>IF(ISNUMBER(SEARCH("토1",$H425)),1,"")</f>
        <v/>
      </c>
      <c r="Y425" s="319">
        <f>IF(OR(ISNUMBER(SEARCH("토2",$H425)),ISNUMBER(SEARCH("토1.2",$H425))),1,"")</f>
        <v/>
      </c>
      <c r="Z425" s="319">
        <f>IF(OR(ISNUMBER(SEARCH("토3",$H425)),ISNUMBER(SEARCH("토1.3",$H425)),ISNUMBER(SEARCH("토2.3",$H425)),ISNUMBER(SEARCH("토1.2.3",$H425))),1,"")</f>
        <v/>
      </c>
      <c r="AA425" s="319">
        <f>IF(ISNUMBER(SEARCH("일1",$H425)),1,"")</f>
        <v/>
      </c>
      <c r="AB425" s="319">
        <f>IF(OR(ISNUMBER(SEARCH("일2",$H425)),ISNUMBER(SEARCH("일1.2",$H425))),1,"")</f>
        <v/>
      </c>
      <c r="AC425" s="319">
        <f>IF(OR(ISNUMBER(SEARCH("일3",$H425)),ISNUMBER(SEARCH("일1.3",$H425)),ISNUMBER(SEARCH("일2.3",$H425)),ISNUMBER(SEARCH("일1.2.3",$H425))),1,"")</f>
        <v/>
      </c>
      <c r="AD425" s="319">
        <f>SUM(I425:AC425)</f>
        <v/>
      </c>
      <c r="AE425" s="323" t="n"/>
    </row>
    <row r="426" ht="24" customHeight="1">
      <c r="A426" s="168" t="n"/>
      <c r="B426" s="319" t="n"/>
      <c r="C426" s="319" t="n"/>
      <c r="D426" s="319" t="n"/>
      <c r="E426" s="341" t="n"/>
      <c r="F426" s="341" t="n"/>
      <c r="G426" s="342" t="n"/>
      <c r="H426" s="322" t="n"/>
      <c r="I426" s="319">
        <f>IF(ISNUMBER(SEARCH("월1",$H426)),1,"")</f>
        <v/>
      </c>
      <c r="J426" s="319">
        <f>IF(OR(ISNUMBER(SEARCH("월2",$H426)),ISNUMBER(SEARCH("월1.2",$H426))),1,"")</f>
        <v/>
      </c>
      <c r="K426" s="319">
        <f>IF(OR(ISNUMBER(SEARCH("월3",$H426)),ISNUMBER(SEARCH("월1.3",$H426)),ISNUMBER(SEARCH("월2.3",$H426)),ISNUMBER(SEARCH("월1.2.3",$H426))),1,"")</f>
        <v/>
      </c>
      <c r="L426" s="319">
        <f>IF(ISNUMBER(SEARCH("화1",$H426)),1,"")</f>
        <v/>
      </c>
      <c r="M426" s="319">
        <f>IF(OR(ISNUMBER(SEARCH("화2",$H426)),ISNUMBER(SEARCH("화1.2",$H426))),1,"")</f>
        <v/>
      </c>
      <c r="N426" s="319">
        <f>IF(OR(ISNUMBER(SEARCH("화3",$H426)),ISNUMBER(SEARCH("화1.3",$H426)),ISNUMBER(SEARCH("화2.3",$H426)),ISNUMBER(SEARCH("화1.2.3",$H426))),1,"")</f>
        <v/>
      </c>
      <c r="O426" s="319">
        <f>IF(ISNUMBER(SEARCH("수1",$H426)),1,"")</f>
        <v/>
      </c>
      <c r="P426" s="319">
        <f>IF(OR(ISNUMBER(SEARCH("수2",$H426)),ISNUMBER(SEARCH("수1.2",$H426))),1,"")</f>
        <v/>
      </c>
      <c r="Q426" s="319">
        <f>IF(OR(ISNUMBER(SEARCH("수3",$H426)),ISNUMBER(SEARCH("수1.3",$H426)),ISNUMBER(SEARCH("수2.3",$H426)),ISNUMBER(SEARCH("수1.2.3",$H426))),1,"")</f>
        <v/>
      </c>
      <c r="R426" s="319">
        <f>IF(ISNUMBER(SEARCH("목1",$H426)),1,"")</f>
        <v/>
      </c>
      <c r="S426" s="319">
        <f>IF(OR(ISNUMBER(SEARCH("목2",$H426)),ISNUMBER(SEARCH("목1.2",$H426))),1,"")</f>
        <v/>
      </c>
      <c r="T426" s="319">
        <f>IF(OR(ISNUMBER(SEARCH("목3",$H426)),ISNUMBER(SEARCH("목1.3",$H426)),ISNUMBER(SEARCH("목2.3",$H426)),ISNUMBER(SEARCH("목1.2.3",$H426))),1,"")</f>
        <v/>
      </c>
      <c r="U426" s="319">
        <f>IF(ISNUMBER(SEARCH("금1",$H426)),1,"")</f>
        <v/>
      </c>
      <c r="V426" s="319">
        <f>IF(OR(ISNUMBER(SEARCH("금2",$H426)),ISNUMBER(SEARCH("금1.2",$H426))),1,"")</f>
        <v/>
      </c>
      <c r="W426" s="319">
        <f>IF(OR(ISNUMBER(SEARCH("금3",$H426)),ISNUMBER(SEARCH("금1.3",$H426)),ISNUMBER(SEARCH("금2.3",$H426)),ISNUMBER(SEARCH("금1.2.3",$H426))),1,"")</f>
        <v/>
      </c>
      <c r="X426" s="319">
        <f>IF(ISNUMBER(SEARCH("토1",$H426)),1,"")</f>
        <v/>
      </c>
      <c r="Y426" s="319">
        <f>IF(OR(ISNUMBER(SEARCH("토2",$H426)),ISNUMBER(SEARCH("토1.2",$H426))),1,"")</f>
        <v/>
      </c>
      <c r="Z426" s="319">
        <f>IF(OR(ISNUMBER(SEARCH("토3",$H426)),ISNUMBER(SEARCH("토1.3",$H426)),ISNUMBER(SEARCH("토2.3",$H426)),ISNUMBER(SEARCH("토1.2.3",$H426))),1,"")</f>
        <v/>
      </c>
      <c r="AA426" s="319">
        <f>IF(ISNUMBER(SEARCH("일1",$H426)),1,"")</f>
        <v/>
      </c>
      <c r="AB426" s="319">
        <f>IF(OR(ISNUMBER(SEARCH("일2",$H426)),ISNUMBER(SEARCH("일1.2",$H426))),1,"")</f>
        <v/>
      </c>
      <c r="AC426" s="319">
        <f>IF(OR(ISNUMBER(SEARCH("일3",$H426)),ISNUMBER(SEARCH("일1.3",$H426)),ISNUMBER(SEARCH("일2.3",$H426)),ISNUMBER(SEARCH("일1.2.3",$H426))),1,"")</f>
        <v/>
      </c>
      <c r="AD426" s="319">
        <f>SUM(I426:AC426)</f>
        <v/>
      </c>
      <c r="AE426" s="323" t="n"/>
    </row>
    <row r="427" ht="24" customHeight="1">
      <c r="A427" s="168" t="n"/>
      <c r="B427" s="319" t="n"/>
      <c r="C427" s="319" t="n"/>
      <c r="D427" s="319" t="n"/>
      <c r="E427" s="341" t="n"/>
      <c r="F427" s="341" t="n"/>
      <c r="G427" s="342" t="n"/>
      <c r="H427" s="322" t="n"/>
      <c r="I427" s="319">
        <f>IF(ISNUMBER(SEARCH("월1",$H427)),1,"")</f>
        <v/>
      </c>
      <c r="J427" s="319">
        <f>IF(OR(ISNUMBER(SEARCH("월2",$H427)),ISNUMBER(SEARCH("월1.2",$H427))),1,"")</f>
        <v/>
      </c>
      <c r="K427" s="319">
        <f>IF(OR(ISNUMBER(SEARCH("월3",$H427)),ISNUMBER(SEARCH("월1.3",$H427)),ISNUMBER(SEARCH("월2.3",$H427)),ISNUMBER(SEARCH("월1.2.3",$H427))),1,"")</f>
        <v/>
      </c>
      <c r="L427" s="319">
        <f>IF(ISNUMBER(SEARCH("화1",$H427)),1,"")</f>
        <v/>
      </c>
      <c r="M427" s="319">
        <f>IF(OR(ISNUMBER(SEARCH("화2",$H427)),ISNUMBER(SEARCH("화1.2",$H427))),1,"")</f>
        <v/>
      </c>
      <c r="N427" s="319">
        <f>IF(OR(ISNUMBER(SEARCH("화3",$H427)),ISNUMBER(SEARCH("화1.3",$H427)),ISNUMBER(SEARCH("화2.3",$H427)),ISNUMBER(SEARCH("화1.2.3",$H427))),1,"")</f>
        <v/>
      </c>
      <c r="O427" s="319">
        <f>IF(ISNUMBER(SEARCH("수1",$H427)),1,"")</f>
        <v/>
      </c>
      <c r="P427" s="319">
        <f>IF(OR(ISNUMBER(SEARCH("수2",$H427)),ISNUMBER(SEARCH("수1.2",$H427))),1,"")</f>
        <v/>
      </c>
      <c r="Q427" s="319">
        <f>IF(OR(ISNUMBER(SEARCH("수3",$H427)),ISNUMBER(SEARCH("수1.3",$H427)),ISNUMBER(SEARCH("수2.3",$H427)),ISNUMBER(SEARCH("수1.2.3",$H427))),1,"")</f>
        <v/>
      </c>
      <c r="R427" s="319">
        <f>IF(ISNUMBER(SEARCH("목1",$H427)),1,"")</f>
        <v/>
      </c>
      <c r="S427" s="319">
        <f>IF(OR(ISNUMBER(SEARCH("목2",$H427)),ISNUMBER(SEARCH("목1.2",$H427))),1,"")</f>
        <v/>
      </c>
      <c r="T427" s="319">
        <f>IF(OR(ISNUMBER(SEARCH("목3",$H427)),ISNUMBER(SEARCH("목1.3",$H427)),ISNUMBER(SEARCH("목2.3",$H427)),ISNUMBER(SEARCH("목1.2.3",$H427))),1,"")</f>
        <v/>
      </c>
      <c r="U427" s="319">
        <f>IF(ISNUMBER(SEARCH("금1",$H427)),1,"")</f>
        <v/>
      </c>
      <c r="V427" s="319">
        <f>IF(OR(ISNUMBER(SEARCH("금2",$H427)),ISNUMBER(SEARCH("금1.2",$H427))),1,"")</f>
        <v/>
      </c>
      <c r="W427" s="319">
        <f>IF(OR(ISNUMBER(SEARCH("금3",$H427)),ISNUMBER(SEARCH("금1.3",$H427)),ISNUMBER(SEARCH("금2.3",$H427)),ISNUMBER(SEARCH("금1.2.3",$H427))),1,"")</f>
        <v/>
      </c>
      <c r="X427" s="319">
        <f>IF(ISNUMBER(SEARCH("토1",$H427)),1,"")</f>
        <v/>
      </c>
      <c r="Y427" s="319">
        <f>IF(OR(ISNUMBER(SEARCH("토2",$H427)),ISNUMBER(SEARCH("토1.2",$H427))),1,"")</f>
        <v/>
      </c>
      <c r="Z427" s="319">
        <f>IF(OR(ISNUMBER(SEARCH("토3",$H427)),ISNUMBER(SEARCH("토1.3",$H427)),ISNUMBER(SEARCH("토2.3",$H427)),ISNUMBER(SEARCH("토1.2.3",$H427))),1,"")</f>
        <v/>
      </c>
      <c r="AA427" s="319">
        <f>IF(ISNUMBER(SEARCH("일1",$H427)),1,"")</f>
        <v/>
      </c>
      <c r="AB427" s="319">
        <f>IF(OR(ISNUMBER(SEARCH("일2",$H427)),ISNUMBER(SEARCH("일1.2",$H427))),1,"")</f>
        <v/>
      </c>
      <c r="AC427" s="319">
        <f>IF(OR(ISNUMBER(SEARCH("일3",$H427)),ISNUMBER(SEARCH("일1.3",$H427)),ISNUMBER(SEARCH("일2.3",$H427)),ISNUMBER(SEARCH("일1.2.3",$H427))),1,"")</f>
        <v/>
      </c>
      <c r="AD427" s="319">
        <f>SUM(I427:AC427)</f>
        <v/>
      </c>
      <c r="AE427" s="323" t="n"/>
    </row>
    <row r="428" ht="24" customHeight="1">
      <c r="A428" s="168" t="n"/>
      <c r="B428" s="319" t="n"/>
      <c r="C428" s="319" t="n"/>
      <c r="D428" s="319" t="n"/>
      <c r="E428" s="341" t="n"/>
      <c r="F428" s="341" t="n"/>
      <c r="G428" s="342" t="n"/>
      <c r="H428" s="322" t="n"/>
      <c r="I428" s="319">
        <f>IF(ISNUMBER(SEARCH("월1",$H428)),1,"")</f>
        <v/>
      </c>
      <c r="J428" s="319">
        <f>IF(OR(ISNUMBER(SEARCH("월2",$H428)),ISNUMBER(SEARCH("월1.2",$H428))),1,"")</f>
        <v/>
      </c>
      <c r="K428" s="319">
        <f>IF(OR(ISNUMBER(SEARCH("월3",$H428)),ISNUMBER(SEARCH("월1.3",$H428)),ISNUMBER(SEARCH("월2.3",$H428)),ISNUMBER(SEARCH("월1.2.3",$H428))),1,"")</f>
        <v/>
      </c>
      <c r="L428" s="319">
        <f>IF(ISNUMBER(SEARCH("화1",$H428)),1,"")</f>
        <v/>
      </c>
      <c r="M428" s="319">
        <f>IF(OR(ISNUMBER(SEARCH("화2",$H428)),ISNUMBER(SEARCH("화1.2",$H428))),1,"")</f>
        <v/>
      </c>
      <c r="N428" s="319">
        <f>IF(OR(ISNUMBER(SEARCH("화3",$H428)),ISNUMBER(SEARCH("화1.3",$H428)),ISNUMBER(SEARCH("화2.3",$H428)),ISNUMBER(SEARCH("화1.2.3",$H428))),1,"")</f>
        <v/>
      </c>
      <c r="O428" s="319">
        <f>IF(ISNUMBER(SEARCH("수1",$H428)),1,"")</f>
        <v/>
      </c>
      <c r="P428" s="319">
        <f>IF(OR(ISNUMBER(SEARCH("수2",$H428)),ISNUMBER(SEARCH("수1.2",$H428))),1,"")</f>
        <v/>
      </c>
      <c r="Q428" s="319">
        <f>IF(OR(ISNUMBER(SEARCH("수3",$H428)),ISNUMBER(SEARCH("수1.3",$H428)),ISNUMBER(SEARCH("수2.3",$H428)),ISNUMBER(SEARCH("수1.2.3",$H428))),1,"")</f>
        <v/>
      </c>
      <c r="R428" s="319">
        <f>IF(ISNUMBER(SEARCH("목1",$H428)),1,"")</f>
        <v/>
      </c>
      <c r="S428" s="319">
        <f>IF(OR(ISNUMBER(SEARCH("목2",$H428)),ISNUMBER(SEARCH("목1.2",$H428))),1,"")</f>
        <v/>
      </c>
      <c r="T428" s="319">
        <f>IF(OR(ISNUMBER(SEARCH("목3",$H428)),ISNUMBER(SEARCH("목1.3",$H428)),ISNUMBER(SEARCH("목2.3",$H428)),ISNUMBER(SEARCH("목1.2.3",$H428))),1,"")</f>
        <v/>
      </c>
      <c r="U428" s="319">
        <f>IF(ISNUMBER(SEARCH("금1",$H428)),1,"")</f>
        <v/>
      </c>
      <c r="V428" s="319">
        <f>IF(OR(ISNUMBER(SEARCH("금2",$H428)),ISNUMBER(SEARCH("금1.2",$H428))),1,"")</f>
        <v/>
      </c>
      <c r="W428" s="319">
        <f>IF(OR(ISNUMBER(SEARCH("금3",$H428)),ISNUMBER(SEARCH("금1.3",$H428)),ISNUMBER(SEARCH("금2.3",$H428)),ISNUMBER(SEARCH("금1.2.3",$H428))),1,"")</f>
        <v/>
      </c>
      <c r="X428" s="319">
        <f>IF(ISNUMBER(SEARCH("토1",$H428)),1,"")</f>
        <v/>
      </c>
      <c r="Y428" s="319">
        <f>IF(OR(ISNUMBER(SEARCH("토2",$H428)),ISNUMBER(SEARCH("토1.2",$H428))),1,"")</f>
        <v/>
      </c>
      <c r="Z428" s="319">
        <f>IF(OR(ISNUMBER(SEARCH("토3",$H428)),ISNUMBER(SEARCH("토1.3",$H428)),ISNUMBER(SEARCH("토2.3",$H428)),ISNUMBER(SEARCH("토1.2.3",$H428))),1,"")</f>
        <v/>
      </c>
      <c r="AA428" s="319">
        <f>IF(ISNUMBER(SEARCH("일1",$H428)),1,"")</f>
        <v/>
      </c>
      <c r="AB428" s="319">
        <f>IF(OR(ISNUMBER(SEARCH("일2",$H428)),ISNUMBER(SEARCH("일1.2",$H428))),1,"")</f>
        <v/>
      </c>
      <c r="AC428" s="319">
        <f>IF(OR(ISNUMBER(SEARCH("일3",$H428)),ISNUMBER(SEARCH("일1.3",$H428)),ISNUMBER(SEARCH("일2.3",$H428)),ISNUMBER(SEARCH("일1.2.3",$H428))),1,"")</f>
        <v/>
      </c>
      <c r="AD428" s="319">
        <f>SUM(I428:AC428)</f>
        <v/>
      </c>
      <c r="AE428" s="323" t="n"/>
    </row>
    <row r="429" ht="24" customHeight="1">
      <c r="A429" s="168" t="n"/>
      <c r="B429" s="319" t="n"/>
      <c r="C429" s="319" t="n"/>
      <c r="D429" s="319" t="n"/>
      <c r="E429" s="341" t="n"/>
      <c r="F429" s="341" t="n"/>
      <c r="G429" s="342" t="n"/>
      <c r="H429" s="322" t="n"/>
      <c r="I429" s="319">
        <f>IF(ISNUMBER(SEARCH("월1",$H429)),1,"")</f>
        <v/>
      </c>
      <c r="J429" s="319">
        <f>IF(OR(ISNUMBER(SEARCH("월2",$H429)),ISNUMBER(SEARCH("월1.2",$H429))),1,"")</f>
        <v/>
      </c>
      <c r="K429" s="319">
        <f>IF(OR(ISNUMBER(SEARCH("월3",$H429)),ISNUMBER(SEARCH("월1.3",$H429)),ISNUMBER(SEARCH("월2.3",$H429)),ISNUMBER(SEARCH("월1.2.3",$H429))),1,"")</f>
        <v/>
      </c>
      <c r="L429" s="319">
        <f>IF(ISNUMBER(SEARCH("화1",$H429)),1,"")</f>
        <v/>
      </c>
      <c r="M429" s="319">
        <f>IF(OR(ISNUMBER(SEARCH("화2",$H429)),ISNUMBER(SEARCH("화1.2",$H429))),1,"")</f>
        <v/>
      </c>
      <c r="N429" s="319">
        <f>IF(OR(ISNUMBER(SEARCH("화3",$H429)),ISNUMBER(SEARCH("화1.3",$H429)),ISNUMBER(SEARCH("화2.3",$H429)),ISNUMBER(SEARCH("화1.2.3",$H429))),1,"")</f>
        <v/>
      </c>
      <c r="O429" s="319">
        <f>IF(ISNUMBER(SEARCH("수1",$H429)),1,"")</f>
        <v/>
      </c>
      <c r="P429" s="319">
        <f>IF(OR(ISNUMBER(SEARCH("수2",$H429)),ISNUMBER(SEARCH("수1.2",$H429))),1,"")</f>
        <v/>
      </c>
      <c r="Q429" s="319">
        <f>IF(OR(ISNUMBER(SEARCH("수3",$H429)),ISNUMBER(SEARCH("수1.3",$H429)),ISNUMBER(SEARCH("수2.3",$H429)),ISNUMBER(SEARCH("수1.2.3",$H429))),1,"")</f>
        <v/>
      </c>
      <c r="R429" s="319">
        <f>IF(ISNUMBER(SEARCH("목1",$H429)),1,"")</f>
        <v/>
      </c>
      <c r="S429" s="319">
        <f>IF(OR(ISNUMBER(SEARCH("목2",$H429)),ISNUMBER(SEARCH("목1.2",$H429))),1,"")</f>
        <v/>
      </c>
      <c r="T429" s="319">
        <f>IF(OR(ISNUMBER(SEARCH("목3",$H429)),ISNUMBER(SEARCH("목1.3",$H429)),ISNUMBER(SEARCH("목2.3",$H429)),ISNUMBER(SEARCH("목1.2.3",$H429))),1,"")</f>
        <v/>
      </c>
      <c r="U429" s="319">
        <f>IF(ISNUMBER(SEARCH("금1",$H429)),1,"")</f>
        <v/>
      </c>
      <c r="V429" s="319">
        <f>IF(OR(ISNUMBER(SEARCH("금2",$H429)),ISNUMBER(SEARCH("금1.2",$H429))),1,"")</f>
        <v/>
      </c>
      <c r="W429" s="319">
        <f>IF(OR(ISNUMBER(SEARCH("금3",$H429)),ISNUMBER(SEARCH("금1.3",$H429)),ISNUMBER(SEARCH("금2.3",$H429)),ISNUMBER(SEARCH("금1.2.3",$H429))),1,"")</f>
        <v/>
      </c>
      <c r="X429" s="319">
        <f>IF(ISNUMBER(SEARCH("토1",$H429)),1,"")</f>
        <v/>
      </c>
      <c r="Y429" s="319">
        <f>IF(OR(ISNUMBER(SEARCH("토2",$H429)),ISNUMBER(SEARCH("토1.2",$H429))),1,"")</f>
        <v/>
      </c>
      <c r="Z429" s="319">
        <f>IF(OR(ISNUMBER(SEARCH("토3",$H429)),ISNUMBER(SEARCH("토1.3",$H429)),ISNUMBER(SEARCH("토2.3",$H429)),ISNUMBER(SEARCH("토1.2.3",$H429))),1,"")</f>
        <v/>
      </c>
      <c r="AA429" s="319">
        <f>IF(ISNUMBER(SEARCH("일1",$H429)),1,"")</f>
        <v/>
      </c>
      <c r="AB429" s="319">
        <f>IF(OR(ISNUMBER(SEARCH("일2",$H429)),ISNUMBER(SEARCH("일1.2",$H429))),1,"")</f>
        <v/>
      </c>
      <c r="AC429" s="319">
        <f>IF(OR(ISNUMBER(SEARCH("일3",$H429)),ISNUMBER(SEARCH("일1.3",$H429)),ISNUMBER(SEARCH("일2.3",$H429)),ISNUMBER(SEARCH("일1.2.3",$H429))),1,"")</f>
        <v/>
      </c>
      <c r="AD429" s="319">
        <f>SUM(I429:AC429)</f>
        <v/>
      </c>
      <c r="AE429" s="323" t="n"/>
    </row>
    <row r="430" ht="24" customHeight="1">
      <c r="A430" s="168" t="n"/>
      <c r="B430" s="319" t="n"/>
      <c r="C430" s="319" t="n"/>
      <c r="D430" s="319" t="n"/>
      <c r="E430" s="341" t="n"/>
      <c r="F430" s="341" t="n"/>
      <c r="G430" s="342" t="n"/>
      <c r="H430" s="322" t="n"/>
      <c r="I430" s="319">
        <f>IF(ISNUMBER(SEARCH("월1",$H430)),1,"")</f>
        <v/>
      </c>
      <c r="J430" s="319">
        <f>IF(OR(ISNUMBER(SEARCH("월2",$H430)),ISNUMBER(SEARCH("월1.2",$H430))),1,"")</f>
        <v/>
      </c>
      <c r="K430" s="319">
        <f>IF(OR(ISNUMBER(SEARCH("월3",$H430)),ISNUMBER(SEARCH("월1.3",$H430)),ISNUMBER(SEARCH("월2.3",$H430)),ISNUMBER(SEARCH("월1.2.3",$H430))),1,"")</f>
        <v/>
      </c>
      <c r="L430" s="319">
        <f>IF(ISNUMBER(SEARCH("화1",$H430)),1,"")</f>
        <v/>
      </c>
      <c r="M430" s="319">
        <f>IF(OR(ISNUMBER(SEARCH("화2",$H430)),ISNUMBER(SEARCH("화1.2",$H430))),1,"")</f>
        <v/>
      </c>
      <c r="N430" s="319">
        <f>IF(OR(ISNUMBER(SEARCH("화3",$H430)),ISNUMBER(SEARCH("화1.3",$H430)),ISNUMBER(SEARCH("화2.3",$H430)),ISNUMBER(SEARCH("화1.2.3",$H430))),1,"")</f>
        <v/>
      </c>
      <c r="O430" s="319">
        <f>IF(ISNUMBER(SEARCH("수1",$H430)),1,"")</f>
        <v/>
      </c>
      <c r="P430" s="319">
        <f>IF(OR(ISNUMBER(SEARCH("수2",$H430)),ISNUMBER(SEARCH("수1.2",$H430))),1,"")</f>
        <v/>
      </c>
      <c r="Q430" s="319">
        <f>IF(OR(ISNUMBER(SEARCH("수3",$H430)),ISNUMBER(SEARCH("수1.3",$H430)),ISNUMBER(SEARCH("수2.3",$H430)),ISNUMBER(SEARCH("수1.2.3",$H430))),1,"")</f>
        <v/>
      </c>
      <c r="R430" s="319">
        <f>IF(ISNUMBER(SEARCH("목1",$H430)),1,"")</f>
        <v/>
      </c>
      <c r="S430" s="319">
        <f>IF(OR(ISNUMBER(SEARCH("목2",$H430)),ISNUMBER(SEARCH("목1.2",$H430))),1,"")</f>
        <v/>
      </c>
      <c r="T430" s="319">
        <f>IF(OR(ISNUMBER(SEARCH("목3",$H430)),ISNUMBER(SEARCH("목1.3",$H430)),ISNUMBER(SEARCH("목2.3",$H430)),ISNUMBER(SEARCH("목1.2.3",$H430))),1,"")</f>
        <v/>
      </c>
      <c r="U430" s="319">
        <f>IF(ISNUMBER(SEARCH("금1",$H430)),1,"")</f>
        <v/>
      </c>
      <c r="V430" s="319">
        <f>IF(OR(ISNUMBER(SEARCH("금2",$H430)),ISNUMBER(SEARCH("금1.2",$H430))),1,"")</f>
        <v/>
      </c>
      <c r="W430" s="319">
        <f>IF(OR(ISNUMBER(SEARCH("금3",$H430)),ISNUMBER(SEARCH("금1.3",$H430)),ISNUMBER(SEARCH("금2.3",$H430)),ISNUMBER(SEARCH("금1.2.3",$H430))),1,"")</f>
        <v/>
      </c>
      <c r="X430" s="319">
        <f>IF(ISNUMBER(SEARCH("토1",$H430)),1,"")</f>
        <v/>
      </c>
      <c r="Y430" s="319">
        <f>IF(OR(ISNUMBER(SEARCH("토2",$H430)),ISNUMBER(SEARCH("토1.2",$H430))),1,"")</f>
        <v/>
      </c>
      <c r="Z430" s="319">
        <f>IF(OR(ISNUMBER(SEARCH("토3",$H430)),ISNUMBER(SEARCH("토1.3",$H430)),ISNUMBER(SEARCH("토2.3",$H430)),ISNUMBER(SEARCH("토1.2.3",$H430))),1,"")</f>
        <v/>
      </c>
      <c r="AA430" s="319">
        <f>IF(ISNUMBER(SEARCH("일1",$H430)),1,"")</f>
        <v/>
      </c>
      <c r="AB430" s="319">
        <f>IF(OR(ISNUMBER(SEARCH("일2",$H430)),ISNUMBER(SEARCH("일1.2",$H430))),1,"")</f>
        <v/>
      </c>
      <c r="AC430" s="319">
        <f>IF(OR(ISNUMBER(SEARCH("일3",$H430)),ISNUMBER(SEARCH("일1.3",$H430)),ISNUMBER(SEARCH("일2.3",$H430)),ISNUMBER(SEARCH("일1.2.3",$H430))),1,"")</f>
        <v/>
      </c>
      <c r="AD430" s="319">
        <f>SUM(I430:AC430)</f>
        <v/>
      </c>
      <c r="AE430" s="323" t="n"/>
    </row>
    <row r="431" ht="24" customHeight="1">
      <c r="A431" s="168" t="n"/>
      <c r="B431" s="319" t="n"/>
      <c r="C431" s="319" t="n"/>
      <c r="D431" s="319" t="n"/>
      <c r="E431" s="341" t="n"/>
      <c r="F431" s="341" t="n"/>
      <c r="G431" s="342" t="n"/>
      <c r="H431" s="322" t="n"/>
      <c r="I431" s="319">
        <f>IF(ISNUMBER(SEARCH("월1",$H431)),1,"")</f>
        <v/>
      </c>
      <c r="J431" s="319">
        <f>IF(OR(ISNUMBER(SEARCH("월2",$H431)),ISNUMBER(SEARCH("월1.2",$H431))),1,"")</f>
        <v/>
      </c>
      <c r="K431" s="319">
        <f>IF(OR(ISNUMBER(SEARCH("월3",$H431)),ISNUMBER(SEARCH("월1.3",$H431)),ISNUMBER(SEARCH("월2.3",$H431)),ISNUMBER(SEARCH("월1.2.3",$H431))),1,"")</f>
        <v/>
      </c>
      <c r="L431" s="319">
        <f>IF(ISNUMBER(SEARCH("화1",$H431)),1,"")</f>
        <v/>
      </c>
      <c r="M431" s="319">
        <f>IF(OR(ISNUMBER(SEARCH("화2",$H431)),ISNUMBER(SEARCH("화1.2",$H431))),1,"")</f>
        <v/>
      </c>
      <c r="N431" s="319">
        <f>IF(OR(ISNUMBER(SEARCH("화3",$H431)),ISNUMBER(SEARCH("화1.3",$H431)),ISNUMBER(SEARCH("화2.3",$H431)),ISNUMBER(SEARCH("화1.2.3",$H431))),1,"")</f>
        <v/>
      </c>
      <c r="O431" s="319">
        <f>IF(ISNUMBER(SEARCH("수1",$H431)),1,"")</f>
        <v/>
      </c>
      <c r="P431" s="319">
        <f>IF(OR(ISNUMBER(SEARCH("수2",$H431)),ISNUMBER(SEARCH("수1.2",$H431))),1,"")</f>
        <v/>
      </c>
      <c r="Q431" s="319">
        <f>IF(OR(ISNUMBER(SEARCH("수3",$H431)),ISNUMBER(SEARCH("수1.3",$H431)),ISNUMBER(SEARCH("수2.3",$H431)),ISNUMBER(SEARCH("수1.2.3",$H431))),1,"")</f>
        <v/>
      </c>
      <c r="R431" s="319">
        <f>IF(ISNUMBER(SEARCH("목1",$H431)),1,"")</f>
        <v/>
      </c>
      <c r="S431" s="319">
        <f>IF(OR(ISNUMBER(SEARCH("목2",$H431)),ISNUMBER(SEARCH("목1.2",$H431))),1,"")</f>
        <v/>
      </c>
      <c r="T431" s="319">
        <f>IF(OR(ISNUMBER(SEARCH("목3",$H431)),ISNUMBER(SEARCH("목1.3",$H431)),ISNUMBER(SEARCH("목2.3",$H431)),ISNUMBER(SEARCH("목1.2.3",$H431))),1,"")</f>
        <v/>
      </c>
      <c r="U431" s="319">
        <f>IF(ISNUMBER(SEARCH("금1",$H431)),1,"")</f>
        <v/>
      </c>
      <c r="V431" s="319">
        <f>IF(OR(ISNUMBER(SEARCH("금2",$H431)),ISNUMBER(SEARCH("금1.2",$H431))),1,"")</f>
        <v/>
      </c>
      <c r="W431" s="319">
        <f>IF(OR(ISNUMBER(SEARCH("금3",$H431)),ISNUMBER(SEARCH("금1.3",$H431)),ISNUMBER(SEARCH("금2.3",$H431)),ISNUMBER(SEARCH("금1.2.3",$H431))),1,"")</f>
        <v/>
      </c>
      <c r="X431" s="319">
        <f>IF(ISNUMBER(SEARCH("토1",$H431)),1,"")</f>
        <v/>
      </c>
      <c r="Y431" s="319">
        <f>IF(OR(ISNUMBER(SEARCH("토2",$H431)),ISNUMBER(SEARCH("토1.2",$H431))),1,"")</f>
        <v/>
      </c>
      <c r="Z431" s="319">
        <f>IF(OR(ISNUMBER(SEARCH("토3",$H431)),ISNUMBER(SEARCH("토1.3",$H431)),ISNUMBER(SEARCH("토2.3",$H431)),ISNUMBER(SEARCH("토1.2.3",$H431))),1,"")</f>
        <v/>
      </c>
      <c r="AA431" s="319">
        <f>IF(ISNUMBER(SEARCH("일1",$H431)),1,"")</f>
        <v/>
      </c>
      <c r="AB431" s="319">
        <f>IF(OR(ISNUMBER(SEARCH("일2",$H431)),ISNUMBER(SEARCH("일1.2",$H431))),1,"")</f>
        <v/>
      </c>
      <c r="AC431" s="319">
        <f>IF(OR(ISNUMBER(SEARCH("일3",$H431)),ISNUMBER(SEARCH("일1.3",$H431)),ISNUMBER(SEARCH("일2.3",$H431)),ISNUMBER(SEARCH("일1.2.3",$H431))),1,"")</f>
        <v/>
      </c>
      <c r="AD431" s="319">
        <f>SUM(I431:AC431)</f>
        <v/>
      </c>
      <c r="AE431" s="323" t="n"/>
    </row>
    <row r="432" ht="24" customHeight="1">
      <c r="A432" s="168" t="n"/>
      <c r="B432" s="319" t="n"/>
      <c r="C432" s="319" t="n"/>
      <c r="D432" s="319" t="n"/>
      <c r="E432" s="341" t="n"/>
      <c r="F432" s="341" t="n"/>
      <c r="G432" s="342" t="n"/>
      <c r="H432" s="322" t="n"/>
      <c r="I432" s="319">
        <f>IF(ISNUMBER(SEARCH("월1",$H432)),1,"")</f>
        <v/>
      </c>
      <c r="J432" s="319">
        <f>IF(OR(ISNUMBER(SEARCH("월2",$H432)),ISNUMBER(SEARCH("월1.2",$H432))),1,"")</f>
        <v/>
      </c>
      <c r="K432" s="319">
        <f>IF(OR(ISNUMBER(SEARCH("월3",$H432)),ISNUMBER(SEARCH("월1.3",$H432)),ISNUMBER(SEARCH("월2.3",$H432)),ISNUMBER(SEARCH("월1.2.3",$H432))),1,"")</f>
        <v/>
      </c>
      <c r="L432" s="319">
        <f>IF(ISNUMBER(SEARCH("화1",$H432)),1,"")</f>
        <v/>
      </c>
      <c r="M432" s="319">
        <f>IF(OR(ISNUMBER(SEARCH("화2",$H432)),ISNUMBER(SEARCH("화1.2",$H432))),1,"")</f>
        <v/>
      </c>
      <c r="N432" s="319">
        <f>IF(OR(ISNUMBER(SEARCH("화3",$H432)),ISNUMBER(SEARCH("화1.3",$H432)),ISNUMBER(SEARCH("화2.3",$H432)),ISNUMBER(SEARCH("화1.2.3",$H432))),1,"")</f>
        <v/>
      </c>
      <c r="O432" s="319">
        <f>IF(ISNUMBER(SEARCH("수1",$H432)),1,"")</f>
        <v/>
      </c>
      <c r="P432" s="319">
        <f>IF(OR(ISNUMBER(SEARCH("수2",$H432)),ISNUMBER(SEARCH("수1.2",$H432))),1,"")</f>
        <v/>
      </c>
      <c r="Q432" s="319">
        <f>IF(OR(ISNUMBER(SEARCH("수3",$H432)),ISNUMBER(SEARCH("수1.3",$H432)),ISNUMBER(SEARCH("수2.3",$H432)),ISNUMBER(SEARCH("수1.2.3",$H432))),1,"")</f>
        <v/>
      </c>
      <c r="R432" s="319">
        <f>IF(ISNUMBER(SEARCH("목1",$H432)),1,"")</f>
        <v/>
      </c>
      <c r="S432" s="319">
        <f>IF(OR(ISNUMBER(SEARCH("목2",$H432)),ISNUMBER(SEARCH("목1.2",$H432))),1,"")</f>
        <v/>
      </c>
      <c r="T432" s="319">
        <f>IF(OR(ISNUMBER(SEARCH("목3",$H432)),ISNUMBER(SEARCH("목1.3",$H432)),ISNUMBER(SEARCH("목2.3",$H432)),ISNUMBER(SEARCH("목1.2.3",$H432))),1,"")</f>
        <v/>
      </c>
      <c r="U432" s="319">
        <f>IF(ISNUMBER(SEARCH("금1",$H432)),1,"")</f>
        <v/>
      </c>
      <c r="V432" s="319">
        <f>IF(OR(ISNUMBER(SEARCH("금2",$H432)),ISNUMBER(SEARCH("금1.2",$H432))),1,"")</f>
        <v/>
      </c>
      <c r="W432" s="319">
        <f>IF(OR(ISNUMBER(SEARCH("금3",$H432)),ISNUMBER(SEARCH("금1.3",$H432)),ISNUMBER(SEARCH("금2.3",$H432)),ISNUMBER(SEARCH("금1.2.3",$H432))),1,"")</f>
        <v/>
      </c>
      <c r="X432" s="319">
        <f>IF(ISNUMBER(SEARCH("토1",$H432)),1,"")</f>
        <v/>
      </c>
      <c r="Y432" s="319">
        <f>IF(OR(ISNUMBER(SEARCH("토2",$H432)),ISNUMBER(SEARCH("토1.2",$H432))),1,"")</f>
        <v/>
      </c>
      <c r="Z432" s="319">
        <f>IF(OR(ISNUMBER(SEARCH("토3",$H432)),ISNUMBER(SEARCH("토1.3",$H432)),ISNUMBER(SEARCH("토2.3",$H432)),ISNUMBER(SEARCH("토1.2.3",$H432))),1,"")</f>
        <v/>
      </c>
      <c r="AA432" s="319">
        <f>IF(ISNUMBER(SEARCH("일1",$H432)),1,"")</f>
        <v/>
      </c>
      <c r="AB432" s="319">
        <f>IF(OR(ISNUMBER(SEARCH("일2",$H432)),ISNUMBER(SEARCH("일1.2",$H432))),1,"")</f>
        <v/>
      </c>
      <c r="AC432" s="319">
        <f>IF(OR(ISNUMBER(SEARCH("일3",$H432)),ISNUMBER(SEARCH("일1.3",$H432)),ISNUMBER(SEARCH("일2.3",$H432)),ISNUMBER(SEARCH("일1.2.3",$H432))),1,"")</f>
        <v/>
      </c>
      <c r="AD432" s="319">
        <f>SUM(I432:AC432)</f>
        <v/>
      </c>
      <c r="AE432" s="323" t="n"/>
    </row>
    <row r="433" ht="24" customHeight="1">
      <c r="A433" s="168" t="n"/>
      <c r="B433" s="319" t="n"/>
      <c r="C433" s="319" t="n"/>
      <c r="D433" s="319" t="n"/>
      <c r="E433" s="341" t="n"/>
      <c r="F433" s="341" t="n"/>
      <c r="G433" s="342" t="n"/>
      <c r="H433" s="322" t="n"/>
      <c r="I433" s="319">
        <f>IF(ISNUMBER(SEARCH("월1",$H433)),1,"")</f>
        <v/>
      </c>
      <c r="J433" s="319">
        <f>IF(OR(ISNUMBER(SEARCH("월2",$H433)),ISNUMBER(SEARCH("월1.2",$H433))),1,"")</f>
        <v/>
      </c>
      <c r="K433" s="319">
        <f>IF(OR(ISNUMBER(SEARCH("월3",$H433)),ISNUMBER(SEARCH("월1.3",$H433)),ISNUMBER(SEARCH("월2.3",$H433)),ISNUMBER(SEARCH("월1.2.3",$H433))),1,"")</f>
        <v/>
      </c>
      <c r="L433" s="319">
        <f>IF(ISNUMBER(SEARCH("화1",$H433)),1,"")</f>
        <v/>
      </c>
      <c r="M433" s="319">
        <f>IF(OR(ISNUMBER(SEARCH("화2",$H433)),ISNUMBER(SEARCH("화1.2",$H433))),1,"")</f>
        <v/>
      </c>
      <c r="N433" s="319">
        <f>IF(OR(ISNUMBER(SEARCH("화3",$H433)),ISNUMBER(SEARCH("화1.3",$H433)),ISNUMBER(SEARCH("화2.3",$H433)),ISNUMBER(SEARCH("화1.2.3",$H433))),1,"")</f>
        <v/>
      </c>
      <c r="O433" s="319">
        <f>IF(ISNUMBER(SEARCH("수1",$H433)),1,"")</f>
        <v/>
      </c>
      <c r="P433" s="319">
        <f>IF(OR(ISNUMBER(SEARCH("수2",$H433)),ISNUMBER(SEARCH("수1.2",$H433))),1,"")</f>
        <v/>
      </c>
      <c r="Q433" s="319">
        <f>IF(OR(ISNUMBER(SEARCH("수3",$H433)),ISNUMBER(SEARCH("수1.3",$H433)),ISNUMBER(SEARCH("수2.3",$H433)),ISNUMBER(SEARCH("수1.2.3",$H433))),1,"")</f>
        <v/>
      </c>
      <c r="R433" s="319">
        <f>IF(ISNUMBER(SEARCH("목1",$H433)),1,"")</f>
        <v/>
      </c>
      <c r="S433" s="319">
        <f>IF(OR(ISNUMBER(SEARCH("목2",$H433)),ISNUMBER(SEARCH("목1.2",$H433))),1,"")</f>
        <v/>
      </c>
      <c r="T433" s="319">
        <f>IF(OR(ISNUMBER(SEARCH("목3",$H433)),ISNUMBER(SEARCH("목1.3",$H433)),ISNUMBER(SEARCH("목2.3",$H433)),ISNUMBER(SEARCH("목1.2.3",$H433))),1,"")</f>
        <v/>
      </c>
      <c r="U433" s="319">
        <f>IF(ISNUMBER(SEARCH("금1",$H433)),1,"")</f>
        <v/>
      </c>
      <c r="V433" s="319">
        <f>IF(OR(ISNUMBER(SEARCH("금2",$H433)),ISNUMBER(SEARCH("금1.2",$H433))),1,"")</f>
        <v/>
      </c>
      <c r="W433" s="319">
        <f>IF(OR(ISNUMBER(SEARCH("금3",$H433)),ISNUMBER(SEARCH("금1.3",$H433)),ISNUMBER(SEARCH("금2.3",$H433)),ISNUMBER(SEARCH("금1.2.3",$H433))),1,"")</f>
        <v/>
      </c>
      <c r="X433" s="319">
        <f>IF(ISNUMBER(SEARCH("토1",$H433)),1,"")</f>
        <v/>
      </c>
      <c r="Y433" s="319">
        <f>IF(OR(ISNUMBER(SEARCH("토2",$H433)),ISNUMBER(SEARCH("토1.2",$H433))),1,"")</f>
        <v/>
      </c>
      <c r="Z433" s="319">
        <f>IF(OR(ISNUMBER(SEARCH("토3",$H433)),ISNUMBER(SEARCH("토1.3",$H433)),ISNUMBER(SEARCH("토2.3",$H433)),ISNUMBER(SEARCH("토1.2.3",$H433))),1,"")</f>
        <v/>
      </c>
      <c r="AA433" s="319">
        <f>IF(ISNUMBER(SEARCH("일1",$H433)),1,"")</f>
        <v/>
      </c>
      <c r="AB433" s="319">
        <f>IF(OR(ISNUMBER(SEARCH("일2",$H433)),ISNUMBER(SEARCH("일1.2",$H433))),1,"")</f>
        <v/>
      </c>
      <c r="AC433" s="319">
        <f>IF(OR(ISNUMBER(SEARCH("일3",$H433)),ISNUMBER(SEARCH("일1.3",$H433)),ISNUMBER(SEARCH("일2.3",$H433)),ISNUMBER(SEARCH("일1.2.3",$H433))),1,"")</f>
        <v/>
      </c>
      <c r="AD433" s="319">
        <f>SUM(I433:AC433)</f>
        <v/>
      </c>
      <c r="AE433" s="323" t="n"/>
    </row>
    <row r="434" ht="24" customHeight="1">
      <c r="A434" s="168" t="n"/>
      <c r="B434" s="319" t="n"/>
      <c r="C434" s="319" t="n"/>
      <c r="D434" s="319" t="n"/>
      <c r="E434" s="341" t="n"/>
      <c r="F434" s="341" t="n"/>
      <c r="G434" s="342" t="n"/>
      <c r="H434" s="322" t="n"/>
      <c r="I434" s="319">
        <f>IF(ISNUMBER(SEARCH("월1",$H434)),1,"")</f>
        <v/>
      </c>
      <c r="J434" s="319">
        <f>IF(OR(ISNUMBER(SEARCH("월2",$H434)),ISNUMBER(SEARCH("월1.2",$H434))),1,"")</f>
        <v/>
      </c>
      <c r="K434" s="319">
        <f>IF(OR(ISNUMBER(SEARCH("월3",$H434)),ISNUMBER(SEARCH("월1.3",$H434)),ISNUMBER(SEARCH("월2.3",$H434)),ISNUMBER(SEARCH("월1.2.3",$H434))),1,"")</f>
        <v/>
      </c>
      <c r="L434" s="319">
        <f>IF(ISNUMBER(SEARCH("화1",$H434)),1,"")</f>
        <v/>
      </c>
      <c r="M434" s="319">
        <f>IF(OR(ISNUMBER(SEARCH("화2",$H434)),ISNUMBER(SEARCH("화1.2",$H434))),1,"")</f>
        <v/>
      </c>
      <c r="N434" s="319">
        <f>IF(OR(ISNUMBER(SEARCH("화3",$H434)),ISNUMBER(SEARCH("화1.3",$H434)),ISNUMBER(SEARCH("화2.3",$H434)),ISNUMBER(SEARCH("화1.2.3",$H434))),1,"")</f>
        <v/>
      </c>
      <c r="O434" s="319">
        <f>IF(ISNUMBER(SEARCH("수1",$H434)),1,"")</f>
        <v/>
      </c>
      <c r="P434" s="319">
        <f>IF(OR(ISNUMBER(SEARCH("수2",$H434)),ISNUMBER(SEARCH("수1.2",$H434))),1,"")</f>
        <v/>
      </c>
      <c r="Q434" s="319">
        <f>IF(OR(ISNUMBER(SEARCH("수3",$H434)),ISNUMBER(SEARCH("수1.3",$H434)),ISNUMBER(SEARCH("수2.3",$H434)),ISNUMBER(SEARCH("수1.2.3",$H434))),1,"")</f>
        <v/>
      </c>
      <c r="R434" s="319">
        <f>IF(ISNUMBER(SEARCH("목1",$H434)),1,"")</f>
        <v/>
      </c>
      <c r="S434" s="319">
        <f>IF(OR(ISNUMBER(SEARCH("목2",$H434)),ISNUMBER(SEARCH("목1.2",$H434))),1,"")</f>
        <v/>
      </c>
      <c r="T434" s="319">
        <f>IF(OR(ISNUMBER(SEARCH("목3",$H434)),ISNUMBER(SEARCH("목1.3",$H434)),ISNUMBER(SEARCH("목2.3",$H434)),ISNUMBER(SEARCH("목1.2.3",$H434))),1,"")</f>
        <v/>
      </c>
      <c r="U434" s="319">
        <f>IF(ISNUMBER(SEARCH("금1",$H434)),1,"")</f>
        <v/>
      </c>
      <c r="V434" s="319">
        <f>IF(OR(ISNUMBER(SEARCH("금2",$H434)),ISNUMBER(SEARCH("금1.2",$H434))),1,"")</f>
        <v/>
      </c>
      <c r="W434" s="319">
        <f>IF(OR(ISNUMBER(SEARCH("금3",$H434)),ISNUMBER(SEARCH("금1.3",$H434)),ISNUMBER(SEARCH("금2.3",$H434)),ISNUMBER(SEARCH("금1.2.3",$H434))),1,"")</f>
        <v/>
      </c>
      <c r="X434" s="319">
        <f>IF(ISNUMBER(SEARCH("토1",$H434)),1,"")</f>
        <v/>
      </c>
      <c r="Y434" s="319">
        <f>IF(OR(ISNUMBER(SEARCH("토2",$H434)),ISNUMBER(SEARCH("토1.2",$H434))),1,"")</f>
        <v/>
      </c>
      <c r="Z434" s="319">
        <f>IF(OR(ISNUMBER(SEARCH("토3",$H434)),ISNUMBER(SEARCH("토1.3",$H434)),ISNUMBER(SEARCH("토2.3",$H434)),ISNUMBER(SEARCH("토1.2.3",$H434))),1,"")</f>
        <v/>
      </c>
      <c r="AA434" s="319">
        <f>IF(ISNUMBER(SEARCH("일1",$H434)),1,"")</f>
        <v/>
      </c>
      <c r="AB434" s="319">
        <f>IF(OR(ISNUMBER(SEARCH("일2",$H434)),ISNUMBER(SEARCH("일1.2",$H434))),1,"")</f>
        <v/>
      </c>
      <c r="AC434" s="319">
        <f>IF(OR(ISNUMBER(SEARCH("일3",$H434)),ISNUMBER(SEARCH("일1.3",$H434)),ISNUMBER(SEARCH("일2.3",$H434)),ISNUMBER(SEARCH("일1.2.3",$H434))),1,"")</f>
        <v/>
      </c>
      <c r="AD434" s="319">
        <f>SUM(I434:AC434)</f>
        <v/>
      </c>
      <c r="AE434" s="323" t="n"/>
    </row>
    <row r="435" ht="24" customHeight="1">
      <c r="A435" s="168" t="n"/>
      <c r="B435" s="319" t="n"/>
      <c r="C435" s="319" t="n"/>
      <c r="D435" s="319" t="n"/>
      <c r="E435" s="341" t="n"/>
      <c r="F435" s="341" t="n"/>
      <c r="G435" s="342" t="n"/>
      <c r="H435" s="322" t="n"/>
      <c r="I435" s="319">
        <f>IF(ISNUMBER(SEARCH("월1",$H435)),1,"")</f>
        <v/>
      </c>
      <c r="J435" s="319">
        <f>IF(OR(ISNUMBER(SEARCH("월2",$H435)),ISNUMBER(SEARCH("월1.2",$H435))),1,"")</f>
        <v/>
      </c>
      <c r="K435" s="319">
        <f>IF(OR(ISNUMBER(SEARCH("월3",$H435)),ISNUMBER(SEARCH("월1.3",$H435)),ISNUMBER(SEARCH("월2.3",$H435)),ISNUMBER(SEARCH("월1.2.3",$H435))),1,"")</f>
        <v/>
      </c>
      <c r="L435" s="319">
        <f>IF(ISNUMBER(SEARCH("화1",$H435)),1,"")</f>
        <v/>
      </c>
      <c r="M435" s="319">
        <f>IF(OR(ISNUMBER(SEARCH("화2",$H435)),ISNUMBER(SEARCH("화1.2",$H435))),1,"")</f>
        <v/>
      </c>
      <c r="N435" s="319">
        <f>IF(OR(ISNUMBER(SEARCH("화3",$H435)),ISNUMBER(SEARCH("화1.3",$H435)),ISNUMBER(SEARCH("화2.3",$H435)),ISNUMBER(SEARCH("화1.2.3",$H435))),1,"")</f>
        <v/>
      </c>
      <c r="O435" s="319">
        <f>IF(ISNUMBER(SEARCH("수1",$H435)),1,"")</f>
        <v/>
      </c>
      <c r="P435" s="319">
        <f>IF(OR(ISNUMBER(SEARCH("수2",$H435)),ISNUMBER(SEARCH("수1.2",$H435))),1,"")</f>
        <v/>
      </c>
      <c r="Q435" s="319">
        <f>IF(OR(ISNUMBER(SEARCH("수3",$H435)),ISNUMBER(SEARCH("수1.3",$H435)),ISNUMBER(SEARCH("수2.3",$H435)),ISNUMBER(SEARCH("수1.2.3",$H435))),1,"")</f>
        <v/>
      </c>
      <c r="R435" s="319">
        <f>IF(ISNUMBER(SEARCH("목1",$H435)),1,"")</f>
        <v/>
      </c>
      <c r="S435" s="319">
        <f>IF(OR(ISNUMBER(SEARCH("목2",$H435)),ISNUMBER(SEARCH("목1.2",$H435))),1,"")</f>
        <v/>
      </c>
      <c r="T435" s="319">
        <f>IF(OR(ISNUMBER(SEARCH("목3",$H435)),ISNUMBER(SEARCH("목1.3",$H435)),ISNUMBER(SEARCH("목2.3",$H435)),ISNUMBER(SEARCH("목1.2.3",$H435))),1,"")</f>
        <v/>
      </c>
      <c r="U435" s="319">
        <f>IF(ISNUMBER(SEARCH("금1",$H435)),1,"")</f>
        <v/>
      </c>
      <c r="V435" s="319">
        <f>IF(OR(ISNUMBER(SEARCH("금2",$H435)),ISNUMBER(SEARCH("금1.2",$H435))),1,"")</f>
        <v/>
      </c>
      <c r="W435" s="319">
        <f>IF(OR(ISNUMBER(SEARCH("금3",$H435)),ISNUMBER(SEARCH("금1.3",$H435)),ISNUMBER(SEARCH("금2.3",$H435)),ISNUMBER(SEARCH("금1.2.3",$H435))),1,"")</f>
        <v/>
      </c>
      <c r="X435" s="319">
        <f>IF(ISNUMBER(SEARCH("토1",$H435)),1,"")</f>
        <v/>
      </c>
      <c r="Y435" s="319">
        <f>IF(OR(ISNUMBER(SEARCH("토2",$H435)),ISNUMBER(SEARCH("토1.2",$H435))),1,"")</f>
        <v/>
      </c>
      <c r="Z435" s="319">
        <f>IF(OR(ISNUMBER(SEARCH("토3",$H435)),ISNUMBER(SEARCH("토1.3",$H435)),ISNUMBER(SEARCH("토2.3",$H435)),ISNUMBER(SEARCH("토1.2.3",$H435))),1,"")</f>
        <v/>
      </c>
      <c r="AA435" s="319">
        <f>IF(ISNUMBER(SEARCH("일1",$H435)),1,"")</f>
        <v/>
      </c>
      <c r="AB435" s="319">
        <f>IF(OR(ISNUMBER(SEARCH("일2",$H435)),ISNUMBER(SEARCH("일1.2",$H435))),1,"")</f>
        <v/>
      </c>
      <c r="AC435" s="319">
        <f>IF(OR(ISNUMBER(SEARCH("일3",$H435)),ISNUMBER(SEARCH("일1.3",$H435)),ISNUMBER(SEARCH("일2.3",$H435)),ISNUMBER(SEARCH("일1.2.3",$H435))),1,"")</f>
        <v/>
      </c>
      <c r="AD435" s="319">
        <f>SUM(I435:AC435)</f>
        <v/>
      </c>
      <c r="AE435" s="323" t="n"/>
    </row>
    <row r="436" ht="24" customHeight="1">
      <c r="A436" s="168" t="n"/>
      <c r="B436" s="319" t="n"/>
      <c r="C436" s="319" t="n"/>
      <c r="D436" s="319" t="n"/>
      <c r="E436" s="341" t="n"/>
      <c r="F436" s="341" t="n"/>
      <c r="G436" s="342" t="n"/>
      <c r="H436" s="322" t="n"/>
      <c r="I436" s="319">
        <f>IF(ISNUMBER(SEARCH("월1",$H436)),1,"")</f>
        <v/>
      </c>
      <c r="J436" s="319">
        <f>IF(OR(ISNUMBER(SEARCH("월2",$H436)),ISNUMBER(SEARCH("월1.2",$H436))),1,"")</f>
        <v/>
      </c>
      <c r="K436" s="319">
        <f>IF(OR(ISNUMBER(SEARCH("월3",$H436)),ISNUMBER(SEARCH("월1.3",$H436)),ISNUMBER(SEARCH("월2.3",$H436)),ISNUMBER(SEARCH("월1.2.3",$H436))),1,"")</f>
        <v/>
      </c>
      <c r="L436" s="319">
        <f>IF(ISNUMBER(SEARCH("화1",$H436)),1,"")</f>
        <v/>
      </c>
      <c r="M436" s="319">
        <f>IF(OR(ISNUMBER(SEARCH("화2",$H436)),ISNUMBER(SEARCH("화1.2",$H436))),1,"")</f>
        <v/>
      </c>
      <c r="N436" s="319">
        <f>IF(OR(ISNUMBER(SEARCH("화3",$H436)),ISNUMBER(SEARCH("화1.3",$H436)),ISNUMBER(SEARCH("화2.3",$H436)),ISNUMBER(SEARCH("화1.2.3",$H436))),1,"")</f>
        <v/>
      </c>
      <c r="O436" s="319">
        <f>IF(ISNUMBER(SEARCH("수1",$H436)),1,"")</f>
        <v/>
      </c>
      <c r="P436" s="319">
        <f>IF(OR(ISNUMBER(SEARCH("수2",$H436)),ISNUMBER(SEARCH("수1.2",$H436))),1,"")</f>
        <v/>
      </c>
      <c r="Q436" s="319">
        <f>IF(OR(ISNUMBER(SEARCH("수3",$H436)),ISNUMBER(SEARCH("수1.3",$H436)),ISNUMBER(SEARCH("수2.3",$H436)),ISNUMBER(SEARCH("수1.2.3",$H436))),1,"")</f>
        <v/>
      </c>
      <c r="R436" s="319">
        <f>IF(ISNUMBER(SEARCH("목1",$H436)),1,"")</f>
        <v/>
      </c>
      <c r="S436" s="319">
        <f>IF(OR(ISNUMBER(SEARCH("목2",$H436)),ISNUMBER(SEARCH("목1.2",$H436))),1,"")</f>
        <v/>
      </c>
      <c r="T436" s="319">
        <f>IF(OR(ISNUMBER(SEARCH("목3",$H436)),ISNUMBER(SEARCH("목1.3",$H436)),ISNUMBER(SEARCH("목2.3",$H436)),ISNUMBER(SEARCH("목1.2.3",$H436))),1,"")</f>
        <v/>
      </c>
      <c r="U436" s="319">
        <f>IF(ISNUMBER(SEARCH("금1",$H436)),1,"")</f>
        <v/>
      </c>
      <c r="V436" s="319">
        <f>IF(OR(ISNUMBER(SEARCH("금2",$H436)),ISNUMBER(SEARCH("금1.2",$H436))),1,"")</f>
        <v/>
      </c>
      <c r="W436" s="319">
        <f>IF(OR(ISNUMBER(SEARCH("금3",$H436)),ISNUMBER(SEARCH("금1.3",$H436)),ISNUMBER(SEARCH("금2.3",$H436)),ISNUMBER(SEARCH("금1.2.3",$H436))),1,"")</f>
        <v/>
      </c>
      <c r="X436" s="319">
        <f>IF(ISNUMBER(SEARCH("토1",$H436)),1,"")</f>
        <v/>
      </c>
      <c r="Y436" s="319">
        <f>IF(OR(ISNUMBER(SEARCH("토2",$H436)),ISNUMBER(SEARCH("토1.2",$H436))),1,"")</f>
        <v/>
      </c>
      <c r="Z436" s="319">
        <f>IF(OR(ISNUMBER(SEARCH("토3",$H436)),ISNUMBER(SEARCH("토1.3",$H436)),ISNUMBER(SEARCH("토2.3",$H436)),ISNUMBER(SEARCH("토1.2.3",$H436))),1,"")</f>
        <v/>
      </c>
      <c r="AA436" s="319">
        <f>IF(ISNUMBER(SEARCH("일1",$H436)),1,"")</f>
        <v/>
      </c>
      <c r="AB436" s="319">
        <f>IF(OR(ISNUMBER(SEARCH("일2",$H436)),ISNUMBER(SEARCH("일1.2",$H436))),1,"")</f>
        <v/>
      </c>
      <c r="AC436" s="319">
        <f>IF(OR(ISNUMBER(SEARCH("일3",$H436)),ISNUMBER(SEARCH("일1.3",$H436)),ISNUMBER(SEARCH("일2.3",$H436)),ISNUMBER(SEARCH("일1.2.3",$H436))),1,"")</f>
        <v/>
      </c>
      <c r="AD436" s="319">
        <f>SUM(I436:AC436)</f>
        <v/>
      </c>
      <c r="AE436" s="323" t="n"/>
    </row>
    <row r="437" ht="24" customHeight="1">
      <c r="A437" s="168" t="n"/>
      <c r="B437" s="319" t="n"/>
      <c r="C437" s="319" t="n"/>
      <c r="D437" s="319" t="n"/>
      <c r="E437" s="341" t="n"/>
      <c r="F437" s="341" t="n"/>
      <c r="G437" s="342" t="n"/>
      <c r="H437" s="322" t="n"/>
      <c r="I437" s="319">
        <f>IF(ISNUMBER(SEARCH("월1",$H437)),1,"")</f>
        <v/>
      </c>
      <c r="J437" s="319">
        <f>IF(OR(ISNUMBER(SEARCH("월2",$H437)),ISNUMBER(SEARCH("월1.2",$H437))),1,"")</f>
        <v/>
      </c>
      <c r="K437" s="319">
        <f>IF(OR(ISNUMBER(SEARCH("월3",$H437)),ISNUMBER(SEARCH("월1.3",$H437)),ISNUMBER(SEARCH("월2.3",$H437)),ISNUMBER(SEARCH("월1.2.3",$H437))),1,"")</f>
        <v/>
      </c>
      <c r="L437" s="319">
        <f>IF(ISNUMBER(SEARCH("화1",$H437)),1,"")</f>
        <v/>
      </c>
      <c r="M437" s="319">
        <f>IF(OR(ISNUMBER(SEARCH("화2",$H437)),ISNUMBER(SEARCH("화1.2",$H437))),1,"")</f>
        <v/>
      </c>
      <c r="N437" s="319">
        <f>IF(OR(ISNUMBER(SEARCH("화3",$H437)),ISNUMBER(SEARCH("화1.3",$H437)),ISNUMBER(SEARCH("화2.3",$H437)),ISNUMBER(SEARCH("화1.2.3",$H437))),1,"")</f>
        <v/>
      </c>
      <c r="O437" s="319">
        <f>IF(ISNUMBER(SEARCH("수1",$H437)),1,"")</f>
        <v/>
      </c>
      <c r="P437" s="319">
        <f>IF(OR(ISNUMBER(SEARCH("수2",$H437)),ISNUMBER(SEARCH("수1.2",$H437))),1,"")</f>
        <v/>
      </c>
      <c r="Q437" s="319">
        <f>IF(OR(ISNUMBER(SEARCH("수3",$H437)),ISNUMBER(SEARCH("수1.3",$H437)),ISNUMBER(SEARCH("수2.3",$H437)),ISNUMBER(SEARCH("수1.2.3",$H437))),1,"")</f>
        <v/>
      </c>
      <c r="R437" s="319">
        <f>IF(ISNUMBER(SEARCH("목1",$H437)),1,"")</f>
        <v/>
      </c>
      <c r="S437" s="319">
        <f>IF(OR(ISNUMBER(SEARCH("목2",$H437)),ISNUMBER(SEARCH("목1.2",$H437))),1,"")</f>
        <v/>
      </c>
      <c r="T437" s="319">
        <f>IF(OR(ISNUMBER(SEARCH("목3",$H437)),ISNUMBER(SEARCH("목1.3",$H437)),ISNUMBER(SEARCH("목2.3",$H437)),ISNUMBER(SEARCH("목1.2.3",$H437))),1,"")</f>
        <v/>
      </c>
      <c r="U437" s="319">
        <f>IF(ISNUMBER(SEARCH("금1",$H437)),1,"")</f>
        <v/>
      </c>
      <c r="V437" s="319">
        <f>IF(OR(ISNUMBER(SEARCH("금2",$H437)),ISNUMBER(SEARCH("금1.2",$H437))),1,"")</f>
        <v/>
      </c>
      <c r="W437" s="319">
        <f>IF(OR(ISNUMBER(SEARCH("금3",$H437)),ISNUMBER(SEARCH("금1.3",$H437)),ISNUMBER(SEARCH("금2.3",$H437)),ISNUMBER(SEARCH("금1.2.3",$H437))),1,"")</f>
        <v/>
      </c>
      <c r="X437" s="319">
        <f>IF(ISNUMBER(SEARCH("토1",$H437)),1,"")</f>
        <v/>
      </c>
      <c r="Y437" s="319">
        <f>IF(OR(ISNUMBER(SEARCH("토2",$H437)),ISNUMBER(SEARCH("토1.2",$H437))),1,"")</f>
        <v/>
      </c>
      <c r="Z437" s="319">
        <f>IF(OR(ISNUMBER(SEARCH("토3",$H437)),ISNUMBER(SEARCH("토1.3",$H437)),ISNUMBER(SEARCH("토2.3",$H437)),ISNUMBER(SEARCH("토1.2.3",$H437))),1,"")</f>
        <v/>
      </c>
      <c r="AA437" s="319">
        <f>IF(ISNUMBER(SEARCH("일1",$H437)),1,"")</f>
        <v/>
      </c>
      <c r="AB437" s="319">
        <f>IF(OR(ISNUMBER(SEARCH("일2",$H437)),ISNUMBER(SEARCH("일1.2",$H437))),1,"")</f>
        <v/>
      </c>
      <c r="AC437" s="319">
        <f>IF(OR(ISNUMBER(SEARCH("일3",$H437)),ISNUMBER(SEARCH("일1.3",$H437)),ISNUMBER(SEARCH("일2.3",$H437)),ISNUMBER(SEARCH("일1.2.3",$H437))),1,"")</f>
        <v/>
      </c>
      <c r="AD437" s="319">
        <f>SUM(I437:AC437)</f>
        <v/>
      </c>
      <c r="AE437" s="323" t="n"/>
    </row>
    <row r="438" ht="24" customHeight="1">
      <c r="A438" s="168" t="n"/>
      <c r="B438" s="319" t="n"/>
      <c r="C438" s="319" t="n"/>
      <c r="D438" s="319" t="n"/>
      <c r="E438" s="341" t="n"/>
      <c r="F438" s="341" t="n"/>
      <c r="G438" s="342" t="n"/>
      <c r="H438" s="322" t="n"/>
      <c r="I438" s="319">
        <f>IF(ISNUMBER(SEARCH("월1",$H438)),1,"")</f>
        <v/>
      </c>
      <c r="J438" s="319">
        <f>IF(OR(ISNUMBER(SEARCH("월2",$H438)),ISNUMBER(SEARCH("월1.2",$H438))),1,"")</f>
        <v/>
      </c>
      <c r="K438" s="319">
        <f>IF(OR(ISNUMBER(SEARCH("월3",$H438)),ISNUMBER(SEARCH("월1.3",$H438)),ISNUMBER(SEARCH("월2.3",$H438)),ISNUMBER(SEARCH("월1.2.3",$H438))),1,"")</f>
        <v/>
      </c>
      <c r="L438" s="319">
        <f>IF(ISNUMBER(SEARCH("화1",$H438)),1,"")</f>
        <v/>
      </c>
      <c r="M438" s="319">
        <f>IF(OR(ISNUMBER(SEARCH("화2",$H438)),ISNUMBER(SEARCH("화1.2",$H438))),1,"")</f>
        <v/>
      </c>
      <c r="N438" s="319">
        <f>IF(OR(ISNUMBER(SEARCH("화3",$H438)),ISNUMBER(SEARCH("화1.3",$H438)),ISNUMBER(SEARCH("화2.3",$H438)),ISNUMBER(SEARCH("화1.2.3",$H438))),1,"")</f>
        <v/>
      </c>
      <c r="O438" s="319">
        <f>IF(ISNUMBER(SEARCH("수1",$H438)),1,"")</f>
        <v/>
      </c>
      <c r="P438" s="319">
        <f>IF(OR(ISNUMBER(SEARCH("수2",$H438)),ISNUMBER(SEARCH("수1.2",$H438))),1,"")</f>
        <v/>
      </c>
      <c r="Q438" s="319">
        <f>IF(OR(ISNUMBER(SEARCH("수3",$H438)),ISNUMBER(SEARCH("수1.3",$H438)),ISNUMBER(SEARCH("수2.3",$H438)),ISNUMBER(SEARCH("수1.2.3",$H438))),1,"")</f>
        <v/>
      </c>
      <c r="R438" s="319">
        <f>IF(ISNUMBER(SEARCH("목1",$H438)),1,"")</f>
        <v/>
      </c>
      <c r="S438" s="319">
        <f>IF(OR(ISNUMBER(SEARCH("목2",$H438)),ISNUMBER(SEARCH("목1.2",$H438))),1,"")</f>
        <v/>
      </c>
      <c r="T438" s="319">
        <f>IF(OR(ISNUMBER(SEARCH("목3",$H438)),ISNUMBER(SEARCH("목1.3",$H438)),ISNUMBER(SEARCH("목2.3",$H438)),ISNUMBER(SEARCH("목1.2.3",$H438))),1,"")</f>
        <v/>
      </c>
      <c r="U438" s="319">
        <f>IF(ISNUMBER(SEARCH("금1",$H438)),1,"")</f>
        <v/>
      </c>
      <c r="V438" s="319">
        <f>IF(OR(ISNUMBER(SEARCH("금2",$H438)),ISNUMBER(SEARCH("금1.2",$H438))),1,"")</f>
        <v/>
      </c>
      <c r="W438" s="319">
        <f>IF(OR(ISNUMBER(SEARCH("금3",$H438)),ISNUMBER(SEARCH("금1.3",$H438)),ISNUMBER(SEARCH("금2.3",$H438)),ISNUMBER(SEARCH("금1.2.3",$H438))),1,"")</f>
        <v/>
      </c>
      <c r="X438" s="319">
        <f>IF(ISNUMBER(SEARCH("토1",$H438)),1,"")</f>
        <v/>
      </c>
      <c r="Y438" s="319">
        <f>IF(OR(ISNUMBER(SEARCH("토2",$H438)),ISNUMBER(SEARCH("토1.2",$H438))),1,"")</f>
        <v/>
      </c>
      <c r="Z438" s="319">
        <f>IF(OR(ISNUMBER(SEARCH("토3",$H438)),ISNUMBER(SEARCH("토1.3",$H438)),ISNUMBER(SEARCH("토2.3",$H438)),ISNUMBER(SEARCH("토1.2.3",$H438))),1,"")</f>
        <v/>
      </c>
      <c r="AA438" s="319">
        <f>IF(ISNUMBER(SEARCH("일1",$H438)),1,"")</f>
        <v/>
      </c>
      <c r="AB438" s="319">
        <f>IF(OR(ISNUMBER(SEARCH("일2",$H438)),ISNUMBER(SEARCH("일1.2",$H438))),1,"")</f>
        <v/>
      </c>
      <c r="AC438" s="319">
        <f>IF(OR(ISNUMBER(SEARCH("일3",$H438)),ISNUMBER(SEARCH("일1.3",$H438)),ISNUMBER(SEARCH("일2.3",$H438)),ISNUMBER(SEARCH("일1.2.3",$H438))),1,"")</f>
        <v/>
      </c>
      <c r="AD438" s="319">
        <f>SUM(I438:AC438)</f>
        <v/>
      </c>
      <c r="AE438" s="323" t="n"/>
    </row>
    <row r="439" ht="24" customHeight="1">
      <c r="A439" s="168" t="n"/>
      <c r="B439" s="319" t="n"/>
      <c r="C439" s="319" t="n"/>
      <c r="D439" s="319" t="n"/>
      <c r="E439" s="341" t="n"/>
      <c r="F439" s="341" t="n"/>
      <c r="G439" s="342" t="n"/>
      <c r="H439" s="322" t="n"/>
      <c r="I439" s="319">
        <f>IF(ISNUMBER(SEARCH("월1",$H439)),1,"")</f>
        <v/>
      </c>
      <c r="J439" s="319">
        <f>IF(OR(ISNUMBER(SEARCH("월2",$H439)),ISNUMBER(SEARCH("월1.2",$H439))),1,"")</f>
        <v/>
      </c>
      <c r="K439" s="319">
        <f>IF(OR(ISNUMBER(SEARCH("월3",$H439)),ISNUMBER(SEARCH("월1.3",$H439)),ISNUMBER(SEARCH("월2.3",$H439)),ISNUMBER(SEARCH("월1.2.3",$H439))),1,"")</f>
        <v/>
      </c>
      <c r="L439" s="319">
        <f>IF(ISNUMBER(SEARCH("화1",$H439)),1,"")</f>
        <v/>
      </c>
      <c r="M439" s="319">
        <f>IF(OR(ISNUMBER(SEARCH("화2",$H439)),ISNUMBER(SEARCH("화1.2",$H439))),1,"")</f>
        <v/>
      </c>
      <c r="N439" s="319">
        <f>IF(OR(ISNUMBER(SEARCH("화3",$H439)),ISNUMBER(SEARCH("화1.3",$H439)),ISNUMBER(SEARCH("화2.3",$H439)),ISNUMBER(SEARCH("화1.2.3",$H439))),1,"")</f>
        <v/>
      </c>
      <c r="O439" s="319">
        <f>IF(ISNUMBER(SEARCH("수1",$H439)),1,"")</f>
        <v/>
      </c>
      <c r="P439" s="319">
        <f>IF(OR(ISNUMBER(SEARCH("수2",$H439)),ISNUMBER(SEARCH("수1.2",$H439))),1,"")</f>
        <v/>
      </c>
      <c r="Q439" s="319">
        <f>IF(OR(ISNUMBER(SEARCH("수3",$H439)),ISNUMBER(SEARCH("수1.3",$H439)),ISNUMBER(SEARCH("수2.3",$H439)),ISNUMBER(SEARCH("수1.2.3",$H439))),1,"")</f>
        <v/>
      </c>
      <c r="R439" s="319">
        <f>IF(ISNUMBER(SEARCH("목1",$H439)),1,"")</f>
        <v/>
      </c>
      <c r="S439" s="319">
        <f>IF(OR(ISNUMBER(SEARCH("목2",$H439)),ISNUMBER(SEARCH("목1.2",$H439))),1,"")</f>
        <v/>
      </c>
      <c r="T439" s="319">
        <f>IF(OR(ISNUMBER(SEARCH("목3",$H439)),ISNUMBER(SEARCH("목1.3",$H439)),ISNUMBER(SEARCH("목2.3",$H439)),ISNUMBER(SEARCH("목1.2.3",$H439))),1,"")</f>
        <v/>
      </c>
      <c r="U439" s="319">
        <f>IF(ISNUMBER(SEARCH("금1",$H439)),1,"")</f>
        <v/>
      </c>
      <c r="V439" s="319">
        <f>IF(OR(ISNUMBER(SEARCH("금2",$H439)),ISNUMBER(SEARCH("금1.2",$H439))),1,"")</f>
        <v/>
      </c>
      <c r="W439" s="319">
        <f>IF(OR(ISNUMBER(SEARCH("금3",$H439)),ISNUMBER(SEARCH("금1.3",$H439)),ISNUMBER(SEARCH("금2.3",$H439)),ISNUMBER(SEARCH("금1.2.3",$H439))),1,"")</f>
        <v/>
      </c>
      <c r="X439" s="319">
        <f>IF(ISNUMBER(SEARCH("토1",$H439)),1,"")</f>
        <v/>
      </c>
      <c r="Y439" s="319">
        <f>IF(OR(ISNUMBER(SEARCH("토2",$H439)),ISNUMBER(SEARCH("토1.2",$H439))),1,"")</f>
        <v/>
      </c>
      <c r="Z439" s="319">
        <f>IF(OR(ISNUMBER(SEARCH("토3",$H439)),ISNUMBER(SEARCH("토1.3",$H439)),ISNUMBER(SEARCH("토2.3",$H439)),ISNUMBER(SEARCH("토1.2.3",$H439))),1,"")</f>
        <v/>
      </c>
      <c r="AA439" s="319">
        <f>IF(ISNUMBER(SEARCH("일1",$H439)),1,"")</f>
        <v/>
      </c>
      <c r="AB439" s="319">
        <f>IF(OR(ISNUMBER(SEARCH("일2",$H439)),ISNUMBER(SEARCH("일1.2",$H439))),1,"")</f>
        <v/>
      </c>
      <c r="AC439" s="319">
        <f>IF(OR(ISNUMBER(SEARCH("일3",$H439)),ISNUMBER(SEARCH("일1.3",$H439)),ISNUMBER(SEARCH("일2.3",$H439)),ISNUMBER(SEARCH("일1.2.3",$H439))),1,"")</f>
        <v/>
      </c>
      <c r="AD439" s="319">
        <f>SUM(I439:AC439)</f>
        <v/>
      </c>
      <c r="AE439" s="323" t="n"/>
    </row>
    <row r="440" ht="24" customHeight="1">
      <c r="A440" s="168" t="n"/>
      <c r="B440" s="319" t="n"/>
      <c r="C440" s="319" t="n"/>
      <c r="D440" s="319" t="n"/>
      <c r="E440" s="341" t="n"/>
      <c r="F440" s="341" t="n"/>
      <c r="G440" s="342" t="n"/>
      <c r="H440" s="322" t="n"/>
      <c r="I440" s="319">
        <f>IF(ISNUMBER(SEARCH("월1",$H440)),1,"")</f>
        <v/>
      </c>
      <c r="J440" s="319">
        <f>IF(OR(ISNUMBER(SEARCH("월2",$H440)),ISNUMBER(SEARCH("월1.2",$H440))),1,"")</f>
        <v/>
      </c>
      <c r="K440" s="319">
        <f>IF(OR(ISNUMBER(SEARCH("월3",$H440)),ISNUMBER(SEARCH("월1.3",$H440)),ISNUMBER(SEARCH("월2.3",$H440)),ISNUMBER(SEARCH("월1.2.3",$H440))),1,"")</f>
        <v/>
      </c>
      <c r="L440" s="319">
        <f>IF(ISNUMBER(SEARCH("화1",$H440)),1,"")</f>
        <v/>
      </c>
      <c r="M440" s="319">
        <f>IF(OR(ISNUMBER(SEARCH("화2",$H440)),ISNUMBER(SEARCH("화1.2",$H440))),1,"")</f>
        <v/>
      </c>
      <c r="N440" s="319">
        <f>IF(OR(ISNUMBER(SEARCH("화3",$H440)),ISNUMBER(SEARCH("화1.3",$H440)),ISNUMBER(SEARCH("화2.3",$H440)),ISNUMBER(SEARCH("화1.2.3",$H440))),1,"")</f>
        <v/>
      </c>
      <c r="O440" s="319">
        <f>IF(ISNUMBER(SEARCH("수1",$H440)),1,"")</f>
        <v/>
      </c>
      <c r="P440" s="319">
        <f>IF(OR(ISNUMBER(SEARCH("수2",$H440)),ISNUMBER(SEARCH("수1.2",$H440))),1,"")</f>
        <v/>
      </c>
      <c r="Q440" s="319">
        <f>IF(OR(ISNUMBER(SEARCH("수3",$H440)),ISNUMBER(SEARCH("수1.3",$H440)),ISNUMBER(SEARCH("수2.3",$H440)),ISNUMBER(SEARCH("수1.2.3",$H440))),1,"")</f>
        <v/>
      </c>
      <c r="R440" s="319">
        <f>IF(ISNUMBER(SEARCH("목1",$H440)),1,"")</f>
        <v/>
      </c>
      <c r="S440" s="319">
        <f>IF(OR(ISNUMBER(SEARCH("목2",$H440)),ISNUMBER(SEARCH("목1.2",$H440))),1,"")</f>
        <v/>
      </c>
      <c r="T440" s="319">
        <f>IF(OR(ISNUMBER(SEARCH("목3",$H440)),ISNUMBER(SEARCH("목1.3",$H440)),ISNUMBER(SEARCH("목2.3",$H440)),ISNUMBER(SEARCH("목1.2.3",$H440))),1,"")</f>
        <v/>
      </c>
      <c r="U440" s="319">
        <f>IF(ISNUMBER(SEARCH("금1",$H440)),1,"")</f>
        <v/>
      </c>
      <c r="V440" s="319">
        <f>IF(OR(ISNUMBER(SEARCH("금2",$H440)),ISNUMBER(SEARCH("금1.2",$H440))),1,"")</f>
        <v/>
      </c>
      <c r="W440" s="319">
        <f>IF(OR(ISNUMBER(SEARCH("금3",$H440)),ISNUMBER(SEARCH("금1.3",$H440)),ISNUMBER(SEARCH("금2.3",$H440)),ISNUMBER(SEARCH("금1.2.3",$H440))),1,"")</f>
        <v/>
      </c>
      <c r="X440" s="319">
        <f>IF(ISNUMBER(SEARCH("토1",$H440)),1,"")</f>
        <v/>
      </c>
      <c r="Y440" s="319">
        <f>IF(OR(ISNUMBER(SEARCH("토2",$H440)),ISNUMBER(SEARCH("토1.2",$H440))),1,"")</f>
        <v/>
      </c>
      <c r="Z440" s="319">
        <f>IF(OR(ISNUMBER(SEARCH("토3",$H440)),ISNUMBER(SEARCH("토1.3",$H440)),ISNUMBER(SEARCH("토2.3",$H440)),ISNUMBER(SEARCH("토1.2.3",$H440))),1,"")</f>
        <v/>
      </c>
      <c r="AA440" s="319">
        <f>IF(ISNUMBER(SEARCH("일1",$H440)),1,"")</f>
        <v/>
      </c>
      <c r="AB440" s="319">
        <f>IF(OR(ISNUMBER(SEARCH("일2",$H440)),ISNUMBER(SEARCH("일1.2",$H440))),1,"")</f>
        <v/>
      </c>
      <c r="AC440" s="319">
        <f>IF(OR(ISNUMBER(SEARCH("일3",$H440)),ISNUMBER(SEARCH("일1.3",$H440)),ISNUMBER(SEARCH("일2.3",$H440)),ISNUMBER(SEARCH("일1.2.3",$H440))),1,"")</f>
        <v/>
      </c>
      <c r="AD440" s="319">
        <f>SUM(I440:AC440)</f>
        <v/>
      </c>
      <c r="AE440" s="323" t="n"/>
    </row>
    <row r="441" ht="24" customHeight="1">
      <c r="A441" s="168" t="n"/>
      <c r="B441" s="319" t="n"/>
      <c r="C441" s="319" t="n"/>
      <c r="D441" s="319" t="n"/>
      <c r="E441" s="341" t="n"/>
      <c r="F441" s="341" t="n"/>
      <c r="G441" s="342" t="n"/>
      <c r="H441" s="322" t="n"/>
      <c r="I441" s="319">
        <f>IF(ISNUMBER(SEARCH("월1",$H441)),1,"")</f>
        <v/>
      </c>
      <c r="J441" s="319">
        <f>IF(OR(ISNUMBER(SEARCH("월2",$H441)),ISNUMBER(SEARCH("월1.2",$H441))),1,"")</f>
        <v/>
      </c>
      <c r="K441" s="319">
        <f>IF(OR(ISNUMBER(SEARCH("월3",$H441)),ISNUMBER(SEARCH("월1.3",$H441)),ISNUMBER(SEARCH("월2.3",$H441)),ISNUMBER(SEARCH("월1.2.3",$H441))),1,"")</f>
        <v/>
      </c>
      <c r="L441" s="319">
        <f>IF(ISNUMBER(SEARCH("화1",$H441)),1,"")</f>
        <v/>
      </c>
      <c r="M441" s="319">
        <f>IF(OR(ISNUMBER(SEARCH("화2",$H441)),ISNUMBER(SEARCH("화1.2",$H441))),1,"")</f>
        <v/>
      </c>
      <c r="N441" s="319">
        <f>IF(OR(ISNUMBER(SEARCH("화3",$H441)),ISNUMBER(SEARCH("화1.3",$H441)),ISNUMBER(SEARCH("화2.3",$H441)),ISNUMBER(SEARCH("화1.2.3",$H441))),1,"")</f>
        <v/>
      </c>
      <c r="O441" s="319">
        <f>IF(ISNUMBER(SEARCH("수1",$H441)),1,"")</f>
        <v/>
      </c>
      <c r="P441" s="319">
        <f>IF(OR(ISNUMBER(SEARCH("수2",$H441)),ISNUMBER(SEARCH("수1.2",$H441))),1,"")</f>
        <v/>
      </c>
      <c r="Q441" s="319">
        <f>IF(OR(ISNUMBER(SEARCH("수3",$H441)),ISNUMBER(SEARCH("수1.3",$H441)),ISNUMBER(SEARCH("수2.3",$H441)),ISNUMBER(SEARCH("수1.2.3",$H441))),1,"")</f>
        <v/>
      </c>
      <c r="R441" s="319">
        <f>IF(ISNUMBER(SEARCH("목1",$H441)),1,"")</f>
        <v/>
      </c>
      <c r="S441" s="319">
        <f>IF(OR(ISNUMBER(SEARCH("목2",$H441)),ISNUMBER(SEARCH("목1.2",$H441))),1,"")</f>
        <v/>
      </c>
      <c r="T441" s="319">
        <f>IF(OR(ISNUMBER(SEARCH("목3",$H441)),ISNUMBER(SEARCH("목1.3",$H441)),ISNUMBER(SEARCH("목2.3",$H441)),ISNUMBER(SEARCH("목1.2.3",$H441))),1,"")</f>
        <v/>
      </c>
      <c r="U441" s="319">
        <f>IF(ISNUMBER(SEARCH("금1",$H441)),1,"")</f>
        <v/>
      </c>
      <c r="V441" s="319">
        <f>IF(OR(ISNUMBER(SEARCH("금2",$H441)),ISNUMBER(SEARCH("금1.2",$H441))),1,"")</f>
        <v/>
      </c>
      <c r="W441" s="319">
        <f>IF(OR(ISNUMBER(SEARCH("금3",$H441)),ISNUMBER(SEARCH("금1.3",$H441)),ISNUMBER(SEARCH("금2.3",$H441)),ISNUMBER(SEARCH("금1.2.3",$H441))),1,"")</f>
        <v/>
      </c>
      <c r="X441" s="319">
        <f>IF(ISNUMBER(SEARCH("토1",$H441)),1,"")</f>
        <v/>
      </c>
      <c r="Y441" s="319">
        <f>IF(OR(ISNUMBER(SEARCH("토2",$H441)),ISNUMBER(SEARCH("토1.2",$H441))),1,"")</f>
        <v/>
      </c>
      <c r="Z441" s="319">
        <f>IF(OR(ISNUMBER(SEARCH("토3",$H441)),ISNUMBER(SEARCH("토1.3",$H441)),ISNUMBER(SEARCH("토2.3",$H441)),ISNUMBER(SEARCH("토1.2.3",$H441))),1,"")</f>
        <v/>
      </c>
      <c r="AA441" s="319">
        <f>IF(ISNUMBER(SEARCH("일1",$H441)),1,"")</f>
        <v/>
      </c>
      <c r="AB441" s="319">
        <f>IF(OR(ISNUMBER(SEARCH("일2",$H441)),ISNUMBER(SEARCH("일1.2",$H441))),1,"")</f>
        <v/>
      </c>
      <c r="AC441" s="319">
        <f>IF(OR(ISNUMBER(SEARCH("일3",$H441)),ISNUMBER(SEARCH("일1.3",$H441)),ISNUMBER(SEARCH("일2.3",$H441)),ISNUMBER(SEARCH("일1.2.3",$H441))),1,"")</f>
        <v/>
      </c>
      <c r="AD441" s="319">
        <f>SUM(I441:AC441)</f>
        <v/>
      </c>
      <c r="AE441" s="323" t="n"/>
    </row>
    <row r="442" ht="24" customHeight="1">
      <c r="A442" s="168" t="n"/>
      <c r="B442" s="319" t="n"/>
      <c r="C442" s="319" t="n"/>
      <c r="D442" s="319" t="n"/>
      <c r="E442" s="341" t="n"/>
      <c r="F442" s="341" t="n"/>
      <c r="G442" s="342" t="n"/>
      <c r="H442" s="322" t="n"/>
      <c r="I442" s="319">
        <f>IF(ISNUMBER(SEARCH("월1",$H442)),1,"")</f>
        <v/>
      </c>
      <c r="J442" s="319">
        <f>IF(OR(ISNUMBER(SEARCH("월2",$H442)),ISNUMBER(SEARCH("월1.2",$H442))),1,"")</f>
        <v/>
      </c>
      <c r="K442" s="319">
        <f>IF(OR(ISNUMBER(SEARCH("월3",$H442)),ISNUMBER(SEARCH("월1.3",$H442)),ISNUMBER(SEARCH("월2.3",$H442)),ISNUMBER(SEARCH("월1.2.3",$H442))),1,"")</f>
        <v/>
      </c>
      <c r="L442" s="319">
        <f>IF(ISNUMBER(SEARCH("화1",$H442)),1,"")</f>
        <v/>
      </c>
      <c r="M442" s="319">
        <f>IF(OR(ISNUMBER(SEARCH("화2",$H442)),ISNUMBER(SEARCH("화1.2",$H442))),1,"")</f>
        <v/>
      </c>
      <c r="N442" s="319">
        <f>IF(OR(ISNUMBER(SEARCH("화3",$H442)),ISNUMBER(SEARCH("화1.3",$H442)),ISNUMBER(SEARCH("화2.3",$H442)),ISNUMBER(SEARCH("화1.2.3",$H442))),1,"")</f>
        <v/>
      </c>
      <c r="O442" s="319">
        <f>IF(ISNUMBER(SEARCH("수1",$H442)),1,"")</f>
        <v/>
      </c>
      <c r="P442" s="319">
        <f>IF(OR(ISNUMBER(SEARCH("수2",$H442)),ISNUMBER(SEARCH("수1.2",$H442))),1,"")</f>
        <v/>
      </c>
      <c r="Q442" s="319">
        <f>IF(OR(ISNUMBER(SEARCH("수3",$H442)),ISNUMBER(SEARCH("수1.3",$H442)),ISNUMBER(SEARCH("수2.3",$H442)),ISNUMBER(SEARCH("수1.2.3",$H442))),1,"")</f>
        <v/>
      </c>
      <c r="R442" s="319">
        <f>IF(ISNUMBER(SEARCH("목1",$H442)),1,"")</f>
        <v/>
      </c>
      <c r="S442" s="319">
        <f>IF(OR(ISNUMBER(SEARCH("목2",$H442)),ISNUMBER(SEARCH("목1.2",$H442))),1,"")</f>
        <v/>
      </c>
      <c r="T442" s="319">
        <f>IF(OR(ISNUMBER(SEARCH("목3",$H442)),ISNUMBER(SEARCH("목1.3",$H442)),ISNUMBER(SEARCH("목2.3",$H442)),ISNUMBER(SEARCH("목1.2.3",$H442))),1,"")</f>
        <v/>
      </c>
      <c r="U442" s="319">
        <f>IF(ISNUMBER(SEARCH("금1",$H442)),1,"")</f>
        <v/>
      </c>
      <c r="V442" s="319">
        <f>IF(OR(ISNUMBER(SEARCH("금2",$H442)),ISNUMBER(SEARCH("금1.2",$H442))),1,"")</f>
        <v/>
      </c>
      <c r="W442" s="319">
        <f>IF(OR(ISNUMBER(SEARCH("금3",$H442)),ISNUMBER(SEARCH("금1.3",$H442)),ISNUMBER(SEARCH("금2.3",$H442)),ISNUMBER(SEARCH("금1.2.3",$H442))),1,"")</f>
        <v/>
      </c>
      <c r="X442" s="319">
        <f>IF(ISNUMBER(SEARCH("토1",$H442)),1,"")</f>
        <v/>
      </c>
      <c r="Y442" s="319">
        <f>IF(OR(ISNUMBER(SEARCH("토2",$H442)),ISNUMBER(SEARCH("토1.2",$H442))),1,"")</f>
        <v/>
      </c>
      <c r="Z442" s="319">
        <f>IF(OR(ISNUMBER(SEARCH("토3",$H442)),ISNUMBER(SEARCH("토1.3",$H442)),ISNUMBER(SEARCH("토2.3",$H442)),ISNUMBER(SEARCH("토1.2.3",$H442))),1,"")</f>
        <v/>
      </c>
      <c r="AA442" s="319">
        <f>IF(ISNUMBER(SEARCH("일1",$H442)),1,"")</f>
        <v/>
      </c>
      <c r="AB442" s="319">
        <f>IF(OR(ISNUMBER(SEARCH("일2",$H442)),ISNUMBER(SEARCH("일1.2",$H442))),1,"")</f>
        <v/>
      </c>
      <c r="AC442" s="319">
        <f>IF(OR(ISNUMBER(SEARCH("일3",$H442)),ISNUMBER(SEARCH("일1.3",$H442)),ISNUMBER(SEARCH("일2.3",$H442)),ISNUMBER(SEARCH("일1.2.3",$H442))),1,"")</f>
        <v/>
      </c>
      <c r="AD442" s="319">
        <f>SUM(I442:AC442)</f>
        <v/>
      </c>
      <c r="AE442" s="323" t="n"/>
    </row>
    <row r="443" ht="24" customHeight="1">
      <c r="A443" s="168" t="n"/>
      <c r="B443" s="319" t="n"/>
      <c r="C443" s="319" t="n"/>
      <c r="D443" s="319" t="n"/>
      <c r="E443" s="341" t="n"/>
      <c r="F443" s="341" t="n"/>
      <c r="G443" s="342" t="n"/>
      <c r="H443" s="322" t="n"/>
      <c r="I443" s="319">
        <f>IF(ISNUMBER(SEARCH("월1",$H443)),1,"")</f>
        <v/>
      </c>
      <c r="J443" s="319">
        <f>IF(OR(ISNUMBER(SEARCH("월2",$H443)),ISNUMBER(SEARCH("월1.2",$H443))),1,"")</f>
        <v/>
      </c>
      <c r="K443" s="319">
        <f>IF(OR(ISNUMBER(SEARCH("월3",$H443)),ISNUMBER(SEARCH("월1.3",$H443)),ISNUMBER(SEARCH("월2.3",$H443)),ISNUMBER(SEARCH("월1.2.3",$H443))),1,"")</f>
        <v/>
      </c>
      <c r="L443" s="319">
        <f>IF(ISNUMBER(SEARCH("화1",$H443)),1,"")</f>
        <v/>
      </c>
      <c r="M443" s="319">
        <f>IF(OR(ISNUMBER(SEARCH("화2",$H443)),ISNUMBER(SEARCH("화1.2",$H443))),1,"")</f>
        <v/>
      </c>
      <c r="N443" s="319">
        <f>IF(OR(ISNUMBER(SEARCH("화3",$H443)),ISNUMBER(SEARCH("화1.3",$H443)),ISNUMBER(SEARCH("화2.3",$H443)),ISNUMBER(SEARCH("화1.2.3",$H443))),1,"")</f>
        <v/>
      </c>
      <c r="O443" s="319">
        <f>IF(ISNUMBER(SEARCH("수1",$H443)),1,"")</f>
        <v/>
      </c>
      <c r="P443" s="319">
        <f>IF(OR(ISNUMBER(SEARCH("수2",$H443)),ISNUMBER(SEARCH("수1.2",$H443))),1,"")</f>
        <v/>
      </c>
      <c r="Q443" s="319">
        <f>IF(OR(ISNUMBER(SEARCH("수3",$H443)),ISNUMBER(SEARCH("수1.3",$H443)),ISNUMBER(SEARCH("수2.3",$H443)),ISNUMBER(SEARCH("수1.2.3",$H443))),1,"")</f>
        <v/>
      </c>
      <c r="R443" s="319">
        <f>IF(ISNUMBER(SEARCH("목1",$H443)),1,"")</f>
        <v/>
      </c>
      <c r="S443" s="319">
        <f>IF(OR(ISNUMBER(SEARCH("목2",$H443)),ISNUMBER(SEARCH("목1.2",$H443))),1,"")</f>
        <v/>
      </c>
      <c r="T443" s="319">
        <f>IF(OR(ISNUMBER(SEARCH("목3",$H443)),ISNUMBER(SEARCH("목1.3",$H443)),ISNUMBER(SEARCH("목2.3",$H443)),ISNUMBER(SEARCH("목1.2.3",$H443))),1,"")</f>
        <v/>
      </c>
      <c r="U443" s="319">
        <f>IF(ISNUMBER(SEARCH("금1",$H443)),1,"")</f>
        <v/>
      </c>
      <c r="V443" s="319">
        <f>IF(OR(ISNUMBER(SEARCH("금2",$H443)),ISNUMBER(SEARCH("금1.2",$H443))),1,"")</f>
        <v/>
      </c>
      <c r="W443" s="319">
        <f>IF(OR(ISNUMBER(SEARCH("금3",$H443)),ISNUMBER(SEARCH("금1.3",$H443)),ISNUMBER(SEARCH("금2.3",$H443)),ISNUMBER(SEARCH("금1.2.3",$H443))),1,"")</f>
        <v/>
      </c>
      <c r="X443" s="319">
        <f>IF(ISNUMBER(SEARCH("토1",$H443)),1,"")</f>
        <v/>
      </c>
      <c r="Y443" s="319">
        <f>IF(OR(ISNUMBER(SEARCH("토2",$H443)),ISNUMBER(SEARCH("토1.2",$H443))),1,"")</f>
        <v/>
      </c>
      <c r="Z443" s="319">
        <f>IF(OR(ISNUMBER(SEARCH("토3",$H443)),ISNUMBER(SEARCH("토1.3",$H443)),ISNUMBER(SEARCH("토2.3",$H443)),ISNUMBER(SEARCH("토1.2.3",$H443))),1,"")</f>
        <v/>
      </c>
      <c r="AA443" s="319">
        <f>IF(ISNUMBER(SEARCH("일1",$H443)),1,"")</f>
        <v/>
      </c>
      <c r="AB443" s="319">
        <f>IF(OR(ISNUMBER(SEARCH("일2",$H443)),ISNUMBER(SEARCH("일1.2",$H443))),1,"")</f>
        <v/>
      </c>
      <c r="AC443" s="319">
        <f>IF(OR(ISNUMBER(SEARCH("일3",$H443)),ISNUMBER(SEARCH("일1.3",$H443)),ISNUMBER(SEARCH("일2.3",$H443)),ISNUMBER(SEARCH("일1.2.3",$H443))),1,"")</f>
        <v/>
      </c>
      <c r="AD443" s="319">
        <f>SUM(I443:AC443)</f>
        <v/>
      </c>
      <c r="AE443" s="323" t="n"/>
    </row>
    <row r="444" ht="24" customHeight="1">
      <c r="A444" s="168" t="n"/>
      <c r="B444" s="319" t="n"/>
      <c r="C444" s="319" t="n"/>
      <c r="D444" s="319" t="n"/>
      <c r="E444" s="341" t="n"/>
      <c r="F444" s="341" t="n"/>
      <c r="G444" s="342" t="n"/>
      <c r="H444" s="322" t="n"/>
      <c r="I444" s="319">
        <f>IF(ISNUMBER(SEARCH("월1",$H444)),1,"")</f>
        <v/>
      </c>
      <c r="J444" s="319">
        <f>IF(OR(ISNUMBER(SEARCH("월2",$H444)),ISNUMBER(SEARCH("월1.2",$H444))),1,"")</f>
        <v/>
      </c>
      <c r="K444" s="319">
        <f>IF(OR(ISNUMBER(SEARCH("월3",$H444)),ISNUMBER(SEARCH("월1.3",$H444)),ISNUMBER(SEARCH("월2.3",$H444)),ISNUMBER(SEARCH("월1.2.3",$H444))),1,"")</f>
        <v/>
      </c>
      <c r="L444" s="319">
        <f>IF(ISNUMBER(SEARCH("화1",$H444)),1,"")</f>
        <v/>
      </c>
      <c r="M444" s="319">
        <f>IF(OR(ISNUMBER(SEARCH("화2",$H444)),ISNUMBER(SEARCH("화1.2",$H444))),1,"")</f>
        <v/>
      </c>
      <c r="N444" s="319">
        <f>IF(OR(ISNUMBER(SEARCH("화3",$H444)),ISNUMBER(SEARCH("화1.3",$H444)),ISNUMBER(SEARCH("화2.3",$H444)),ISNUMBER(SEARCH("화1.2.3",$H444))),1,"")</f>
        <v/>
      </c>
      <c r="O444" s="319">
        <f>IF(ISNUMBER(SEARCH("수1",$H444)),1,"")</f>
        <v/>
      </c>
      <c r="P444" s="319">
        <f>IF(OR(ISNUMBER(SEARCH("수2",$H444)),ISNUMBER(SEARCH("수1.2",$H444))),1,"")</f>
        <v/>
      </c>
      <c r="Q444" s="319">
        <f>IF(OR(ISNUMBER(SEARCH("수3",$H444)),ISNUMBER(SEARCH("수1.3",$H444)),ISNUMBER(SEARCH("수2.3",$H444)),ISNUMBER(SEARCH("수1.2.3",$H444))),1,"")</f>
        <v/>
      </c>
      <c r="R444" s="319">
        <f>IF(ISNUMBER(SEARCH("목1",$H444)),1,"")</f>
        <v/>
      </c>
      <c r="S444" s="319">
        <f>IF(OR(ISNUMBER(SEARCH("목2",$H444)),ISNUMBER(SEARCH("목1.2",$H444))),1,"")</f>
        <v/>
      </c>
      <c r="T444" s="319">
        <f>IF(OR(ISNUMBER(SEARCH("목3",$H444)),ISNUMBER(SEARCH("목1.3",$H444)),ISNUMBER(SEARCH("목2.3",$H444)),ISNUMBER(SEARCH("목1.2.3",$H444))),1,"")</f>
        <v/>
      </c>
      <c r="U444" s="319">
        <f>IF(ISNUMBER(SEARCH("금1",$H444)),1,"")</f>
        <v/>
      </c>
      <c r="V444" s="319">
        <f>IF(OR(ISNUMBER(SEARCH("금2",$H444)),ISNUMBER(SEARCH("금1.2",$H444))),1,"")</f>
        <v/>
      </c>
      <c r="W444" s="319">
        <f>IF(OR(ISNUMBER(SEARCH("금3",$H444)),ISNUMBER(SEARCH("금1.3",$H444)),ISNUMBER(SEARCH("금2.3",$H444)),ISNUMBER(SEARCH("금1.2.3",$H444))),1,"")</f>
        <v/>
      </c>
      <c r="X444" s="319">
        <f>IF(ISNUMBER(SEARCH("토1",$H444)),1,"")</f>
        <v/>
      </c>
      <c r="Y444" s="319">
        <f>IF(OR(ISNUMBER(SEARCH("토2",$H444)),ISNUMBER(SEARCH("토1.2",$H444))),1,"")</f>
        <v/>
      </c>
      <c r="Z444" s="319">
        <f>IF(OR(ISNUMBER(SEARCH("토3",$H444)),ISNUMBER(SEARCH("토1.3",$H444)),ISNUMBER(SEARCH("토2.3",$H444)),ISNUMBER(SEARCH("토1.2.3",$H444))),1,"")</f>
        <v/>
      </c>
      <c r="AA444" s="319">
        <f>IF(ISNUMBER(SEARCH("일1",$H444)),1,"")</f>
        <v/>
      </c>
      <c r="AB444" s="319">
        <f>IF(OR(ISNUMBER(SEARCH("일2",$H444)),ISNUMBER(SEARCH("일1.2",$H444))),1,"")</f>
        <v/>
      </c>
      <c r="AC444" s="319">
        <f>IF(OR(ISNUMBER(SEARCH("일3",$H444)),ISNUMBER(SEARCH("일1.3",$H444)),ISNUMBER(SEARCH("일2.3",$H444)),ISNUMBER(SEARCH("일1.2.3",$H444))),1,"")</f>
        <v/>
      </c>
      <c r="AD444" s="319">
        <f>SUM(I444:AC444)</f>
        <v/>
      </c>
      <c r="AE444" s="323" t="n"/>
    </row>
    <row r="445" ht="24" customHeight="1">
      <c r="A445" s="168" t="n"/>
      <c r="B445" s="319" t="n"/>
      <c r="C445" s="319" t="n"/>
      <c r="D445" s="319" t="n"/>
      <c r="E445" s="341" t="n"/>
      <c r="F445" s="341" t="n"/>
      <c r="G445" s="342" t="n"/>
      <c r="H445" s="322" t="n"/>
      <c r="I445" s="319">
        <f>IF(ISNUMBER(SEARCH("월1",$H445)),1,"")</f>
        <v/>
      </c>
      <c r="J445" s="319">
        <f>IF(OR(ISNUMBER(SEARCH("월2",$H445)),ISNUMBER(SEARCH("월1.2",$H445))),1,"")</f>
        <v/>
      </c>
      <c r="K445" s="319">
        <f>IF(OR(ISNUMBER(SEARCH("월3",$H445)),ISNUMBER(SEARCH("월1.3",$H445)),ISNUMBER(SEARCH("월2.3",$H445)),ISNUMBER(SEARCH("월1.2.3",$H445))),1,"")</f>
        <v/>
      </c>
      <c r="L445" s="319">
        <f>IF(ISNUMBER(SEARCH("화1",$H445)),1,"")</f>
        <v/>
      </c>
      <c r="M445" s="319">
        <f>IF(OR(ISNUMBER(SEARCH("화2",$H445)),ISNUMBER(SEARCH("화1.2",$H445))),1,"")</f>
        <v/>
      </c>
      <c r="N445" s="319">
        <f>IF(OR(ISNUMBER(SEARCH("화3",$H445)),ISNUMBER(SEARCH("화1.3",$H445)),ISNUMBER(SEARCH("화2.3",$H445)),ISNUMBER(SEARCH("화1.2.3",$H445))),1,"")</f>
        <v/>
      </c>
      <c r="O445" s="319">
        <f>IF(ISNUMBER(SEARCH("수1",$H445)),1,"")</f>
        <v/>
      </c>
      <c r="P445" s="319">
        <f>IF(OR(ISNUMBER(SEARCH("수2",$H445)),ISNUMBER(SEARCH("수1.2",$H445))),1,"")</f>
        <v/>
      </c>
      <c r="Q445" s="319">
        <f>IF(OR(ISNUMBER(SEARCH("수3",$H445)),ISNUMBER(SEARCH("수1.3",$H445)),ISNUMBER(SEARCH("수2.3",$H445)),ISNUMBER(SEARCH("수1.2.3",$H445))),1,"")</f>
        <v/>
      </c>
      <c r="R445" s="319">
        <f>IF(ISNUMBER(SEARCH("목1",$H445)),1,"")</f>
        <v/>
      </c>
      <c r="S445" s="319">
        <f>IF(OR(ISNUMBER(SEARCH("목2",$H445)),ISNUMBER(SEARCH("목1.2",$H445))),1,"")</f>
        <v/>
      </c>
      <c r="T445" s="319">
        <f>IF(OR(ISNUMBER(SEARCH("목3",$H445)),ISNUMBER(SEARCH("목1.3",$H445)),ISNUMBER(SEARCH("목2.3",$H445)),ISNUMBER(SEARCH("목1.2.3",$H445))),1,"")</f>
        <v/>
      </c>
      <c r="U445" s="319">
        <f>IF(ISNUMBER(SEARCH("금1",$H445)),1,"")</f>
        <v/>
      </c>
      <c r="V445" s="319">
        <f>IF(OR(ISNUMBER(SEARCH("금2",$H445)),ISNUMBER(SEARCH("금1.2",$H445))),1,"")</f>
        <v/>
      </c>
      <c r="W445" s="319">
        <f>IF(OR(ISNUMBER(SEARCH("금3",$H445)),ISNUMBER(SEARCH("금1.3",$H445)),ISNUMBER(SEARCH("금2.3",$H445)),ISNUMBER(SEARCH("금1.2.3",$H445))),1,"")</f>
        <v/>
      </c>
      <c r="X445" s="319">
        <f>IF(ISNUMBER(SEARCH("토1",$H445)),1,"")</f>
        <v/>
      </c>
      <c r="Y445" s="319">
        <f>IF(OR(ISNUMBER(SEARCH("토2",$H445)),ISNUMBER(SEARCH("토1.2",$H445))),1,"")</f>
        <v/>
      </c>
      <c r="Z445" s="319">
        <f>IF(OR(ISNUMBER(SEARCH("토3",$H445)),ISNUMBER(SEARCH("토1.3",$H445)),ISNUMBER(SEARCH("토2.3",$H445)),ISNUMBER(SEARCH("토1.2.3",$H445))),1,"")</f>
        <v/>
      </c>
      <c r="AA445" s="319">
        <f>IF(ISNUMBER(SEARCH("일1",$H445)),1,"")</f>
        <v/>
      </c>
      <c r="AB445" s="319">
        <f>IF(OR(ISNUMBER(SEARCH("일2",$H445)),ISNUMBER(SEARCH("일1.2",$H445))),1,"")</f>
        <v/>
      </c>
      <c r="AC445" s="319">
        <f>IF(OR(ISNUMBER(SEARCH("일3",$H445)),ISNUMBER(SEARCH("일1.3",$H445)),ISNUMBER(SEARCH("일2.3",$H445)),ISNUMBER(SEARCH("일1.2.3",$H445))),1,"")</f>
        <v/>
      </c>
      <c r="AD445" s="319">
        <f>SUM(I445:AC445)</f>
        <v/>
      </c>
      <c r="AE445" s="323" t="n"/>
    </row>
    <row r="446" ht="24" customHeight="1">
      <c r="A446" s="168" t="n"/>
      <c r="B446" s="319" t="n"/>
      <c r="C446" s="319" t="n"/>
      <c r="D446" s="319" t="n"/>
      <c r="E446" s="341" t="n"/>
      <c r="F446" s="341" t="n"/>
      <c r="G446" s="342" t="n"/>
      <c r="H446" s="322" t="n"/>
      <c r="I446" s="319">
        <f>IF(ISNUMBER(SEARCH("월1",$H446)),1,"")</f>
        <v/>
      </c>
      <c r="J446" s="319">
        <f>IF(OR(ISNUMBER(SEARCH("월2",$H446)),ISNUMBER(SEARCH("월1.2",$H446))),1,"")</f>
        <v/>
      </c>
      <c r="K446" s="319">
        <f>IF(OR(ISNUMBER(SEARCH("월3",$H446)),ISNUMBER(SEARCH("월1.3",$H446)),ISNUMBER(SEARCH("월2.3",$H446)),ISNUMBER(SEARCH("월1.2.3",$H446))),1,"")</f>
        <v/>
      </c>
      <c r="L446" s="319">
        <f>IF(ISNUMBER(SEARCH("화1",$H446)),1,"")</f>
        <v/>
      </c>
      <c r="M446" s="319">
        <f>IF(OR(ISNUMBER(SEARCH("화2",$H446)),ISNUMBER(SEARCH("화1.2",$H446))),1,"")</f>
        <v/>
      </c>
      <c r="N446" s="319">
        <f>IF(OR(ISNUMBER(SEARCH("화3",$H446)),ISNUMBER(SEARCH("화1.3",$H446)),ISNUMBER(SEARCH("화2.3",$H446)),ISNUMBER(SEARCH("화1.2.3",$H446))),1,"")</f>
        <v/>
      </c>
      <c r="O446" s="319">
        <f>IF(ISNUMBER(SEARCH("수1",$H446)),1,"")</f>
        <v/>
      </c>
      <c r="P446" s="319">
        <f>IF(OR(ISNUMBER(SEARCH("수2",$H446)),ISNUMBER(SEARCH("수1.2",$H446))),1,"")</f>
        <v/>
      </c>
      <c r="Q446" s="319">
        <f>IF(OR(ISNUMBER(SEARCH("수3",$H446)),ISNUMBER(SEARCH("수1.3",$H446)),ISNUMBER(SEARCH("수2.3",$H446)),ISNUMBER(SEARCH("수1.2.3",$H446))),1,"")</f>
        <v/>
      </c>
      <c r="R446" s="319">
        <f>IF(ISNUMBER(SEARCH("목1",$H446)),1,"")</f>
        <v/>
      </c>
      <c r="S446" s="319">
        <f>IF(OR(ISNUMBER(SEARCH("목2",$H446)),ISNUMBER(SEARCH("목1.2",$H446))),1,"")</f>
        <v/>
      </c>
      <c r="T446" s="319">
        <f>IF(OR(ISNUMBER(SEARCH("목3",$H446)),ISNUMBER(SEARCH("목1.3",$H446)),ISNUMBER(SEARCH("목2.3",$H446)),ISNUMBER(SEARCH("목1.2.3",$H446))),1,"")</f>
        <v/>
      </c>
      <c r="U446" s="319">
        <f>IF(ISNUMBER(SEARCH("금1",$H446)),1,"")</f>
        <v/>
      </c>
      <c r="V446" s="319">
        <f>IF(OR(ISNUMBER(SEARCH("금2",$H446)),ISNUMBER(SEARCH("금1.2",$H446))),1,"")</f>
        <v/>
      </c>
      <c r="W446" s="319">
        <f>IF(OR(ISNUMBER(SEARCH("금3",$H446)),ISNUMBER(SEARCH("금1.3",$H446)),ISNUMBER(SEARCH("금2.3",$H446)),ISNUMBER(SEARCH("금1.2.3",$H446))),1,"")</f>
        <v/>
      </c>
      <c r="X446" s="319">
        <f>IF(ISNUMBER(SEARCH("토1",$H446)),1,"")</f>
        <v/>
      </c>
      <c r="Y446" s="319">
        <f>IF(OR(ISNUMBER(SEARCH("토2",$H446)),ISNUMBER(SEARCH("토1.2",$H446))),1,"")</f>
        <v/>
      </c>
      <c r="Z446" s="319">
        <f>IF(OR(ISNUMBER(SEARCH("토3",$H446)),ISNUMBER(SEARCH("토1.3",$H446)),ISNUMBER(SEARCH("토2.3",$H446)),ISNUMBER(SEARCH("토1.2.3",$H446))),1,"")</f>
        <v/>
      </c>
      <c r="AA446" s="319">
        <f>IF(ISNUMBER(SEARCH("일1",$H446)),1,"")</f>
        <v/>
      </c>
      <c r="AB446" s="319">
        <f>IF(OR(ISNUMBER(SEARCH("일2",$H446)),ISNUMBER(SEARCH("일1.2",$H446))),1,"")</f>
        <v/>
      </c>
      <c r="AC446" s="319">
        <f>IF(OR(ISNUMBER(SEARCH("일3",$H446)),ISNUMBER(SEARCH("일1.3",$H446)),ISNUMBER(SEARCH("일2.3",$H446)),ISNUMBER(SEARCH("일1.2.3",$H446))),1,"")</f>
        <v/>
      </c>
      <c r="AD446" s="319">
        <f>SUM(I446:AC446)</f>
        <v/>
      </c>
      <c r="AE446" s="323" t="n"/>
    </row>
    <row r="447" ht="24" customHeight="1">
      <c r="A447" s="168" t="n"/>
      <c r="B447" s="319" t="n"/>
      <c r="C447" s="319" t="n"/>
      <c r="D447" s="319" t="n"/>
      <c r="E447" s="341" t="n"/>
      <c r="F447" s="341" t="n"/>
      <c r="G447" s="342" t="n"/>
      <c r="H447" s="322" t="n"/>
      <c r="I447" s="319">
        <f>IF(ISNUMBER(SEARCH("월1",$H447)),1,"")</f>
        <v/>
      </c>
      <c r="J447" s="319">
        <f>IF(OR(ISNUMBER(SEARCH("월2",$H447)),ISNUMBER(SEARCH("월1.2",$H447))),1,"")</f>
        <v/>
      </c>
      <c r="K447" s="319">
        <f>IF(OR(ISNUMBER(SEARCH("월3",$H447)),ISNUMBER(SEARCH("월1.3",$H447)),ISNUMBER(SEARCH("월2.3",$H447)),ISNUMBER(SEARCH("월1.2.3",$H447))),1,"")</f>
        <v/>
      </c>
      <c r="L447" s="319">
        <f>IF(ISNUMBER(SEARCH("화1",$H447)),1,"")</f>
        <v/>
      </c>
      <c r="M447" s="319">
        <f>IF(OR(ISNUMBER(SEARCH("화2",$H447)),ISNUMBER(SEARCH("화1.2",$H447))),1,"")</f>
        <v/>
      </c>
      <c r="N447" s="319">
        <f>IF(OR(ISNUMBER(SEARCH("화3",$H447)),ISNUMBER(SEARCH("화1.3",$H447)),ISNUMBER(SEARCH("화2.3",$H447)),ISNUMBER(SEARCH("화1.2.3",$H447))),1,"")</f>
        <v/>
      </c>
      <c r="O447" s="319">
        <f>IF(ISNUMBER(SEARCH("수1",$H447)),1,"")</f>
        <v/>
      </c>
      <c r="P447" s="319">
        <f>IF(OR(ISNUMBER(SEARCH("수2",$H447)),ISNUMBER(SEARCH("수1.2",$H447))),1,"")</f>
        <v/>
      </c>
      <c r="Q447" s="319">
        <f>IF(OR(ISNUMBER(SEARCH("수3",$H447)),ISNUMBER(SEARCH("수1.3",$H447)),ISNUMBER(SEARCH("수2.3",$H447)),ISNUMBER(SEARCH("수1.2.3",$H447))),1,"")</f>
        <v/>
      </c>
      <c r="R447" s="319">
        <f>IF(ISNUMBER(SEARCH("목1",$H447)),1,"")</f>
        <v/>
      </c>
      <c r="S447" s="319">
        <f>IF(OR(ISNUMBER(SEARCH("목2",$H447)),ISNUMBER(SEARCH("목1.2",$H447))),1,"")</f>
        <v/>
      </c>
      <c r="T447" s="319">
        <f>IF(OR(ISNUMBER(SEARCH("목3",$H447)),ISNUMBER(SEARCH("목1.3",$H447)),ISNUMBER(SEARCH("목2.3",$H447)),ISNUMBER(SEARCH("목1.2.3",$H447))),1,"")</f>
        <v/>
      </c>
      <c r="U447" s="319">
        <f>IF(ISNUMBER(SEARCH("금1",$H447)),1,"")</f>
        <v/>
      </c>
      <c r="V447" s="319">
        <f>IF(OR(ISNUMBER(SEARCH("금2",$H447)),ISNUMBER(SEARCH("금1.2",$H447))),1,"")</f>
        <v/>
      </c>
      <c r="W447" s="319">
        <f>IF(OR(ISNUMBER(SEARCH("금3",$H447)),ISNUMBER(SEARCH("금1.3",$H447)),ISNUMBER(SEARCH("금2.3",$H447)),ISNUMBER(SEARCH("금1.2.3",$H447))),1,"")</f>
        <v/>
      </c>
      <c r="X447" s="319">
        <f>IF(ISNUMBER(SEARCH("토1",$H447)),1,"")</f>
        <v/>
      </c>
      <c r="Y447" s="319">
        <f>IF(OR(ISNUMBER(SEARCH("토2",$H447)),ISNUMBER(SEARCH("토1.2",$H447))),1,"")</f>
        <v/>
      </c>
      <c r="Z447" s="319">
        <f>IF(OR(ISNUMBER(SEARCH("토3",$H447)),ISNUMBER(SEARCH("토1.3",$H447)),ISNUMBER(SEARCH("토2.3",$H447)),ISNUMBER(SEARCH("토1.2.3",$H447))),1,"")</f>
        <v/>
      </c>
      <c r="AA447" s="319">
        <f>IF(ISNUMBER(SEARCH("일1",$H447)),1,"")</f>
        <v/>
      </c>
      <c r="AB447" s="319">
        <f>IF(OR(ISNUMBER(SEARCH("일2",$H447)),ISNUMBER(SEARCH("일1.2",$H447))),1,"")</f>
        <v/>
      </c>
      <c r="AC447" s="319">
        <f>IF(OR(ISNUMBER(SEARCH("일3",$H447)),ISNUMBER(SEARCH("일1.3",$H447)),ISNUMBER(SEARCH("일2.3",$H447)),ISNUMBER(SEARCH("일1.2.3",$H447))),1,"")</f>
        <v/>
      </c>
      <c r="AD447" s="319">
        <f>SUM(I447:AC447)</f>
        <v/>
      </c>
      <c r="AE447" s="323" t="n"/>
    </row>
    <row r="448" ht="24" customHeight="1">
      <c r="A448" s="168" t="n"/>
      <c r="B448" s="319" t="n"/>
      <c r="C448" s="319" t="n"/>
      <c r="D448" s="319" t="n"/>
      <c r="E448" s="341" t="n"/>
      <c r="F448" s="341" t="n"/>
      <c r="G448" s="342" t="n"/>
      <c r="H448" s="322" t="n"/>
      <c r="I448" s="319">
        <f>IF(ISNUMBER(SEARCH("월1",$H448)),1,"")</f>
        <v/>
      </c>
      <c r="J448" s="319">
        <f>IF(OR(ISNUMBER(SEARCH("월2",$H448)),ISNUMBER(SEARCH("월1.2",$H448))),1,"")</f>
        <v/>
      </c>
      <c r="K448" s="319">
        <f>IF(OR(ISNUMBER(SEARCH("월3",$H448)),ISNUMBER(SEARCH("월1.3",$H448)),ISNUMBER(SEARCH("월2.3",$H448)),ISNUMBER(SEARCH("월1.2.3",$H448))),1,"")</f>
        <v/>
      </c>
      <c r="L448" s="319">
        <f>IF(ISNUMBER(SEARCH("화1",$H448)),1,"")</f>
        <v/>
      </c>
      <c r="M448" s="319">
        <f>IF(OR(ISNUMBER(SEARCH("화2",$H448)),ISNUMBER(SEARCH("화1.2",$H448))),1,"")</f>
        <v/>
      </c>
      <c r="N448" s="319">
        <f>IF(OR(ISNUMBER(SEARCH("화3",$H448)),ISNUMBER(SEARCH("화1.3",$H448)),ISNUMBER(SEARCH("화2.3",$H448)),ISNUMBER(SEARCH("화1.2.3",$H448))),1,"")</f>
        <v/>
      </c>
      <c r="O448" s="319">
        <f>IF(ISNUMBER(SEARCH("수1",$H448)),1,"")</f>
        <v/>
      </c>
      <c r="P448" s="319">
        <f>IF(OR(ISNUMBER(SEARCH("수2",$H448)),ISNUMBER(SEARCH("수1.2",$H448))),1,"")</f>
        <v/>
      </c>
      <c r="Q448" s="319">
        <f>IF(OR(ISNUMBER(SEARCH("수3",$H448)),ISNUMBER(SEARCH("수1.3",$H448)),ISNUMBER(SEARCH("수2.3",$H448)),ISNUMBER(SEARCH("수1.2.3",$H448))),1,"")</f>
        <v/>
      </c>
      <c r="R448" s="319">
        <f>IF(ISNUMBER(SEARCH("목1",$H448)),1,"")</f>
        <v/>
      </c>
      <c r="S448" s="319">
        <f>IF(OR(ISNUMBER(SEARCH("목2",$H448)),ISNUMBER(SEARCH("목1.2",$H448))),1,"")</f>
        <v/>
      </c>
      <c r="T448" s="319">
        <f>IF(OR(ISNUMBER(SEARCH("목3",$H448)),ISNUMBER(SEARCH("목1.3",$H448)),ISNUMBER(SEARCH("목2.3",$H448)),ISNUMBER(SEARCH("목1.2.3",$H448))),1,"")</f>
        <v/>
      </c>
      <c r="U448" s="319">
        <f>IF(ISNUMBER(SEARCH("금1",$H448)),1,"")</f>
        <v/>
      </c>
      <c r="V448" s="319">
        <f>IF(OR(ISNUMBER(SEARCH("금2",$H448)),ISNUMBER(SEARCH("금1.2",$H448))),1,"")</f>
        <v/>
      </c>
      <c r="W448" s="319">
        <f>IF(OR(ISNUMBER(SEARCH("금3",$H448)),ISNUMBER(SEARCH("금1.3",$H448)),ISNUMBER(SEARCH("금2.3",$H448)),ISNUMBER(SEARCH("금1.2.3",$H448))),1,"")</f>
        <v/>
      </c>
      <c r="X448" s="319">
        <f>IF(ISNUMBER(SEARCH("토1",$H448)),1,"")</f>
        <v/>
      </c>
      <c r="Y448" s="319">
        <f>IF(OR(ISNUMBER(SEARCH("토2",$H448)),ISNUMBER(SEARCH("토1.2",$H448))),1,"")</f>
        <v/>
      </c>
      <c r="Z448" s="319">
        <f>IF(OR(ISNUMBER(SEARCH("토3",$H448)),ISNUMBER(SEARCH("토1.3",$H448)),ISNUMBER(SEARCH("토2.3",$H448)),ISNUMBER(SEARCH("토1.2.3",$H448))),1,"")</f>
        <v/>
      </c>
      <c r="AA448" s="319">
        <f>IF(ISNUMBER(SEARCH("일1",$H448)),1,"")</f>
        <v/>
      </c>
      <c r="AB448" s="319">
        <f>IF(OR(ISNUMBER(SEARCH("일2",$H448)),ISNUMBER(SEARCH("일1.2",$H448))),1,"")</f>
        <v/>
      </c>
      <c r="AC448" s="319">
        <f>IF(OR(ISNUMBER(SEARCH("일3",$H448)),ISNUMBER(SEARCH("일1.3",$H448)),ISNUMBER(SEARCH("일2.3",$H448)),ISNUMBER(SEARCH("일1.2.3",$H448))),1,"")</f>
        <v/>
      </c>
      <c r="AD448" s="319">
        <f>SUM(I448:AC448)</f>
        <v/>
      </c>
      <c r="AE448" s="323" t="n"/>
    </row>
    <row r="449" ht="24" customHeight="1">
      <c r="A449" s="168" t="n"/>
      <c r="B449" s="319" t="n"/>
      <c r="C449" s="319" t="n"/>
      <c r="D449" s="319" t="n"/>
      <c r="E449" s="341" t="n"/>
      <c r="F449" s="341" t="n"/>
      <c r="G449" s="342" t="n"/>
      <c r="H449" s="322" t="n"/>
      <c r="I449" s="319">
        <f>IF(ISNUMBER(SEARCH("월1",$H449)),1,"")</f>
        <v/>
      </c>
      <c r="J449" s="319">
        <f>IF(OR(ISNUMBER(SEARCH("월2",$H449)),ISNUMBER(SEARCH("월1.2",$H449))),1,"")</f>
        <v/>
      </c>
      <c r="K449" s="319">
        <f>IF(OR(ISNUMBER(SEARCH("월3",$H449)),ISNUMBER(SEARCH("월1.3",$H449)),ISNUMBER(SEARCH("월2.3",$H449)),ISNUMBER(SEARCH("월1.2.3",$H449))),1,"")</f>
        <v/>
      </c>
      <c r="L449" s="319">
        <f>IF(ISNUMBER(SEARCH("화1",$H449)),1,"")</f>
        <v/>
      </c>
      <c r="M449" s="319">
        <f>IF(OR(ISNUMBER(SEARCH("화2",$H449)),ISNUMBER(SEARCH("화1.2",$H449))),1,"")</f>
        <v/>
      </c>
      <c r="N449" s="319">
        <f>IF(OR(ISNUMBER(SEARCH("화3",$H449)),ISNUMBER(SEARCH("화1.3",$H449)),ISNUMBER(SEARCH("화2.3",$H449)),ISNUMBER(SEARCH("화1.2.3",$H449))),1,"")</f>
        <v/>
      </c>
      <c r="O449" s="319">
        <f>IF(ISNUMBER(SEARCH("수1",$H449)),1,"")</f>
        <v/>
      </c>
      <c r="P449" s="319">
        <f>IF(OR(ISNUMBER(SEARCH("수2",$H449)),ISNUMBER(SEARCH("수1.2",$H449))),1,"")</f>
        <v/>
      </c>
      <c r="Q449" s="319">
        <f>IF(OR(ISNUMBER(SEARCH("수3",$H449)),ISNUMBER(SEARCH("수1.3",$H449)),ISNUMBER(SEARCH("수2.3",$H449)),ISNUMBER(SEARCH("수1.2.3",$H449))),1,"")</f>
        <v/>
      </c>
      <c r="R449" s="319">
        <f>IF(ISNUMBER(SEARCH("목1",$H449)),1,"")</f>
        <v/>
      </c>
      <c r="S449" s="319">
        <f>IF(OR(ISNUMBER(SEARCH("목2",$H449)),ISNUMBER(SEARCH("목1.2",$H449))),1,"")</f>
        <v/>
      </c>
      <c r="T449" s="319">
        <f>IF(OR(ISNUMBER(SEARCH("목3",$H449)),ISNUMBER(SEARCH("목1.3",$H449)),ISNUMBER(SEARCH("목2.3",$H449)),ISNUMBER(SEARCH("목1.2.3",$H449))),1,"")</f>
        <v/>
      </c>
      <c r="U449" s="319">
        <f>IF(ISNUMBER(SEARCH("금1",$H449)),1,"")</f>
        <v/>
      </c>
      <c r="V449" s="319">
        <f>IF(OR(ISNUMBER(SEARCH("금2",$H449)),ISNUMBER(SEARCH("금1.2",$H449))),1,"")</f>
        <v/>
      </c>
      <c r="W449" s="319">
        <f>IF(OR(ISNUMBER(SEARCH("금3",$H449)),ISNUMBER(SEARCH("금1.3",$H449)),ISNUMBER(SEARCH("금2.3",$H449)),ISNUMBER(SEARCH("금1.2.3",$H449))),1,"")</f>
        <v/>
      </c>
      <c r="X449" s="319">
        <f>IF(ISNUMBER(SEARCH("토1",$H449)),1,"")</f>
        <v/>
      </c>
      <c r="Y449" s="319">
        <f>IF(OR(ISNUMBER(SEARCH("토2",$H449)),ISNUMBER(SEARCH("토1.2",$H449))),1,"")</f>
        <v/>
      </c>
      <c r="Z449" s="319">
        <f>IF(OR(ISNUMBER(SEARCH("토3",$H449)),ISNUMBER(SEARCH("토1.3",$H449)),ISNUMBER(SEARCH("토2.3",$H449)),ISNUMBER(SEARCH("토1.2.3",$H449))),1,"")</f>
        <v/>
      </c>
      <c r="AA449" s="319">
        <f>IF(ISNUMBER(SEARCH("일1",$H449)),1,"")</f>
        <v/>
      </c>
      <c r="AB449" s="319">
        <f>IF(OR(ISNUMBER(SEARCH("일2",$H449)),ISNUMBER(SEARCH("일1.2",$H449))),1,"")</f>
        <v/>
      </c>
      <c r="AC449" s="319">
        <f>IF(OR(ISNUMBER(SEARCH("일3",$H449)),ISNUMBER(SEARCH("일1.3",$H449)),ISNUMBER(SEARCH("일2.3",$H449)),ISNUMBER(SEARCH("일1.2.3",$H449))),1,"")</f>
        <v/>
      </c>
      <c r="AD449" s="319">
        <f>SUM(I449:AC449)</f>
        <v/>
      </c>
      <c r="AE449" s="323" t="n"/>
    </row>
    <row r="450" ht="24" customHeight="1">
      <c r="A450" s="168" t="n"/>
      <c r="B450" s="319" t="n"/>
      <c r="C450" s="319" t="n"/>
      <c r="D450" s="319" t="n"/>
      <c r="E450" s="341" t="n"/>
      <c r="F450" s="341" t="n"/>
      <c r="G450" s="342" t="n"/>
      <c r="H450" s="322" t="n"/>
      <c r="I450" s="319">
        <f>IF(ISNUMBER(SEARCH("월1",$H450)),1,"")</f>
        <v/>
      </c>
      <c r="J450" s="319">
        <f>IF(OR(ISNUMBER(SEARCH("월2",$H450)),ISNUMBER(SEARCH("월1.2",$H450))),1,"")</f>
        <v/>
      </c>
      <c r="K450" s="319">
        <f>IF(OR(ISNUMBER(SEARCH("월3",$H450)),ISNUMBER(SEARCH("월1.3",$H450)),ISNUMBER(SEARCH("월2.3",$H450)),ISNUMBER(SEARCH("월1.2.3",$H450))),1,"")</f>
        <v/>
      </c>
      <c r="L450" s="319">
        <f>IF(ISNUMBER(SEARCH("화1",$H450)),1,"")</f>
        <v/>
      </c>
      <c r="M450" s="319">
        <f>IF(OR(ISNUMBER(SEARCH("화2",$H450)),ISNUMBER(SEARCH("화1.2",$H450))),1,"")</f>
        <v/>
      </c>
      <c r="N450" s="319">
        <f>IF(OR(ISNUMBER(SEARCH("화3",$H450)),ISNUMBER(SEARCH("화1.3",$H450)),ISNUMBER(SEARCH("화2.3",$H450)),ISNUMBER(SEARCH("화1.2.3",$H450))),1,"")</f>
        <v/>
      </c>
      <c r="O450" s="319">
        <f>IF(ISNUMBER(SEARCH("수1",$H450)),1,"")</f>
        <v/>
      </c>
      <c r="P450" s="319">
        <f>IF(OR(ISNUMBER(SEARCH("수2",$H450)),ISNUMBER(SEARCH("수1.2",$H450))),1,"")</f>
        <v/>
      </c>
      <c r="Q450" s="319">
        <f>IF(OR(ISNUMBER(SEARCH("수3",$H450)),ISNUMBER(SEARCH("수1.3",$H450)),ISNUMBER(SEARCH("수2.3",$H450)),ISNUMBER(SEARCH("수1.2.3",$H450))),1,"")</f>
        <v/>
      </c>
      <c r="R450" s="319">
        <f>IF(ISNUMBER(SEARCH("목1",$H450)),1,"")</f>
        <v/>
      </c>
      <c r="S450" s="319">
        <f>IF(OR(ISNUMBER(SEARCH("목2",$H450)),ISNUMBER(SEARCH("목1.2",$H450))),1,"")</f>
        <v/>
      </c>
      <c r="T450" s="319">
        <f>IF(OR(ISNUMBER(SEARCH("목3",$H450)),ISNUMBER(SEARCH("목1.3",$H450)),ISNUMBER(SEARCH("목2.3",$H450)),ISNUMBER(SEARCH("목1.2.3",$H450))),1,"")</f>
        <v/>
      </c>
      <c r="U450" s="319">
        <f>IF(ISNUMBER(SEARCH("금1",$H450)),1,"")</f>
        <v/>
      </c>
      <c r="V450" s="319">
        <f>IF(OR(ISNUMBER(SEARCH("금2",$H450)),ISNUMBER(SEARCH("금1.2",$H450))),1,"")</f>
        <v/>
      </c>
      <c r="W450" s="319">
        <f>IF(OR(ISNUMBER(SEARCH("금3",$H450)),ISNUMBER(SEARCH("금1.3",$H450)),ISNUMBER(SEARCH("금2.3",$H450)),ISNUMBER(SEARCH("금1.2.3",$H450))),1,"")</f>
        <v/>
      </c>
      <c r="X450" s="319">
        <f>IF(ISNUMBER(SEARCH("토1",$H450)),1,"")</f>
        <v/>
      </c>
      <c r="Y450" s="319">
        <f>IF(OR(ISNUMBER(SEARCH("토2",$H450)),ISNUMBER(SEARCH("토1.2",$H450))),1,"")</f>
        <v/>
      </c>
      <c r="Z450" s="319">
        <f>IF(OR(ISNUMBER(SEARCH("토3",$H450)),ISNUMBER(SEARCH("토1.3",$H450)),ISNUMBER(SEARCH("토2.3",$H450)),ISNUMBER(SEARCH("토1.2.3",$H450))),1,"")</f>
        <v/>
      </c>
      <c r="AA450" s="319">
        <f>IF(ISNUMBER(SEARCH("일1",$H450)),1,"")</f>
        <v/>
      </c>
      <c r="AB450" s="319">
        <f>IF(OR(ISNUMBER(SEARCH("일2",$H450)),ISNUMBER(SEARCH("일1.2",$H450))),1,"")</f>
        <v/>
      </c>
      <c r="AC450" s="319">
        <f>IF(OR(ISNUMBER(SEARCH("일3",$H450)),ISNUMBER(SEARCH("일1.3",$H450)),ISNUMBER(SEARCH("일2.3",$H450)),ISNUMBER(SEARCH("일1.2.3",$H450))),1,"")</f>
        <v/>
      </c>
      <c r="AD450" s="319">
        <f>SUM(I450:AC450)</f>
        <v/>
      </c>
      <c r="AE450" s="323" t="n"/>
    </row>
    <row r="451" ht="24" customHeight="1">
      <c r="A451" s="168" t="n"/>
      <c r="B451" s="319" t="n"/>
      <c r="C451" s="319" t="n"/>
      <c r="D451" s="319" t="n"/>
      <c r="E451" s="341" t="n"/>
      <c r="F451" s="341" t="n"/>
      <c r="G451" s="342" t="n"/>
      <c r="H451" s="322" t="n"/>
      <c r="I451" s="319">
        <f>IF(ISNUMBER(SEARCH("월1",$H451)),1,"")</f>
        <v/>
      </c>
      <c r="J451" s="319">
        <f>IF(OR(ISNUMBER(SEARCH("월2",$H451)),ISNUMBER(SEARCH("월1.2",$H451))),1,"")</f>
        <v/>
      </c>
      <c r="K451" s="319">
        <f>IF(OR(ISNUMBER(SEARCH("월3",$H451)),ISNUMBER(SEARCH("월1.3",$H451)),ISNUMBER(SEARCH("월2.3",$H451)),ISNUMBER(SEARCH("월1.2.3",$H451))),1,"")</f>
        <v/>
      </c>
      <c r="L451" s="319">
        <f>IF(ISNUMBER(SEARCH("화1",$H451)),1,"")</f>
        <v/>
      </c>
      <c r="M451" s="319">
        <f>IF(OR(ISNUMBER(SEARCH("화2",$H451)),ISNUMBER(SEARCH("화1.2",$H451))),1,"")</f>
        <v/>
      </c>
      <c r="N451" s="319">
        <f>IF(OR(ISNUMBER(SEARCH("화3",$H451)),ISNUMBER(SEARCH("화1.3",$H451)),ISNUMBER(SEARCH("화2.3",$H451)),ISNUMBER(SEARCH("화1.2.3",$H451))),1,"")</f>
        <v/>
      </c>
      <c r="O451" s="319">
        <f>IF(ISNUMBER(SEARCH("수1",$H451)),1,"")</f>
        <v/>
      </c>
      <c r="P451" s="319">
        <f>IF(OR(ISNUMBER(SEARCH("수2",$H451)),ISNUMBER(SEARCH("수1.2",$H451))),1,"")</f>
        <v/>
      </c>
      <c r="Q451" s="319">
        <f>IF(OR(ISNUMBER(SEARCH("수3",$H451)),ISNUMBER(SEARCH("수1.3",$H451)),ISNUMBER(SEARCH("수2.3",$H451)),ISNUMBER(SEARCH("수1.2.3",$H451))),1,"")</f>
        <v/>
      </c>
      <c r="R451" s="319">
        <f>IF(ISNUMBER(SEARCH("목1",$H451)),1,"")</f>
        <v/>
      </c>
      <c r="S451" s="319">
        <f>IF(OR(ISNUMBER(SEARCH("목2",$H451)),ISNUMBER(SEARCH("목1.2",$H451))),1,"")</f>
        <v/>
      </c>
      <c r="T451" s="319">
        <f>IF(OR(ISNUMBER(SEARCH("목3",$H451)),ISNUMBER(SEARCH("목1.3",$H451)),ISNUMBER(SEARCH("목2.3",$H451)),ISNUMBER(SEARCH("목1.2.3",$H451))),1,"")</f>
        <v/>
      </c>
      <c r="U451" s="319">
        <f>IF(ISNUMBER(SEARCH("금1",$H451)),1,"")</f>
        <v/>
      </c>
      <c r="V451" s="319">
        <f>IF(OR(ISNUMBER(SEARCH("금2",$H451)),ISNUMBER(SEARCH("금1.2",$H451))),1,"")</f>
        <v/>
      </c>
      <c r="W451" s="319">
        <f>IF(OR(ISNUMBER(SEARCH("금3",$H451)),ISNUMBER(SEARCH("금1.3",$H451)),ISNUMBER(SEARCH("금2.3",$H451)),ISNUMBER(SEARCH("금1.2.3",$H451))),1,"")</f>
        <v/>
      </c>
      <c r="X451" s="319">
        <f>IF(ISNUMBER(SEARCH("토1",$H451)),1,"")</f>
        <v/>
      </c>
      <c r="Y451" s="319">
        <f>IF(OR(ISNUMBER(SEARCH("토2",$H451)),ISNUMBER(SEARCH("토1.2",$H451))),1,"")</f>
        <v/>
      </c>
      <c r="Z451" s="319">
        <f>IF(OR(ISNUMBER(SEARCH("토3",$H451)),ISNUMBER(SEARCH("토1.3",$H451)),ISNUMBER(SEARCH("토2.3",$H451)),ISNUMBER(SEARCH("토1.2.3",$H451))),1,"")</f>
        <v/>
      </c>
      <c r="AA451" s="319">
        <f>IF(ISNUMBER(SEARCH("일1",$H451)),1,"")</f>
        <v/>
      </c>
      <c r="AB451" s="319">
        <f>IF(OR(ISNUMBER(SEARCH("일2",$H451)),ISNUMBER(SEARCH("일1.2",$H451))),1,"")</f>
        <v/>
      </c>
      <c r="AC451" s="319">
        <f>IF(OR(ISNUMBER(SEARCH("일3",$H451)),ISNUMBER(SEARCH("일1.3",$H451)),ISNUMBER(SEARCH("일2.3",$H451)),ISNUMBER(SEARCH("일1.2.3",$H451))),1,"")</f>
        <v/>
      </c>
      <c r="AD451" s="319">
        <f>SUM(I451:AC451)</f>
        <v/>
      </c>
      <c r="AE451" s="323" t="n"/>
    </row>
    <row r="452" ht="24" customHeight="1">
      <c r="A452" s="168" t="n"/>
      <c r="B452" s="319" t="n"/>
      <c r="C452" s="319" t="n"/>
      <c r="D452" s="319" t="n"/>
      <c r="E452" s="341" t="n"/>
      <c r="F452" s="341" t="n"/>
      <c r="G452" s="342" t="n"/>
      <c r="H452" s="322" t="n"/>
      <c r="I452" s="319">
        <f>IF(ISNUMBER(SEARCH("월1",$H452)),1,"")</f>
        <v/>
      </c>
      <c r="J452" s="319">
        <f>IF(OR(ISNUMBER(SEARCH("월2",$H452)),ISNUMBER(SEARCH("월1.2",$H452))),1,"")</f>
        <v/>
      </c>
      <c r="K452" s="319">
        <f>IF(OR(ISNUMBER(SEARCH("월3",$H452)),ISNUMBER(SEARCH("월1.3",$H452)),ISNUMBER(SEARCH("월2.3",$H452)),ISNUMBER(SEARCH("월1.2.3",$H452))),1,"")</f>
        <v/>
      </c>
      <c r="L452" s="319">
        <f>IF(ISNUMBER(SEARCH("화1",$H452)),1,"")</f>
        <v/>
      </c>
      <c r="M452" s="319">
        <f>IF(OR(ISNUMBER(SEARCH("화2",$H452)),ISNUMBER(SEARCH("화1.2",$H452))),1,"")</f>
        <v/>
      </c>
      <c r="N452" s="319">
        <f>IF(OR(ISNUMBER(SEARCH("화3",$H452)),ISNUMBER(SEARCH("화1.3",$H452)),ISNUMBER(SEARCH("화2.3",$H452)),ISNUMBER(SEARCH("화1.2.3",$H452))),1,"")</f>
        <v/>
      </c>
      <c r="O452" s="319">
        <f>IF(ISNUMBER(SEARCH("수1",$H452)),1,"")</f>
        <v/>
      </c>
      <c r="P452" s="319">
        <f>IF(OR(ISNUMBER(SEARCH("수2",$H452)),ISNUMBER(SEARCH("수1.2",$H452))),1,"")</f>
        <v/>
      </c>
      <c r="Q452" s="319">
        <f>IF(OR(ISNUMBER(SEARCH("수3",$H452)),ISNUMBER(SEARCH("수1.3",$H452)),ISNUMBER(SEARCH("수2.3",$H452)),ISNUMBER(SEARCH("수1.2.3",$H452))),1,"")</f>
        <v/>
      </c>
      <c r="R452" s="319">
        <f>IF(ISNUMBER(SEARCH("목1",$H452)),1,"")</f>
        <v/>
      </c>
      <c r="S452" s="319">
        <f>IF(OR(ISNUMBER(SEARCH("목2",$H452)),ISNUMBER(SEARCH("목1.2",$H452))),1,"")</f>
        <v/>
      </c>
      <c r="T452" s="319">
        <f>IF(OR(ISNUMBER(SEARCH("목3",$H452)),ISNUMBER(SEARCH("목1.3",$H452)),ISNUMBER(SEARCH("목2.3",$H452)),ISNUMBER(SEARCH("목1.2.3",$H452))),1,"")</f>
        <v/>
      </c>
      <c r="U452" s="319">
        <f>IF(ISNUMBER(SEARCH("금1",$H452)),1,"")</f>
        <v/>
      </c>
      <c r="V452" s="319">
        <f>IF(OR(ISNUMBER(SEARCH("금2",$H452)),ISNUMBER(SEARCH("금1.2",$H452))),1,"")</f>
        <v/>
      </c>
      <c r="W452" s="319">
        <f>IF(OR(ISNUMBER(SEARCH("금3",$H452)),ISNUMBER(SEARCH("금1.3",$H452)),ISNUMBER(SEARCH("금2.3",$H452)),ISNUMBER(SEARCH("금1.2.3",$H452))),1,"")</f>
        <v/>
      </c>
      <c r="X452" s="319">
        <f>IF(ISNUMBER(SEARCH("토1",$H452)),1,"")</f>
        <v/>
      </c>
      <c r="Y452" s="319">
        <f>IF(OR(ISNUMBER(SEARCH("토2",$H452)),ISNUMBER(SEARCH("토1.2",$H452))),1,"")</f>
        <v/>
      </c>
      <c r="Z452" s="319">
        <f>IF(OR(ISNUMBER(SEARCH("토3",$H452)),ISNUMBER(SEARCH("토1.3",$H452)),ISNUMBER(SEARCH("토2.3",$H452)),ISNUMBER(SEARCH("토1.2.3",$H452))),1,"")</f>
        <v/>
      </c>
      <c r="AA452" s="319">
        <f>IF(ISNUMBER(SEARCH("일1",$H452)),1,"")</f>
        <v/>
      </c>
      <c r="AB452" s="319">
        <f>IF(OR(ISNUMBER(SEARCH("일2",$H452)),ISNUMBER(SEARCH("일1.2",$H452))),1,"")</f>
        <v/>
      </c>
      <c r="AC452" s="319">
        <f>IF(OR(ISNUMBER(SEARCH("일3",$H452)),ISNUMBER(SEARCH("일1.3",$H452)),ISNUMBER(SEARCH("일2.3",$H452)),ISNUMBER(SEARCH("일1.2.3",$H452))),1,"")</f>
        <v/>
      </c>
      <c r="AD452" s="319">
        <f>SUM(I452:AC452)</f>
        <v/>
      </c>
      <c r="AE452" s="323" t="n"/>
    </row>
    <row r="453" ht="24" customHeight="1">
      <c r="A453" s="168" t="n"/>
      <c r="B453" s="319" t="n"/>
      <c r="C453" s="319" t="n"/>
      <c r="D453" s="319" t="n"/>
      <c r="E453" s="341" t="n"/>
      <c r="F453" s="341" t="n"/>
      <c r="G453" s="342" t="n"/>
      <c r="H453" s="322" t="n"/>
      <c r="I453" s="319">
        <f>IF(ISNUMBER(SEARCH("월1",$H453)),1,"")</f>
        <v/>
      </c>
      <c r="J453" s="319">
        <f>IF(OR(ISNUMBER(SEARCH("월2",$H453)),ISNUMBER(SEARCH("월1.2",$H453))),1,"")</f>
        <v/>
      </c>
      <c r="K453" s="319">
        <f>IF(OR(ISNUMBER(SEARCH("월3",$H453)),ISNUMBER(SEARCH("월1.3",$H453)),ISNUMBER(SEARCH("월2.3",$H453)),ISNUMBER(SEARCH("월1.2.3",$H453))),1,"")</f>
        <v/>
      </c>
      <c r="L453" s="319">
        <f>IF(ISNUMBER(SEARCH("화1",$H453)),1,"")</f>
        <v/>
      </c>
      <c r="M453" s="319">
        <f>IF(OR(ISNUMBER(SEARCH("화2",$H453)),ISNUMBER(SEARCH("화1.2",$H453))),1,"")</f>
        <v/>
      </c>
      <c r="N453" s="319">
        <f>IF(OR(ISNUMBER(SEARCH("화3",$H453)),ISNUMBER(SEARCH("화1.3",$H453)),ISNUMBER(SEARCH("화2.3",$H453)),ISNUMBER(SEARCH("화1.2.3",$H453))),1,"")</f>
        <v/>
      </c>
      <c r="O453" s="319">
        <f>IF(ISNUMBER(SEARCH("수1",$H453)),1,"")</f>
        <v/>
      </c>
      <c r="P453" s="319">
        <f>IF(OR(ISNUMBER(SEARCH("수2",$H453)),ISNUMBER(SEARCH("수1.2",$H453))),1,"")</f>
        <v/>
      </c>
      <c r="Q453" s="319">
        <f>IF(OR(ISNUMBER(SEARCH("수3",$H453)),ISNUMBER(SEARCH("수1.3",$H453)),ISNUMBER(SEARCH("수2.3",$H453)),ISNUMBER(SEARCH("수1.2.3",$H453))),1,"")</f>
        <v/>
      </c>
      <c r="R453" s="319">
        <f>IF(ISNUMBER(SEARCH("목1",$H453)),1,"")</f>
        <v/>
      </c>
      <c r="S453" s="319">
        <f>IF(OR(ISNUMBER(SEARCH("목2",$H453)),ISNUMBER(SEARCH("목1.2",$H453))),1,"")</f>
        <v/>
      </c>
      <c r="T453" s="319">
        <f>IF(OR(ISNUMBER(SEARCH("목3",$H453)),ISNUMBER(SEARCH("목1.3",$H453)),ISNUMBER(SEARCH("목2.3",$H453)),ISNUMBER(SEARCH("목1.2.3",$H453))),1,"")</f>
        <v/>
      </c>
      <c r="U453" s="319">
        <f>IF(ISNUMBER(SEARCH("금1",$H453)),1,"")</f>
        <v/>
      </c>
      <c r="V453" s="319">
        <f>IF(OR(ISNUMBER(SEARCH("금2",$H453)),ISNUMBER(SEARCH("금1.2",$H453))),1,"")</f>
        <v/>
      </c>
      <c r="W453" s="319">
        <f>IF(OR(ISNUMBER(SEARCH("금3",$H453)),ISNUMBER(SEARCH("금1.3",$H453)),ISNUMBER(SEARCH("금2.3",$H453)),ISNUMBER(SEARCH("금1.2.3",$H453))),1,"")</f>
        <v/>
      </c>
      <c r="X453" s="319">
        <f>IF(ISNUMBER(SEARCH("토1",$H453)),1,"")</f>
        <v/>
      </c>
      <c r="Y453" s="319">
        <f>IF(OR(ISNUMBER(SEARCH("토2",$H453)),ISNUMBER(SEARCH("토1.2",$H453))),1,"")</f>
        <v/>
      </c>
      <c r="Z453" s="319">
        <f>IF(OR(ISNUMBER(SEARCH("토3",$H453)),ISNUMBER(SEARCH("토1.3",$H453)),ISNUMBER(SEARCH("토2.3",$H453)),ISNUMBER(SEARCH("토1.2.3",$H453))),1,"")</f>
        <v/>
      </c>
      <c r="AA453" s="319">
        <f>IF(ISNUMBER(SEARCH("일1",$H453)),1,"")</f>
        <v/>
      </c>
      <c r="AB453" s="319">
        <f>IF(OR(ISNUMBER(SEARCH("일2",$H453)),ISNUMBER(SEARCH("일1.2",$H453))),1,"")</f>
        <v/>
      </c>
      <c r="AC453" s="319">
        <f>IF(OR(ISNUMBER(SEARCH("일3",$H453)),ISNUMBER(SEARCH("일1.3",$H453)),ISNUMBER(SEARCH("일2.3",$H453)),ISNUMBER(SEARCH("일1.2.3",$H453))),1,"")</f>
        <v/>
      </c>
      <c r="AD453" s="319">
        <f>SUM(I453:AC453)</f>
        <v/>
      </c>
      <c r="AE453" s="323" t="n"/>
    </row>
    <row r="454" ht="24" customHeight="1">
      <c r="A454" s="168" t="n"/>
      <c r="B454" s="319" t="n"/>
      <c r="C454" s="319" t="n"/>
      <c r="D454" s="319" t="n"/>
      <c r="E454" s="341" t="n"/>
      <c r="F454" s="341" t="n"/>
      <c r="G454" s="342" t="n"/>
      <c r="H454" s="322" t="n"/>
      <c r="I454" s="319">
        <f>IF(ISNUMBER(SEARCH("월1",$H454)),1,"")</f>
        <v/>
      </c>
      <c r="J454" s="319">
        <f>IF(OR(ISNUMBER(SEARCH("월2",$H454)),ISNUMBER(SEARCH("월1.2",$H454))),1,"")</f>
        <v/>
      </c>
      <c r="K454" s="319">
        <f>IF(OR(ISNUMBER(SEARCH("월3",$H454)),ISNUMBER(SEARCH("월1.3",$H454)),ISNUMBER(SEARCH("월2.3",$H454)),ISNUMBER(SEARCH("월1.2.3",$H454))),1,"")</f>
        <v/>
      </c>
      <c r="L454" s="319">
        <f>IF(ISNUMBER(SEARCH("화1",$H454)),1,"")</f>
        <v/>
      </c>
      <c r="M454" s="319">
        <f>IF(OR(ISNUMBER(SEARCH("화2",$H454)),ISNUMBER(SEARCH("화1.2",$H454))),1,"")</f>
        <v/>
      </c>
      <c r="N454" s="319">
        <f>IF(OR(ISNUMBER(SEARCH("화3",$H454)),ISNUMBER(SEARCH("화1.3",$H454)),ISNUMBER(SEARCH("화2.3",$H454)),ISNUMBER(SEARCH("화1.2.3",$H454))),1,"")</f>
        <v/>
      </c>
      <c r="O454" s="319">
        <f>IF(ISNUMBER(SEARCH("수1",$H454)),1,"")</f>
        <v/>
      </c>
      <c r="P454" s="319">
        <f>IF(OR(ISNUMBER(SEARCH("수2",$H454)),ISNUMBER(SEARCH("수1.2",$H454))),1,"")</f>
        <v/>
      </c>
      <c r="Q454" s="319">
        <f>IF(OR(ISNUMBER(SEARCH("수3",$H454)),ISNUMBER(SEARCH("수1.3",$H454)),ISNUMBER(SEARCH("수2.3",$H454)),ISNUMBER(SEARCH("수1.2.3",$H454))),1,"")</f>
        <v/>
      </c>
      <c r="R454" s="319">
        <f>IF(ISNUMBER(SEARCH("목1",$H454)),1,"")</f>
        <v/>
      </c>
      <c r="S454" s="319">
        <f>IF(OR(ISNUMBER(SEARCH("목2",$H454)),ISNUMBER(SEARCH("목1.2",$H454))),1,"")</f>
        <v/>
      </c>
      <c r="T454" s="319">
        <f>IF(OR(ISNUMBER(SEARCH("목3",$H454)),ISNUMBER(SEARCH("목1.3",$H454)),ISNUMBER(SEARCH("목2.3",$H454)),ISNUMBER(SEARCH("목1.2.3",$H454))),1,"")</f>
        <v/>
      </c>
      <c r="U454" s="319">
        <f>IF(ISNUMBER(SEARCH("금1",$H454)),1,"")</f>
        <v/>
      </c>
      <c r="V454" s="319">
        <f>IF(OR(ISNUMBER(SEARCH("금2",$H454)),ISNUMBER(SEARCH("금1.2",$H454))),1,"")</f>
        <v/>
      </c>
      <c r="W454" s="319">
        <f>IF(OR(ISNUMBER(SEARCH("금3",$H454)),ISNUMBER(SEARCH("금1.3",$H454)),ISNUMBER(SEARCH("금2.3",$H454)),ISNUMBER(SEARCH("금1.2.3",$H454))),1,"")</f>
        <v/>
      </c>
      <c r="X454" s="319">
        <f>IF(ISNUMBER(SEARCH("토1",$H454)),1,"")</f>
        <v/>
      </c>
      <c r="Y454" s="319">
        <f>IF(OR(ISNUMBER(SEARCH("토2",$H454)),ISNUMBER(SEARCH("토1.2",$H454))),1,"")</f>
        <v/>
      </c>
      <c r="Z454" s="319">
        <f>IF(OR(ISNUMBER(SEARCH("토3",$H454)),ISNUMBER(SEARCH("토1.3",$H454)),ISNUMBER(SEARCH("토2.3",$H454)),ISNUMBER(SEARCH("토1.2.3",$H454))),1,"")</f>
        <v/>
      </c>
      <c r="AA454" s="319">
        <f>IF(ISNUMBER(SEARCH("일1",$H454)),1,"")</f>
        <v/>
      </c>
      <c r="AB454" s="319">
        <f>IF(OR(ISNUMBER(SEARCH("일2",$H454)),ISNUMBER(SEARCH("일1.2",$H454))),1,"")</f>
        <v/>
      </c>
      <c r="AC454" s="319">
        <f>IF(OR(ISNUMBER(SEARCH("일3",$H454)),ISNUMBER(SEARCH("일1.3",$H454)),ISNUMBER(SEARCH("일2.3",$H454)),ISNUMBER(SEARCH("일1.2.3",$H454))),1,"")</f>
        <v/>
      </c>
      <c r="AD454" s="319">
        <f>SUM(I454:AC454)</f>
        <v/>
      </c>
      <c r="AE454" s="323" t="n"/>
    </row>
    <row r="455" ht="24" customHeight="1">
      <c r="A455" s="168" t="n"/>
      <c r="B455" s="319" t="n"/>
      <c r="C455" s="319" t="n"/>
      <c r="D455" s="319" t="n"/>
      <c r="E455" s="341" t="n"/>
      <c r="F455" s="341" t="n"/>
      <c r="G455" s="342" t="n"/>
      <c r="H455" s="322" t="n"/>
      <c r="I455" s="319">
        <f>IF(ISNUMBER(SEARCH("월1",$H455)),1,"")</f>
        <v/>
      </c>
      <c r="J455" s="319">
        <f>IF(OR(ISNUMBER(SEARCH("월2",$H455)),ISNUMBER(SEARCH("월1.2",$H455))),1,"")</f>
        <v/>
      </c>
      <c r="K455" s="319">
        <f>IF(OR(ISNUMBER(SEARCH("월3",$H455)),ISNUMBER(SEARCH("월1.3",$H455)),ISNUMBER(SEARCH("월2.3",$H455)),ISNUMBER(SEARCH("월1.2.3",$H455))),1,"")</f>
        <v/>
      </c>
      <c r="L455" s="319">
        <f>IF(ISNUMBER(SEARCH("화1",$H455)),1,"")</f>
        <v/>
      </c>
      <c r="M455" s="319">
        <f>IF(OR(ISNUMBER(SEARCH("화2",$H455)),ISNUMBER(SEARCH("화1.2",$H455))),1,"")</f>
        <v/>
      </c>
      <c r="N455" s="319">
        <f>IF(OR(ISNUMBER(SEARCH("화3",$H455)),ISNUMBER(SEARCH("화1.3",$H455)),ISNUMBER(SEARCH("화2.3",$H455)),ISNUMBER(SEARCH("화1.2.3",$H455))),1,"")</f>
        <v/>
      </c>
      <c r="O455" s="319">
        <f>IF(ISNUMBER(SEARCH("수1",$H455)),1,"")</f>
        <v/>
      </c>
      <c r="P455" s="319">
        <f>IF(OR(ISNUMBER(SEARCH("수2",$H455)),ISNUMBER(SEARCH("수1.2",$H455))),1,"")</f>
        <v/>
      </c>
      <c r="Q455" s="319">
        <f>IF(OR(ISNUMBER(SEARCH("수3",$H455)),ISNUMBER(SEARCH("수1.3",$H455)),ISNUMBER(SEARCH("수2.3",$H455)),ISNUMBER(SEARCH("수1.2.3",$H455))),1,"")</f>
        <v/>
      </c>
      <c r="R455" s="319">
        <f>IF(ISNUMBER(SEARCH("목1",$H455)),1,"")</f>
        <v/>
      </c>
      <c r="S455" s="319">
        <f>IF(OR(ISNUMBER(SEARCH("목2",$H455)),ISNUMBER(SEARCH("목1.2",$H455))),1,"")</f>
        <v/>
      </c>
      <c r="T455" s="319">
        <f>IF(OR(ISNUMBER(SEARCH("목3",$H455)),ISNUMBER(SEARCH("목1.3",$H455)),ISNUMBER(SEARCH("목2.3",$H455)),ISNUMBER(SEARCH("목1.2.3",$H455))),1,"")</f>
        <v/>
      </c>
      <c r="U455" s="319">
        <f>IF(ISNUMBER(SEARCH("금1",$H455)),1,"")</f>
        <v/>
      </c>
      <c r="V455" s="319">
        <f>IF(OR(ISNUMBER(SEARCH("금2",$H455)),ISNUMBER(SEARCH("금1.2",$H455))),1,"")</f>
        <v/>
      </c>
      <c r="W455" s="319">
        <f>IF(OR(ISNUMBER(SEARCH("금3",$H455)),ISNUMBER(SEARCH("금1.3",$H455)),ISNUMBER(SEARCH("금2.3",$H455)),ISNUMBER(SEARCH("금1.2.3",$H455))),1,"")</f>
        <v/>
      </c>
      <c r="X455" s="319">
        <f>IF(ISNUMBER(SEARCH("토1",$H455)),1,"")</f>
        <v/>
      </c>
      <c r="Y455" s="319">
        <f>IF(OR(ISNUMBER(SEARCH("토2",$H455)),ISNUMBER(SEARCH("토1.2",$H455))),1,"")</f>
        <v/>
      </c>
      <c r="Z455" s="319">
        <f>IF(OR(ISNUMBER(SEARCH("토3",$H455)),ISNUMBER(SEARCH("토1.3",$H455)),ISNUMBER(SEARCH("토2.3",$H455)),ISNUMBER(SEARCH("토1.2.3",$H455))),1,"")</f>
        <v/>
      </c>
      <c r="AA455" s="319">
        <f>IF(ISNUMBER(SEARCH("일1",$H455)),1,"")</f>
        <v/>
      </c>
      <c r="AB455" s="319">
        <f>IF(OR(ISNUMBER(SEARCH("일2",$H455)),ISNUMBER(SEARCH("일1.2",$H455))),1,"")</f>
        <v/>
      </c>
      <c r="AC455" s="319">
        <f>IF(OR(ISNUMBER(SEARCH("일3",$H455)),ISNUMBER(SEARCH("일1.3",$H455)),ISNUMBER(SEARCH("일2.3",$H455)),ISNUMBER(SEARCH("일1.2.3",$H455))),1,"")</f>
        <v/>
      </c>
      <c r="AD455" s="319">
        <f>SUM(I455:AC455)</f>
        <v/>
      </c>
      <c r="AE455" s="323" t="n"/>
    </row>
    <row r="456" ht="24" customHeight="1">
      <c r="A456" s="168" t="n"/>
      <c r="B456" s="319" t="n"/>
      <c r="C456" s="319" t="n"/>
      <c r="D456" s="319" t="n"/>
      <c r="E456" s="341" t="n"/>
      <c r="F456" s="341" t="n"/>
      <c r="G456" s="342" t="n"/>
      <c r="H456" s="322" t="n"/>
      <c r="I456" s="319">
        <f>IF(ISNUMBER(SEARCH("월1",$H456)),1,"")</f>
        <v/>
      </c>
      <c r="J456" s="319">
        <f>IF(OR(ISNUMBER(SEARCH("월2",$H456)),ISNUMBER(SEARCH("월1.2",$H456))),1,"")</f>
        <v/>
      </c>
      <c r="K456" s="319">
        <f>IF(OR(ISNUMBER(SEARCH("월3",$H456)),ISNUMBER(SEARCH("월1.3",$H456)),ISNUMBER(SEARCH("월2.3",$H456)),ISNUMBER(SEARCH("월1.2.3",$H456))),1,"")</f>
        <v/>
      </c>
      <c r="L456" s="319">
        <f>IF(ISNUMBER(SEARCH("화1",$H456)),1,"")</f>
        <v/>
      </c>
      <c r="M456" s="319">
        <f>IF(OR(ISNUMBER(SEARCH("화2",$H456)),ISNUMBER(SEARCH("화1.2",$H456))),1,"")</f>
        <v/>
      </c>
      <c r="N456" s="319">
        <f>IF(OR(ISNUMBER(SEARCH("화3",$H456)),ISNUMBER(SEARCH("화1.3",$H456)),ISNUMBER(SEARCH("화2.3",$H456)),ISNUMBER(SEARCH("화1.2.3",$H456))),1,"")</f>
        <v/>
      </c>
      <c r="O456" s="319">
        <f>IF(ISNUMBER(SEARCH("수1",$H456)),1,"")</f>
        <v/>
      </c>
      <c r="P456" s="319">
        <f>IF(OR(ISNUMBER(SEARCH("수2",$H456)),ISNUMBER(SEARCH("수1.2",$H456))),1,"")</f>
        <v/>
      </c>
      <c r="Q456" s="319">
        <f>IF(OR(ISNUMBER(SEARCH("수3",$H456)),ISNUMBER(SEARCH("수1.3",$H456)),ISNUMBER(SEARCH("수2.3",$H456)),ISNUMBER(SEARCH("수1.2.3",$H456))),1,"")</f>
        <v/>
      </c>
      <c r="R456" s="319">
        <f>IF(ISNUMBER(SEARCH("목1",$H456)),1,"")</f>
        <v/>
      </c>
      <c r="S456" s="319">
        <f>IF(OR(ISNUMBER(SEARCH("목2",$H456)),ISNUMBER(SEARCH("목1.2",$H456))),1,"")</f>
        <v/>
      </c>
      <c r="T456" s="319">
        <f>IF(OR(ISNUMBER(SEARCH("목3",$H456)),ISNUMBER(SEARCH("목1.3",$H456)),ISNUMBER(SEARCH("목2.3",$H456)),ISNUMBER(SEARCH("목1.2.3",$H456))),1,"")</f>
        <v/>
      </c>
      <c r="U456" s="319">
        <f>IF(ISNUMBER(SEARCH("금1",$H456)),1,"")</f>
        <v/>
      </c>
      <c r="V456" s="319">
        <f>IF(OR(ISNUMBER(SEARCH("금2",$H456)),ISNUMBER(SEARCH("금1.2",$H456))),1,"")</f>
        <v/>
      </c>
      <c r="W456" s="319">
        <f>IF(OR(ISNUMBER(SEARCH("금3",$H456)),ISNUMBER(SEARCH("금1.3",$H456)),ISNUMBER(SEARCH("금2.3",$H456)),ISNUMBER(SEARCH("금1.2.3",$H456))),1,"")</f>
        <v/>
      </c>
      <c r="X456" s="319">
        <f>IF(ISNUMBER(SEARCH("토1",$H456)),1,"")</f>
        <v/>
      </c>
      <c r="Y456" s="319">
        <f>IF(OR(ISNUMBER(SEARCH("토2",$H456)),ISNUMBER(SEARCH("토1.2",$H456))),1,"")</f>
        <v/>
      </c>
      <c r="Z456" s="319">
        <f>IF(OR(ISNUMBER(SEARCH("토3",$H456)),ISNUMBER(SEARCH("토1.3",$H456)),ISNUMBER(SEARCH("토2.3",$H456)),ISNUMBER(SEARCH("토1.2.3",$H456))),1,"")</f>
        <v/>
      </c>
      <c r="AA456" s="319">
        <f>IF(ISNUMBER(SEARCH("일1",$H456)),1,"")</f>
        <v/>
      </c>
      <c r="AB456" s="319">
        <f>IF(OR(ISNUMBER(SEARCH("일2",$H456)),ISNUMBER(SEARCH("일1.2",$H456))),1,"")</f>
        <v/>
      </c>
      <c r="AC456" s="319">
        <f>IF(OR(ISNUMBER(SEARCH("일3",$H456)),ISNUMBER(SEARCH("일1.3",$H456)),ISNUMBER(SEARCH("일2.3",$H456)),ISNUMBER(SEARCH("일1.2.3",$H456))),1,"")</f>
        <v/>
      </c>
      <c r="AD456" s="319">
        <f>SUM(I456:AC456)</f>
        <v/>
      </c>
      <c r="AE456" s="323" t="n"/>
    </row>
    <row r="457" ht="24" customHeight="1">
      <c r="A457" s="168" t="n"/>
      <c r="B457" s="319" t="n"/>
      <c r="C457" s="319" t="n"/>
      <c r="D457" s="319" t="n"/>
      <c r="E457" s="341" t="n"/>
      <c r="F457" s="341" t="n"/>
      <c r="G457" s="342" t="n"/>
      <c r="H457" s="322" t="n"/>
      <c r="I457" s="319">
        <f>IF(ISNUMBER(SEARCH("월1",$H457)),1,"")</f>
        <v/>
      </c>
      <c r="J457" s="319">
        <f>IF(OR(ISNUMBER(SEARCH("월2",$H457)),ISNUMBER(SEARCH("월1.2",$H457))),1,"")</f>
        <v/>
      </c>
      <c r="K457" s="319">
        <f>IF(OR(ISNUMBER(SEARCH("월3",$H457)),ISNUMBER(SEARCH("월1.3",$H457)),ISNUMBER(SEARCH("월2.3",$H457)),ISNUMBER(SEARCH("월1.2.3",$H457))),1,"")</f>
        <v/>
      </c>
      <c r="L457" s="319">
        <f>IF(ISNUMBER(SEARCH("화1",$H457)),1,"")</f>
        <v/>
      </c>
      <c r="M457" s="319">
        <f>IF(OR(ISNUMBER(SEARCH("화2",$H457)),ISNUMBER(SEARCH("화1.2",$H457))),1,"")</f>
        <v/>
      </c>
      <c r="N457" s="319">
        <f>IF(OR(ISNUMBER(SEARCH("화3",$H457)),ISNUMBER(SEARCH("화1.3",$H457)),ISNUMBER(SEARCH("화2.3",$H457)),ISNUMBER(SEARCH("화1.2.3",$H457))),1,"")</f>
        <v/>
      </c>
      <c r="O457" s="319">
        <f>IF(ISNUMBER(SEARCH("수1",$H457)),1,"")</f>
        <v/>
      </c>
      <c r="P457" s="319">
        <f>IF(OR(ISNUMBER(SEARCH("수2",$H457)),ISNUMBER(SEARCH("수1.2",$H457))),1,"")</f>
        <v/>
      </c>
      <c r="Q457" s="319">
        <f>IF(OR(ISNUMBER(SEARCH("수3",$H457)),ISNUMBER(SEARCH("수1.3",$H457)),ISNUMBER(SEARCH("수2.3",$H457)),ISNUMBER(SEARCH("수1.2.3",$H457))),1,"")</f>
        <v/>
      </c>
      <c r="R457" s="319">
        <f>IF(ISNUMBER(SEARCH("목1",$H457)),1,"")</f>
        <v/>
      </c>
      <c r="S457" s="319">
        <f>IF(OR(ISNUMBER(SEARCH("목2",$H457)),ISNUMBER(SEARCH("목1.2",$H457))),1,"")</f>
        <v/>
      </c>
      <c r="T457" s="319">
        <f>IF(OR(ISNUMBER(SEARCH("목3",$H457)),ISNUMBER(SEARCH("목1.3",$H457)),ISNUMBER(SEARCH("목2.3",$H457)),ISNUMBER(SEARCH("목1.2.3",$H457))),1,"")</f>
        <v/>
      </c>
      <c r="U457" s="319">
        <f>IF(ISNUMBER(SEARCH("금1",$H457)),1,"")</f>
        <v/>
      </c>
      <c r="V457" s="319">
        <f>IF(OR(ISNUMBER(SEARCH("금2",$H457)),ISNUMBER(SEARCH("금1.2",$H457))),1,"")</f>
        <v/>
      </c>
      <c r="W457" s="319">
        <f>IF(OR(ISNUMBER(SEARCH("금3",$H457)),ISNUMBER(SEARCH("금1.3",$H457)),ISNUMBER(SEARCH("금2.3",$H457)),ISNUMBER(SEARCH("금1.2.3",$H457))),1,"")</f>
        <v/>
      </c>
      <c r="X457" s="319">
        <f>IF(ISNUMBER(SEARCH("토1",$H457)),1,"")</f>
        <v/>
      </c>
      <c r="Y457" s="319">
        <f>IF(OR(ISNUMBER(SEARCH("토2",$H457)),ISNUMBER(SEARCH("토1.2",$H457))),1,"")</f>
        <v/>
      </c>
      <c r="Z457" s="319">
        <f>IF(OR(ISNUMBER(SEARCH("토3",$H457)),ISNUMBER(SEARCH("토1.3",$H457)),ISNUMBER(SEARCH("토2.3",$H457)),ISNUMBER(SEARCH("토1.2.3",$H457))),1,"")</f>
        <v/>
      </c>
      <c r="AA457" s="319">
        <f>IF(ISNUMBER(SEARCH("일1",$H457)),1,"")</f>
        <v/>
      </c>
      <c r="AB457" s="319">
        <f>IF(OR(ISNUMBER(SEARCH("일2",$H457)),ISNUMBER(SEARCH("일1.2",$H457))),1,"")</f>
        <v/>
      </c>
      <c r="AC457" s="319">
        <f>IF(OR(ISNUMBER(SEARCH("일3",$H457)),ISNUMBER(SEARCH("일1.3",$H457)),ISNUMBER(SEARCH("일2.3",$H457)),ISNUMBER(SEARCH("일1.2.3",$H457))),1,"")</f>
        <v/>
      </c>
      <c r="AD457" s="319">
        <f>SUM(I457:AC457)</f>
        <v/>
      </c>
      <c r="AE457" s="323" t="n"/>
    </row>
    <row r="458" ht="24" customHeight="1">
      <c r="A458" s="168" t="n"/>
      <c r="B458" s="319" t="n"/>
      <c r="C458" s="319" t="n"/>
      <c r="D458" s="319" t="n"/>
      <c r="E458" s="341" t="n"/>
      <c r="F458" s="341" t="n"/>
      <c r="G458" s="342" t="n"/>
      <c r="H458" s="322" t="n"/>
      <c r="I458" s="319">
        <f>IF(ISNUMBER(SEARCH("월1",$H458)),1,"")</f>
        <v/>
      </c>
      <c r="J458" s="319">
        <f>IF(OR(ISNUMBER(SEARCH("월2",$H458)),ISNUMBER(SEARCH("월1.2",$H458))),1,"")</f>
        <v/>
      </c>
      <c r="K458" s="319">
        <f>IF(OR(ISNUMBER(SEARCH("월3",$H458)),ISNUMBER(SEARCH("월1.3",$H458)),ISNUMBER(SEARCH("월2.3",$H458)),ISNUMBER(SEARCH("월1.2.3",$H458))),1,"")</f>
        <v/>
      </c>
      <c r="L458" s="319">
        <f>IF(ISNUMBER(SEARCH("화1",$H458)),1,"")</f>
        <v/>
      </c>
      <c r="M458" s="319">
        <f>IF(OR(ISNUMBER(SEARCH("화2",$H458)),ISNUMBER(SEARCH("화1.2",$H458))),1,"")</f>
        <v/>
      </c>
      <c r="N458" s="319">
        <f>IF(OR(ISNUMBER(SEARCH("화3",$H458)),ISNUMBER(SEARCH("화1.3",$H458)),ISNUMBER(SEARCH("화2.3",$H458)),ISNUMBER(SEARCH("화1.2.3",$H458))),1,"")</f>
        <v/>
      </c>
      <c r="O458" s="319">
        <f>IF(ISNUMBER(SEARCH("수1",$H458)),1,"")</f>
        <v/>
      </c>
      <c r="P458" s="319">
        <f>IF(OR(ISNUMBER(SEARCH("수2",$H458)),ISNUMBER(SEARCH("수1.2",$H458))),1,"")</f>
        <v/>
      </c>
      <c r="Q458" s="319">
        <f>IF(OR(ISNUMBER(SEARCH("수3",$H458)),ISNUMBER(SEARCH("수1.3",$H458)),ISNUMBER(SEARCH("수2.3",$H458)),ISNUMBER(SEARCH("수1.2.3",$H458))),1,"")</f>
        <v/>
      </c>
      <c r="R458" s="319">
        <f>IF(ISNUMBER(SEARCH("목1",$H458)),1,"")</f>
        <v/>
      </c>
      <c r="S458" s="319">
        <f>IF(OR(ISNUMBER(SEARCH("목2",$H458)),ISNUMBER(SEARCH("목1.2",$H458))),1,"")</f>
        <v/>
      </c>
      <c r="T458" s="319">
        <f>IF(OR(ISNUMBER(SEARCH("목3",$H458)),ISNUMBER(SEARCH("목1.3",$H458)),ISNUMBER(SEARCH("목2.3",$H458)),ISNUMBER(SEARCH("목1.2.3",$H458))),1,"")</f>
        <v/>
      </c>
      <c r="U458" s="319">
        <f>IF(ISNUMBER(SEARCH("금1",$H458)),1,"")</f>
        <v/>
      </c>
      <c r="V458" s="319">
        <f>IF(OR(ISNUMBER(SEARCH("금2",$H458)),ISNUMBER(SEARCH("금1.2",$H458))),1,"")</f>
        <v/>
      </c>
      <c r="W458" s="319">
        <f>IF(OR(ISNUMBER(SEARCH("금3",$H458)),ISNUMBER(SEARCH("금1.3",$H458)),ISNUMBER(SEARCH("금2.3",$H458)),ISNUMBER(SEARCH("금1.2.3",$H458))),1,"")</f>
        <v/>
      </c>
      <c r="X458" s="319">
        <f>IF(ISNUMBER(SEARCH("토1",$H458)),1,"")</f>
        <v/>
      </c>
      <c r="Y458" s="319">
        <f>IF(OR(ISNUMBER(SEARCH("토2",$H458)),ISNUMBER(SEARCH("토1.2",$H458))),1,"")</f>
        <v/>
      </c>
      <c r="Z458" s="319">
        <f>IF(OR(ISNUMBER(SEARCH("토3",$H458)),ISNUMBER(SEARCH("토1.3",$H458)),ISNUMBER(SEARCH("토2.3",$H458)),ISNUMBER(SEARCH("토1.2.3",$H458))),1,"")</f>
        <v/>
      </c>
      <c r="AA458" s="319">
        <f>IF(ISNUMBER(SEARCH("일1",$H458)),1,"")</f>
        <v/>
      </c>
      <c r="AB458" s="319">
        <f>IF(OR(ISNUMBER(SEARCH("일2",$H458)),ISNUMBER(SEARCH("일1.2",$H458))),1,"")</f>
        <v/>
      </c>
      <c r="AC458" s="319">
        <f>IF(OR(ISNUMBER(SEARCH("일3",$H458)),ISNUMBER(SEARCH("일1.3",$H458)),ISNUMBER(SEARCH("일2.3",$H458)),ISNUMBER(SEARCH("일1.2.3",$H458))),1,"")</f>
        <v/>
      </c>
      <c r="AD458" s="319">
        <f>SUM(I458:AC458)</f>
        <v/>
      </c>
      <c r="AE458" s="323" t="n"/>
    </row>
    <row r="459" ht="24" customHeight="1">
      <c r="A459" s="168" t="n"/>
      <c r="B459" s="319" t="n"/>
      <c r="C459" s="319" t="n"/>
      <c r="D459" s="319" t="n"/>
      <c r="E459" s="341" t="n"/>
      <c r="F459" s="341" t="n"/>
      <c r="G459" s="342" t="n"/>
      <c r="H459" s="322" t="n"/>
      <c r="I459" s="319">
        <f>IF(ISNUMBER(SEARCH("월1",$H459)),1,"")</f>
        <v/>
      </c>
      <c r="J459" s="319">
        <f>IF(OR(ISNUMBER(SEARCH("월2",$H459)),ISNUMBER(SEARCH("월1.2",$H459))),1,"")</f>
        <v/>
      </c>
      <c r="K459" s="319">
        <f>IF(OR(ISNUMBER(SEARCH("월3",$H459)),ISNUMBER(SEARCH("월1.3",$H459)),ISNUMBER(SEARCH("월2.3",$H459)),ISNUMBER(SEARCH("월1.2.3",$H459))),1,"")</f>
        <v/>
      </c>
      <c r="L459" s="319">
        <f>IF(ISNUMBER(SEARCH("화1",$H459)),1,"")</f>
        <v/>
      </c>
      <c r="M459" s="319">
        <f>IF(OR(ISNUMBER(SEARCH("화2",$H459)),ISNUMBER(SEARCH("화1.2",$H459))),1,"")</f>
        <v/>
      </c>
      <c r="N459" s="319">
        <f>IF(OR(ISNUMBER(SEARCH("화3",$H459)),ISNUMBER(SEARCH("화1.3",$H459)),ISNUMBER(SEARCH("화2.3",$H459)),ISNUMBER(SEARCH("화1.2.3",$H459))),1,"")</f>
        <v/>
      </c>
      <c r="O459" s="319">
        <f>IF(ISNUMBER(SEARCH("수1",$H459)),1,"")</f>
        <v/>
      </c>
      <c r="P459" s="319">
        <f>IF(OR(ISNUMBER(SEARCH("수2",$H459)),ISNUMBER(SEARCH("수1.2",$H459))),1,"")</f>
        <v/>
      </c>
      <c r="Q459" s="319">
        <f>IF(OR(ISNUMBER(SEARCH("수3",$H459)),ISNUMBER(SEARCH("수1.3",$H459)),ISNUMBER(SEARCH("수2.3",$H459)),ISNUMBER(SEARCH("수1.2.3",$H459))),1,"")</f>
        <v/>
      </c>
      <c r="R459" s="319">
        <f>IF(ISNUMBER(SEARCH("목1",$H459)),1,"")</f>
        <v/>
      </c>
      <c r="S459" s="319">
        <f>IF(OR(ISNUMBER(SEARCH("목2",$H459)),ISNUMBER(SEARCH("목1.2",$H459))),1,"")</f>
        <v/>
      </c>
      <c r="T459" s="319">
        <f>IF(OR(ISNUMBER(SEARCH("목3",$H459)),ISNUMBER(SEARCH("목1.3",$H459)),ISNUMBER(SEARCH("목2.3",$H459)),ISNUMBER(SEARCH("목1.2.3",$H459))),1,"")</f>
        <v/>
      </c>
      <c r="U459" s="319">
        <f>IF(ISNUMBER(SEARCH("금1",$H459)),1,"")</f>
        <v/>
      </c>
      <c r="V459" s="319">
        <f>IF(OR(ISNUMBER(SEARCH("금2",$H459)),ISNUMBER(SEARCH("금1.2",$H459))),1,"")</f>
        <v/>
      </c>
      <c r="W459" s="319">
        <f>IF(OR(ISNUMBER(SEARCH("금3",$H459)),ISNUMBER(SEARCH("금1.3",$H459)),ISNUMBER(SEARCH("금2.3",$H459)),ISNUMBER(SEARCH("금1.2.3",$H459))),1,"")</f>
        <v/>
      </c>
      <c r="X459" s="319">
        <f>IF(ISNUMBER(SEARCH("토1",$H459)),1,"")</f>
        <v/>
      </c>
      <c r="Y459" s="319">
        <f>IF(OR(ISNUMBER(SEARCH("토2",$H459)),ISNUMBER(SEARCH("토1.2",$H459))),1,"")</f>
        <v/>
      </c>
      <c r="Z459" s="319">
        <f>IF(OR(ISNUMBER(SEARCH("토3",$H459)),ISNUMBER(SEARCH("토1.3",$H459)),ISNUMBER(SEARCH("토2.3",$H459)),ISNUMBER(SEARCH("토1.2.3",$H459))),1,"")</f>
        <v/>
      </c>
      <c r="AA459" s="319">
        <f>IF(ISNUMBER(SEARCH("일1",$H459)),1,"")</f>
        <v/>
      </c>
      <c r="AB459" s="319">
        <f>IF(OR(ISNUMBER(SEARCH("일2",$H459)),ISNUMBER(SEARCH("일1.2",$H459))),1,"")</f>
        <v/>
      </c>
      <c r="AC459" s="319">
        <f>IF(OR(ISNUMBER(SEARCH("일3",$H459)),ISNUMBER(SEARCH("일1.3",$H459)),ISNUMBER(SEARCH("일2.3",$H459)),ISNUMBER(SEARCH("일1.2.3",$H459))),1,"")</f>
        <v/>
      </c>
      <c r="AD459" s="319">
        <f>SUM(I459:AC459)</f>
        <v/>
      </c>
      <c r="AE459" s="323" t="n"/>
    </row>
    <row r="460" ht="24" customHeight="1">
      <c r="A460" s="168" t="n"/>
      <c r="B460" s="319" t="n"/>
      <c r="C460" s="319" t="n"/>
      <c r="D460" s="319" t="n"/>
      <c r="E460" s="341" t="n"/>
      <c r="F460" s="341" t="n"/>
      <c r="G460" s="342" t="n"/>
      <c r="H460" s="322" t="n"/>
      <c r="I460" s="319">
        <f>IF(ISNUMBER(SEARCH("월1",$H460)),1,"")</f>
        <v/>
      </c>
      <c r="J460" s="319">
        <f>IF(OR(ISNUMBER(SEARCH("월2",$H460)),ISNUMBER(SEARCH("월1.2",$H460))),1,"")</f>
        <v/>
      </c>
      <c r="K460" s="319">
        <f>IF(OR(ISNUMBER(SEARCH("월3",$H460)),ISNUMBER(SEARCH("월1.3",$H460)),ISNUMBER(SEARCH("월2.3",$H460)),ISNUMBER(SEARCH("월1.2.3",$H460))),1,"")</f>
        <v/>
      </c>
      <c r="L460" s="319">
        <f>IF(ISNUMBER(SEARCH("화1",$H460)),1,"")</f>
        <v/>
      </c>
      <c r="M460" s="319">
        <f>IF(OR(ISNUMBER(SEARCH("화2",$H460)),ISNUMBER(SEARCH("화1.2",$H460))),1,"")</f>
        <v/>
      </c>
      <c r="N460" s="319">
        <f>IF(OR(ISNUMBER(SEARCH("화3",$H460)),ISNUMBER(SEARCH("화1.3",$H460)),ISNUMBER(SEARCH("화2.3",$H460)),ISNUMBER(SEARCH("화1.2.3",$H460))),1,"")</f>
        <v/>
      </c>
      <c r="O460" s="319">
        <f>IF(ISNUMBER(SEARCH("수1",$H460)),1,"")</f>
        <v/>
      </c>
      <c r="P460" s="319">
        <f>IF(OR(ISNUMBER(SEARCH("수2",$H460)),ISNUMBER(SEARCH("수1.2",$H460))),1,"")</f>
        <v/>
      </c>
      <c r="Q460" s="319">
        <f>IF(OR(ISNUMBER(SEARCH("수3",$H460)),ISNUMBER(SEARCH("수1.3",$H460)),ISNUMBER(SEARCH("수2.3",$H460)),ISNUMBER(SEARCH("수1.2.3",$H460))),1,"")</f>
        <v/>
      </c>
      <c r="R460" s="319">
        <f>IF(ISNUMBER(SEARCH("목1",$H460)),1,"")</f>
        <v/>
      </c>
      <c r="S460" s="319">
        <f>IF(OR(ISNUMBER(SEARCH("목2",$H460)),ISNUMBER(SEARCH("목1.2",$H460))),1,"")</f>
        <v/>
      </c>
      <c r="T460" s="319">
        <f>IF(OR(ISNUMBER(SEARCH("목3",$H460)),ISNUMBER(SEARCH("목1.3",$H460)),ISNUMBER(SEARCH("목2.3",$H460)),ISNUMBER(SEARCH("목1.2.3",$H460))),1,"")</f>
        <v/>
      </c>
      <c r="U460" s="319">
        <f>IF(ISNUMBER(SEARCH("금1",$H460)),1,"")</f>
        <v/>
      </c>
      <c r="V460" s="319">
        <f>IF(OR(ISNUMBER(SEARCH("금2",$H460)),ISNUMBER(SEARCH("금1.2",$H460))),1,"")</f>
        <v/>
      </c>
      <c r="W460" s="319">
        <f>IF(OR(ISNUMBER(SEARCH("금3",$H460)),ISNUMBER(SEARCH("금1.3",$H460)),ISNUMBER(SEARCH("금2.3",$H460)),ISNUMBER(SEARCH("금1.2.3",$H460))),1,"")</f>
        <v/>
      </c>
      <c r="X460" s="319">
        <f>IF(ISNUMBER(SEARCH("토1",$H460)),1,"")</f>
        <v/>
      </c>
      <c r="Y460" s="319">
        <f>IF(OR(ISNUMBER(SEARCH("토2",$H460)),ISNUMBER(SEARCH("토1.2",$H460))),1,"")</f>
        <v/>
      </c>
      <c r="Z460" s="319">
        <f>IF(OR(ISNUMBER(SEARCH("토3",$H460)),ISNUMBER(SEARCH("토1.3",$H460)),ISNUMBER(SEARCH("토2.3",$H460)),ISNUMBER(SEARCH("토1.2.3",$H460))),1,"")</f>
        <v/>
      </c>
      <c r="AA460" s="319">
        <f>IF(ISNUMBER(SEARCH("일1",$H460)),1,"")</f>
        <v/>
      </c>
      <c r="AB460" s="319">
        <f>IF(OR(ISNUMBER(SEARCH("일2",$H460)),ISNUMBER(SEARCH("일1.2",$H460))),1,"")</f>
        <v/>
      </c>
      <c r="AC460" s="319">
        <f>IF(OR(ISNUMBER(SEARCH("일3",$H460)),ISNUMBER(SEARCH("일1.3",$H460)),ISNUMBER(SEARCH("일2.3",$H460)),ISNUMBER(SEARCH("일1.2.3",$H460))),1,"")</f>
        <v/>
      </c>
      <c r="AD460" s="319">
        <f>SUM(I460:AC460)</f>
        <v/>
      </c>
      <c r="AE460" s="323" t="n"/>
    </row>
    <row r="461" ht="24" customHeight="1">
      <c r="A461" s="168" t="n"/>
      <c r="B461" s="319" t="n"/>
      <c r="C461" s="319" t="n"/>
      <c r="D461" s="319" t="n"/>
      <c r="E461" s="341" t="n"/>
      <c r="F461" s="341" t="n"/>
      <c r="G461" s="342" t="n"/>
      <c r="H461" s="322" t="n"/>
      <c r="I461" s="319">
        <f>IF(ISNUMBER(SEARCH("월1",$H461)),1,"")</f>
        <v/>
      </c>
      <c r="J461" s="319">
        <f>IF(OR(ISNUMBER(SEARCH("월2",$H461)),ISNUMBER(SEARCH("월1.2",$H461))),1,"")</f>
        <v/>
      </c>
      <c r="K461" s="319">
        <f>IF(OR(ISNUMBER(SEARCH("월3",$H461)),ISNUMBER(SEARCH("월1.3",$H461)),ISNUMBER(SEARCH("월2.3",$H461)),ISNUMBER(SEARCH("월1.2.3",$H461))),1,"")</f>
        <v/>
      </c>
      <c r="L461" s="319">
        <f>IF(ISNUMBER(SEARCH("화1",$H461)),1,"")</f>
        <v/>
      </c>
      <c r="M461" s="319">
        <f>IF(OR(ISNUMBER(SEARCH("화2",$H461)),ISNUMBER(SEARCH("화1.2",$H461))),1,"")</f>
        <v/>
      </c>
      <c r="N461" s="319">
        <f>IF(OR(ISNUMBER(SEARCH("화3",$H461)),ISNUMBER(SEARCH("화1.3",$H461)),ISNUMBER(SEARCH("화2.3",$H461)),ISNUMBER(SEARCH("화1.2.3",$H461))),1,"")</f>
        <v/>
      </c>
      <c r="O461" s="319">
        <f>IF(ISNUMBER(SEARCH("수1",$H461)),1,"")</f>
        <v/>
      </c>
      <c r="P461" s="319">
        <f>IF(OR(ISNUMBER(SEARCH("수2",$H461)),ISNUMBER(SEARCH("수1.2",$H461))),1,"")</f>
        <v/>
      </c>
      <c r="Q461" s="319">
        <f>IF(OR(ISNUMBER(SEARCH("수3",$H461)),ISNUMBER(SEARCH("수1.3",$H461)),ISNUMBER(SEARCH("수2.3",$H461)),ISNUMBER(SEARCH("수1.2.3",$H461))),1,"")</f>
        <v/>
      </c>
      <c r="R461" s="319">
        <f>IF(ISNUMBER(SEARCH("목1",$H461)),1,"")</f>
        <v/>
      </c>
      <c r="S461" s="319">
        <f>IF(OR(ISNUMBER(SEARCH("목2",$H461)),ISNUMBER(SEARCH("목1.2",$H461))),1,"")</f>
        <v/>
      </c>
      <c r="T461" s="319">
        <f>IF(OR(ISNUMBER(SEARCH("목3",$H461)),ISNUMBER(SEARCH("목1.3",$H461)),ISNUMBER(SEARCH("목2.3",$H461)),ISNUMBER(SEARCH("목1.2.3",$H461))),1,"")</f>
        <v/>
      </c>
      <c r="U461" s="319">
        <f>IF(ISNUMBER(SEARCH("금1",$H461)),1,"")</f>
        <v/>
      </c>
      <c r="V461" s="319">
        <f>IF(OR(ISNUMBER(SEARCH("금2",$H461)),ISNUMBER(SEARCH("금1.2",$H461))),1,"")</f>
        <v/>
      </c>
      <c r="W461" s="319">
        <f>IF(OR(ISNUMBER(SEARCH("금3",$H461)),ISNUMBER(SEARCH("금1.3",$H461)),ISNUMBER(SEARCH("금2.3",$H461)),ISNUMBER(SEARCH("금1.2.3",$H461))),1,"")</f>
        <v/>
      </c>
      <c r="X461" s="319">
        <f>IF(ISNUMBER(SEARCH("토1",$H461)),1,"")</f>
        <v/>
      </c>
      <c r="Y461" s="319">
        <f>IF(OR(ISNUMBER(SEARCH("토2",$H461)),ISNUMBER(SEARCH("토1.2",$H461))),1,"")</f>
        <v/>
      </c>
      <c r="Z461" s="319">
        <f>IF(OR(ISNUMBER(SEARCH("토3",$H461)),ISNUMBER(SEARCH("토1.3",$H461)),ISNUMBER(SEARCH("토2.3",$H461)),ISNUMBER(SEARCH("토1.2.3",$H461))),1,"")</f>
        <v/>
      </c>
      <c r="AA461" s="319">
        <f>IF(ISNUMBER(SEARCH("일1",$H461)),1,"")</f>
        <v/>
      </c>
      <c r="AB461" s="319">
        <f>IF(OR(ISNUMBER(SEARCH("일2",$H461)),ISNUMBER(SEARCH("일1.2",$H461))),1,"")</f>
        <v/>
      </c>
      <c r="AC461" s="319">
        <f>IF(OR(ISNUMBER(SEARCH("일3",$H461)),ISNUMBER(SEARCH("일1.3",$H461)),ISNUMBER(SEARCH("일2.3",$H461)),ISNUMBER(SEARCH("일1.2.3",$H461))),1,"")</f>
        <v/>
      </c>
      <c r="AD461" s="319">
        <f>SUM(I461:AC461)</f>
        <v/>
      </c>
      <c r="AE461" s="323" t="n"/>
    </row>
    <row r="462" ht="24" customHeight="1">
      <c r="A462" s="168" t="n"/>
      <c r="B462" s="319" t="n"/>
      <c r="C462" s="319" t="n"/>
      <c r="D462" s="319" t="n"/>
      <c r="E462" s="341" t="n"/>
      <c r="F462" s="341" t="n"/>
      <c r="G462" s="342" t="n"/>
      <c r="H462" s="322" t="n"/>
      <c r="I462" s="319">
        <f>IF(ISNUMBER(SEARCH("월1",$H462)),1,"")</f>
        <v/>
      </c>
      <c r="J462" s="319">
        <f>IF(OR(ISNUMBER(SEARCH("월2",$H462)),ISNUMBER(SEARCH("월1.2",$H462))),1,"")</f>
        <v/>
      </c>
      <c r="K462" s="319">
        <f>IF(OR(ISNUMBER(SEARCH("월3",$H462)),ISNUMBER(SEARCH("월1.3",$H462)),ISNUMBER(SEARCH("월2.3",$H462)),ISNUMBER(SEARCH("월1.2.3",$H462))),1,"")</f>
        <v/>
      </c>
      <c r="L462" s="319">
        <f>IF(ISNUMBER(SEARCH("화1",$H462)),1,"")</f>
        <v/>
      </c>
      <c r="M462" s="319">
        <f>IF(OR(ISNUMBER(SEARCH("화2",$H462)),ISNUMBER(SEARCH("화1.2",$H462))),1,"")</f>
        <v/>
      </c>
      <c r="N462" s="319">
        <f>IF(OR(ISNUMBER(SEARCH("화3",$H462)),ISNUMBER(SEARCH("화1.3",$H462)),ISNUMBER(SEARCH("화2.3",$H462)),ISNUMBER(SEARCH("화1.2.3",$H462))),1,"")</f>
        <v/>
      </c>
      <c r="O462" s="319">
        <f>IF(ISNUMBER(SEARCH("수1",$H462)),1,"")</f>
        <v/>
      </c>
      <c r="P462" s="319">
        <f>IF(OR(ISNUMBER(SEARCH("수2",$H462)),ISNUMBER(SEARCH("수1.2",$H462))),1,"")</f>
        <v/>
      </c>
      <c r="Q462" s="319">
        <f>IF(OR(ISNUMBER(SEARCH("수3",$H462)),ISNUMBER(SEARCH("수1.3",$H462)),ISNUMBER(SEARCH("수2.3",$H462)),ISNUMBER(SEARCH("수1.2.3",$H462))),1,"")</f>
        <v/>
      </c>
      <c r="R462" s="319">
        <f>IF(ISNUMBER(SEARCH("목1",$H462)),1,"")</f>
        <v/>
      </c>
      <c r="S462" s="319">
        <f>IF(OR(ISNUMBER(SEARCH("목2",$H462)),ISNUMBER(SEARCH("목1.2",$H462))),1,"")</f>
        <v/>
      </c>
      <c r="T462" s="319">
        <f>IF(OR(ISNUMBER(SEARCH("목3",$H462)),ISNUMBER(SEARCH("목1.3",$H462)),ISNUMBER(SEARCH("목2.3",$H462)),ISNUMBER(SEARCH("목1.2.3",$H462))),1,"")</f>
        <v/>
      </c>
      <c r="U462" s="319">
        <f>IF(ISNUMBER(SEARCH("금1",$H462)),1,"")</f>
        <v/>
      </c>
      <c r="V462" s="319">
        <f>IF(OR(ISNUMBER(SEARCH("금2",$H462)),ISNUMBER(SEARCH("금1.2",$H462))),1,"")</f>
        <v/>
      </c>
      <c r="W462" s="319">
        <f>IF(OR(ISNUMBER(SEARCH("금3",$H462)),ISNUMBER(SEARCH("금1.3",$H462)),ISNUMBER(SEARCH("금2.3",$H462)),ISNUMBER(SEARCH("금1.2.3",$H462))),1,"")</f>
        <v/>
      </c>
      <c r="X462" s="319">
        <f>IF(ISNUMBER(SEARCH("토1",$H462)),1,"")</f>
        <v/>
      </c>
      <c r="Y462" s="319">
        <f>IF(OR(ISNUMBER(SEARCH("토2",$H462)),ISNUMBER(SEARCH("토1.2",$H462))),1,"")</f>
        <v/>
      </c>
      <c r="Z462" s="319">
        <f>IF(OR(ISNUMBER(SEARCH("토3",$H462)),ISNUMBER(SEARCH("토1.3",$H462)),ISNUMBER(SEARCH("토2.3",$H462)),ISNUMBER(SEARCH("토1.2.3",$H462))),1,"")</f>
        <v/>
      </c>
      <c r="AA462" s="319">
        <f>IF(ISNUMBER(SEARCH("일1",$H462)),1,"")</f>
        <v/>
      </c>
      <c r="AB462" s="319">
        <f>IF(OR(ISNUMBER(SEARCH("일2",$H462)),ISNUMBER(SEARCH("일1.2",$H462))),1,"")</f>
        <v/>
      </c>
      <c r="AC462" s="319">
        <f>IF(OR(ISNUMBER(SEARCH("일3",$H462)),ISNUMBER(SEARCH("일1.3",$H462)),ISNUMBER(SEARCH("일2.3",$H462)),ISNUMBER(SEARCH("일1.2.3",$H462))),1,"")</f>
        <v/>
      </c>
      <c r="AD462" s="319">
        <f>SUM(I462:AC462)</f>
        <v/>
      </c>
      <c r="AE462" s="323" t="n"/>
    </row>
    <row r="463" ht="24" customHeight="1">
      <c r="A463" s="168" t="n"/>
      <c r="B463" s="319" t="n"/>
      <c r="C463" s="319" t="n"/>
      <c r="D463" s="319" t="n"/>
      <c r="E463" s="341" t="n"/>
      <c r="F463" s="341" t="n"/>
      <c r="G463" s="342" t="n"/>
      <c r="H463" s="322" t="n"/>
      <c r="I463" s="319">
        <f>IF(ISNUMBER(SEARCH("월1",$H463)),1,"")</f>
        <v/>
      </c>
      <c r="J463" s="319">
        <f>IF(OR(ISNUMBER(SEARCH("월2",$H463)),ISNUMBER(SEARCH("월1.2",$H463))),1,"")</f>
        <v/>
      </c>
      <c r="K463" s="319">
        <f>IF(OR(ISNUMBER(SEARCH("월3",$H463)),ISNUMBER(SEARCH("월1.3",$H463)),ISNUMBER(SEARCH("월2.3",$H463)),ISNUMBER(SEARCH("월1.2.3",$H463))),1,"")</f>
        <v/>
      </c>
      <c r="L463" s="319">
        <f>IF(ISNUMBER(SEARCH("화1",$H463)),1,"")</f>
        <v/>
      </c>
      <c r="M463" s="319">
        <f>IF(OR(ISNUMBER(SEARCH("화2",$H463)),ISNUMBER(SEARCH("화1.2",$H463))),1,"")</f>
        <v/>
      </c>
      <c r="N463" s="319">
        <f>IF(OR(ISNUMBER(SEARCH("화3",$H463)),ISNUMBER(SEARCH("화1.3",$H463)),ISNUMBER(SEARCH("화2.3",$H463)),ISNUMBER(SEARCH("화1.2.3",$H463))),1,"")</f>
        <v/>
      </c>
      <c r="O463" s="319">
        <f>IF(ISNUMBER(SEARCH("수1",$H463)),1,"")</f>
        <v/>
      </c>
      <c r="P463" s="319">
        <f>IF(OR(ISNUMBER(SEARCH("수2",$H463)),ISNUMBER(SEARCH("수1.2",$H463))),1,"")</f>
        <v/>
      </c>
      <c r="Q463" s="319">
        <f>IF(OR(ISNUMBER(SEARCH("수3",$H463)),ISNUMBER(SEARCH("수1.3",$H463)),ISNUMBER(SEARCH("수2.3",$H463)),ISNUMBER(SEARCH("수1.2.3",$H463))),1,"")</f>
        <v/>
      </c>
      <c r="R463" s="319">
        <f>IF(ISNUMBER(SEARCH("목1",$H463)),1,"")</f>
        <v/>
      </c>
      <c r="S463" s="319">
        <f>IF(OR(ISNUMBER(SEARCH("목2",$H463)),ISNUMBER(SEARCH("목1.2",$H463))),1,"")</f>
        <v/>
      </c>
      <c r="T463" s="319">
        <f>IF(OR(ISNUMBER(SEARCH("목3",$H463)),ISNUMBER(SEARCH("목1.3",$H463)),ISNUMBER(SEARCH("목2.3",$H463)),ISNUMBER(SEARCH("목1.2.3",$H463))),1,"")</f>
        <v/>
      </c>
      <c r="U463" s="319">
        <f>IF(ISNUMBER(SEARCH("금1",$H463)),1,"")</f>
        <v/>
      </c>
      <c r="V463" s="319">
        <f>IF(OR(ISNUMBER(SEARCH("금2",$H463)),ISNUMBER(SEARCH("금1.2",$H463))),1,"")</f>
        <v/>
      </c>
      <c r="W463" s="319">
        <f>IF(OR(ISNUMBER(SEARCH("금3",$H463)),ISNUMBER(SEARCH("금1.3",$H463)),ISNUMBER(SEARCH("금2.3",$H463)),ISNUMBER(SEARCH("금1.2.3",$H463))),1,"")</f>
        <v/>
      </c>
      <c r="X463" s="319">
        <f>IF(ISNUMBER(SEARCH("토1",$H463)),1,"")</f>
        <v/>
      </c>
      <c r="Y463" s="319">
        <f>IF(OR(ISNUMBER(SEARCH("토2",$H463)),ISNUMBER(SEARCH("토1.2",$H463))),1,"")</f>
        <v/>
      </c>
      <c r="Z463" s="319">
        <f>IF(OR(ISNUMBER(SEARCH("토3",$H463)),ISNUMBER(SEARCH("토1.3",$H463)),ISNUMBER(SEARCH("토2.3",$H463)),ISNUMBER(SEARCH("토1.2.3",$H463))),1,"")</f>
        <v/>
      </c>
      <c r="AA463" s="319">
        <f>IF(ISNUMBER(SEARCH("일1",$H463)),1,"")</f>
        <v/>
      </c>
      <c r="AB463" s="319">
        <f>IF(OR(ISNUMBER(SEARCH("일2",$H463)),ISNUMBER(SEARCH("일1.2",$H463))),1,"")</f>
        <v/>
      </c>
      <c r="AC463" s="319">
        <f>IF(OR(ISNUMBER(SEARCH("일3",$H463)),ISNUMBER(SEARCH("일1.3",$H463)),ISNUMBER(SEARCH("일2.3",$H463)),ISNUMBER(SEARCH("일1.2.3",$H463))),1,"")</f>
        <v/>
      </c>
      <c r="AD463" s="319">
        <f>SUM(I463:AC463)</f>
        <v/>
      </c>
      <c r="AE463" s="323" t="n"/>
    </row>
    <row r="464" ht="24" customHeight="1">
      <c r="A464" s="170" t="n"/>
      <c r="B464" s="324" t="n"/>
      <c r="C464" s="324" t="n"/>
      <c r="D464" s="324" t="n"/>
      <c r="E464" s="343" t="n"/>
      <c r="F464" s="343" t="n"/>
      <c r="G464" s="344" t="n"/>
      <c r="H464" s="327" t="n"/>
      <c r="I464" s="324">
        <f>IF(ISNUMBER(SEARCH("월1",$H464)),1,"")</f>
        <v/>
      </c>
      <c r="J464" s="324">
        <f>IF(OR(ISNUMBER(SEARCH("월2",$H464)),ISNUMBER(SEARCH("월1.2",$H464))),1,"")</f>
        <v/>
      </c>
      <c r="K464" s="324">
        <f>IF(OR(ISNUMBER(SEARCH("월3",$H464)),ISNUMBER(SEARCH("월1.3",$H464)),ISNUMBER(SEARCH("월2.3",$H464)),ISNUMBER(SEARCH("월1.2.3",$H464))),1,"")</f>
        <v/>
      </c>
      <c r="L464" s="324">
        <f>IF(ISNUMBER(SEARCH("화1",$H464)),1,"")</f>
        <v/>
      </c>
      <c r="M464" s="324">
        <f>IF(OR(ISNUMBER(SEARCH("화2",$H464)),ISNUMBER(SEARCH("화1.2",$H464))),1,"")</f>
        <v/>
      </c>
      <c r="N464" s="324">
        <f>IF(OR(ISNUMBER(SEARCH("화3",$H464)),ISNUMBER(SEARCH("화1.3",$H464)),ISNUMBER(SEARCH("화2.3",$H464)),ISNUMBER(SEARCH("화1.2.3",$H464))),1,"")</f>
        <v/>
      </c>
      <c r="O464" s="324">
        <f>IF(ISNUMBER(SEARCH("수1",$H464)),1,"")</f>
        <v/>
      </c>
      <c r="P464" s="324">
        <f>IF(OR(ISNUMBER(SEARCH("수2",$H464)),ISNUMBER(SEARCH("수1.2",$H464))),1,"")</f>
        <v/>
      </c>
      <c r="Q464" s="324">
        <f>IF(OR(ISNUMBER(SEARCH("수3",$H464)),ISNUMBER(SEARCH("수1.3",$H464)),ISNUMBER(SEARCH("수2.3",$H464)),ISNUMBER(SEARCH("수1.2.3",$H464))),1,"")</f>
        <v/>
      </c>
      <c r="R464" s="324">
        <f>IF(ISNUMBER(SEARCH("목1",$H464)),1,"")</f>
        <v/>
      </c>
      <c r="S464" s="324">
        <f>IF(OR(ISNUMBER(SEARCH("목2",$H464)),ISNUMBER(SEARCH("목1.2",$H464))),1,"")</f>
        <v/>
      </c>
      <c r="T464" s="324">
        <f>IF(OR(ISNUMBER(SEARCH("목3",$H464)),ISNUMBER(SEARCH("목1.3",$H464)),ISNUMBER(SEARCH("목2.3",$H464)),ISNUMBER(SEARCH("목1.2.3",$H464))),1,"")</f>
        <v/>
      </c>
      <c r="U464" s="324">
        <f>IF(ISNUMBER(SEARCH("금1",$H464)),1,"")</f>
        <v/>
      </c>
      <c r="V464" s="324">
        <f>IF(OR(ISNUMBER(SEARCH("금2",$H464)),ISNUMBER(SEARCH("금1.2",$H464))),1,"")</f>
        <v/>
      </c>
      <c r="W464" s="324">
        <f>IF(OR(ISNUMBER(SEARCH("금3",$H464)),ISNUMBER(SEARCH("금1.3",$H464)),ISNUMBER(SEARCH("금2.3",$H464)),ISNUMBER(SEARCH("금1.2.3",$H464))),1,"")</f>
        <v/>
      </c>
      <c r="X464" s="324">
        <f>IF(ISNUMBER(SEARCH("토1",$H464)),1,"")</f>
        <v/>
      </c>
      <c r="Y464" s="324">
        <f>IF(OR(ISNUMBER(SEARCH("토2",$H464)),ISNUMBER(SEARCH("토1.2",$H464))),1,"")</f>
        <v/>
      </c>
      <c r="Z464" s="324">
        <f>IF(OR(ISNUMBER(SEARCH("토3",$H464)),ISNUMBER(SEARCH("토1.3",$H464)),ISNUMBER(SEARCH("토2.3",$H464)),ISNUMBER(SEARCH("토1.2.3",$H464))),1,"")</f>
        <v/>
      </c>
      <c r="AA464" s="324">
        <f>IF(ISNUMBER(SEARCH("일1",$H464)),1,"")</f>
        <v/>
      </c>
      <c r="AB464" s="324">
        <f>IF(OR(ISNUMBER(SEARCH("일2",$H464)),ISNUMBER(SEARCH("일1.2",$H464))),1,"")</f>
        <v/>
      </c>
      <c r="AC464" s="324">
        <f>IF(OR(ISNUMBER(SEARCH("일3",$H464)),ISNUMBER(SEARCH("일1.3",$H464)),ISNUMBER(SEARCH("일2.3",$H464)),ISNUMBER(SEARCH("일1.2.3",$H464))),1,"")</f>
        <v/>
      </c>
      <c r="AD464" s="324">
        <f>SUM(I464:AC464)</f>
        <v/>
      </c>
      <c r="AE464" s="328" t="n"/>
    </row>
    <row r="465" ht="27" customHeight="1">
      <c r="A465" s="336" t="n"/>
      <c r="B465" s="337" t="n"/>
      <c r="C465" s="337" t="n"/>
      <c r="D465" s="337" t="n"/>
      <c r="E465" s="337" t="n"/>
      <c r="F465" s="337" t="n"/>
      <c r="G465" s="337" t="n"/>
      <c r="H465" s="337" t="n"/>
      <c r="I465" s="337" t="n"/>
      <c r="J465" s="337" t="n"/>
      <c r="K465" s="337" t="n"/>
      <c r="L465" s="337" t="n"/>
      <c r="M465" s="337" t="n"/>
      <c r="N465" s="337" t="n"/>
      <c r="O465" s="337" t="n"/>
      <c r="P465" s="337" t="n"/>
      <c r="Q465" s="337" t="n"/>
      <c r="R465" s="337" t="n"/>
      <c r="S465" s="337" t="n"/>
      <c r="T465" s="337" t="n"/>
      <c r="U465" s="337" t="n"/>
      <c r="V465" s="337" t="n"/>
      <c r="W465" s="337" t="n"/>
      <c r="X465" s="337" t="n"/>
      <c r="Y465" s="337" t="n"/>
      <c r="Z465" s="337" t="n"/>
      <c r="AA465" s="337" t="n"/>
      <c r="AB465" s="337" t="n"/>
      <c r="AC465" s="337" t="n"/>
      <c r="AD465" s="337" t="n"/>
      <c r="AE465" s="338" t="n"/>
    </row>
    <row r="466" ht="24" customHeight="1">
      <c r="A466" s="166" t="n"/>
      <c r="B466" s="314" t="n"/>
      <c r="C466" s="314" t="n"/>
      <c r="D466" s="314" t="n"/>
      <c r="E466" s="339" t="n"/>
      <c r="F466" s="339" t="n"/>
      <c r="G466" s="340" t="n"/>
      <c r="H466" s="317" t="n"/>
      <c r="I466" s="314">
        <f>IF(ISNUMBER(SEARCH("월1",$H466)),1,"")</f>
        <v/>
      </c>
      <c r="J466" s="314">
        <f>IF(OR(ISNUMBER(SEARCH("월2",$H466)),ISNUMBER(SEARCH("월1.2",$H466))),1,"")</f>
        <v/>
      </c>
      <c r="K466" s="314">
        <f>IF(OR(ISNUMBER(SEARCH("월3",$H466)),ISNUMBER(SEARCH("월1.3",$H466)),ISNUMBER(SEARCH("월2.3",$H466)),ISNUMBER(SEARCH("월1.2.3",$H466))),1,"")</f>
        <v/>
      </c>
      <c r="L466" s="314">
        <f>IF(ISNUMBER(SEARCH("화1",$H466)),1,"")</f>
        <v/>
      </c>
      <c r="M466" s="314">
        <f>IF(OR(ISNUMBER(SEARCH("화2",$H466)),ISNUMBER(SEARCH("화1.2",$H466))),1,"")</f>
        <v/>
      </c>
      <c r="N466" s="314">
        <f>IF(OR(ISNUMBER(SEARCH("화3",$H466)),ISNUMBER(SEARCH("화1.3",$H466)),ISNUMBER(SEARCH("화2.3",$H466)),ISNUMBER(SEARCH("화1.2.3",$H466))),1,"")</f>
        <v/>
      </c>
      <c r="O466" s="314">
        <f>IF(ISNUMBER(SEARCH("수1",$H466)),1,"")</f>
        <v/>
      </c>
      <c r="P466" s="314">
        <f>IF(OR(ISNUMBER(SEARCH("수2",$H466)),ISNUMBER(SEARCH("수1.2",$H466))),1,"")</f>
        <v/>
      </c>
      <c r="Q466" s="314">
        <f>IF(OR(ISNUMBER(SEARCH("수3",$H466)),ISNUMBER(SEARCH("수1.3",$H466)),ISNUMBER(SEARCH("수2.3",$H466)),ISNUMBER(SEARCH("수1.2.3",$H466))),1,"")</f>
        <v/>
      </c>
      <c r="R466" s="314">
        <f>IF(ISNUMBER(SEARCH("목1",$H466)),1,"")</f>
        <v/>
      </c>
      <c r="S466" s="314">
        <f>IF(OR(ISNUMBER(SEARCH("목2",$H466)),ISNUMBER(SEARCH("목1.2",$H466))),1,"")</f>
        <v/>
      </c>
      <c r="T466" s="314">
        <f>IF(OR(ISNUMBER(SEARCH("목3",$H466)),ISNUMBER(SEARCH("목1.3",$H466)),ISNUMBER(SEARCH("목2.3",$H466)),ISNUMBER(SEARCH("목1.2.3",$H466))),1,"")</f>
        <v/>
      </c>
      <c r="U466" s="314">
        <f>IF(ISNUMBER(SEARCH("금1",$H466)),1,"")</f>
        <v/>
      </c>
      <c r="V466" s="314">
        <f>IF(OR(ISNUMBER(SEARCH("금2",$H466)),ISNUMBER(SEARCH("금1.2",$H466))),1,"")</f>
        <v/>
      </c>
      <c r="W466" s="314">
        <f>IF(OR(ISNUMBER(SEARCH("금3",$H466)),ISNUMBER(SEARCH("금1.3",$H466)),ISNUMBER(SEARCH("금2.3",$H466)),ISNUMBER(SEARCH("금1.2.3",$H466))),1,"")</f>
        <v/>
      </c>
      <c r="X466" s="314">
        <f>IF(ISNUMBER(SEARCH("토1",$H466)),1,"")</f>
        <v/>
      </c>
      <c r="Y466" s="314">
        <f>IF(OR(ISNUMBER(SEARCH("토2",$H466)),ISNUMBER(SEARCH("토1.2",$H466))),1,"")</f>
        <v/>
      </c>
      <c r="Z466" s="314">
        <f>IF(OR(ISNUMBER(SEARCH("토3",$H466)),ISNUMBER(SEARCH("토1.3",$H466)),ISNUMBER(SEARCH("토2.3",$H466)),ISNUMBER(SEARCH("토1.2.3",$H466))),1,"")</f>
        <v/>
      </c>
      <c r="AA466" s="314">
        <f>IF(ISNUMBER(SEARCH("일1",$H466)),1,"")</f>
        <v/>
      </c>
      <c r="AB466" s="314">
        <f>IF(OR(ISNUMBER(SEARCH("일2",$H466)),ISNUMBER(SEARCH("일1.2",$H466))),1,"")</f>
        <v/>
      </c>
      <c r="AC466" s="314">
        <f>IF(OR(ISNUMBER(SEARCH("일3",$H466)),ISNUMBER(SEARCH("일1.3",$H466)),ISNUMBER(SEARCH("일2.3",$H466)),ISNUMBER(SEARCH("일1.2.3",$H466))),1,"")</f>
        <v/>
      </c>
      <c r="AD466" s="314">
        <f>SUM(I466:AC466)</f>
        <v/>
      </c>
      <c r="AE466" s="318" t="n"/>
    </row>
    <row r="467" ht="24" customHeight="1">
      <c r="A467" s="168" t="n"/>
      <c r="B467" s="319" t="n"/>
      <c r="C467" s="319" t="n"/>
      <c r="D467" s="319" t="n"/>
      <c r="E467" s="341" t="n"/>
      <c r="F467" s="341" t="n"/>
      <c r="G467" s="342" t="n"/>
      <c r="H467" s="322" t="n"/>
      <c r="I467" s="319">
        <f>IF(ISNUMBER(SEARCH("월1",$H467)),1,"")</f>
        <v/>
      </c>
      <c r="J467" s="319">
        <f>IF(OR(ISNUMBER(SEARCH("월2",$H467)),ISNUMBER(SEARCH("월1.2",$H467))),1,"")</f>
        <v/>
      </c>
      <c r="K467" s="319">
        <f>IF(OR(ISNUMBER(SEARCH("월3",$H467)),ISNUMBER(SEARCH("월1.3",$H467)),ISNUMBER(SEARCH("월2.3",$H467)),ISNUMBER(SEARCH("월1.2.3",$H467))),1,"")</f>
        <v/>
      </c>
      <c r="L467" s="319">
        <f>IF(ISNUMBER(SEARCH("화1",$H467)),1,"")</f>
        <v/>
      </c>
      <c r="M467" s="319">
        <f>IF(OR(ISNUMBER(SEARCH("화2",$H467)),ISNUMBER(SEARCH("화1.2",$H467))),1,"")</f>
        <v/>
      </c>
      <c r="N467" s="319">
        <f>IF(OR(ISNUMBER(SEARCH("화3",$H467)),ISNUMBER(SEARCH("화1.3",$H467)),ISNUMBER(SEARCH("화2.3",$H467)),ISNUMBER(SEARCH("화1.2.3",$H467))),1,"")</f>
        <v/>
      </c>
      <c r="O467" s="319">
        <f>IF(ISNUMBER(SEARCH("수1",$H467)),1,"")</f>
        <v/>
      </c>
      <c r="P467" s="319">
        <f>IF(OR(ISNUMBER(SEARCH("수2",$H467)),ISNUMBER(SEARCH("수1.2",$H467))),1,"")</f>
        <v/>
      </c>
      <c r="Q467" s="319">
        <f>IF(OR(ISNUMBER(SEARCH("수3",$H467)),ISNUMBER(SEARCH("수1.3",$H467)),ISNUMBER(SEARCH("수2.3",$H467)),ISNUMBER(SEARCH("수1.2.3",$H467))),1,"")</f>
        <v/>
      </c>
      <c r="R467" s="319">
        <f>IF(ISNUMBER(SEARCH("목1",$H467)),1,"")</f>
        <v/>
      </c>
      <c r="S467" s="319">
        <f>IF(OR(ISNUMBER(SEARCH("목2",$H467)),ISNUMBER(SEARCH("목1.2",$H467))),1,"")</f>
        <v/>
      </c>
      <c r="T467" s="319">
        <f>IF(OR(ISNUMBER(SEARCH("목3",$H467)),ISNUMBER(SEARCH("목1.3",$H467)),ISNUMBER(SEARCH("목2.3",$H467)),ISNUMBER(SEARCH("목1.2.3",$H467))),1,"")</f>
        <v/>
      </c>
      <c r="U467" s="319">
        <f>IF(ISNUMBER(SEARCH("금1",$H467)),1,"")</f>
        <v/>
      </c>
      <c r="V467" s="319">
        <f>IF(OR(ISNUMBER(SEARCH("금2",$H467)),ISNUMBER(SEARCH("금1.2",$H467))),1,"")</f>
        <v/>
      </c>
      <c r="W467" s="319">
        <f>IF(OR(ISNUMBER(SEARCH("금3",$H467)),ISNUMBER(SEARCH("금1.3",$H467)),ISNUMBER(SEARCH("금2.3",$H467)),ISNUMBER(SEARCH("금1.2.3",$H467))),1,"")</f>
        <v/>
      </c>
      <c r="X467" s="319">
        <f>IF(ISNUMBER(SEARCH("토1",$H467)),1,"")</f>
        <v/>
      </c>
      <c r="Y467" s="319">
        <f>IF(OR(ISNUMBER(SEARCH("토2",$H467)),ISNUMBER(SEARCH("토1.2",$H467))),1,"")</f>
        <v/>
      </c>
      <c r="Z467" s="319">
        <f>IF(OR(ISNUMBER(SEARCH("토3",$H467)),ISNUMBER(SEARCH("토1.3",$H467)),ISNUMBER(SEARCH("토2.3",$H467)),ISNUMBER(SEARCH("토1.2.3",$H467))),1,"")</f>
        <v/>
      </c>
      <c r="AA467" s="319">
        <f>IF(ISNUMBER(SEARCH("일1",$H467)),1,"")</f>
        <v/>
      </c>
      <c r="AB467" s="319">
        <f>IF(OR(ISNUMBER(SEARCH("일2",$H467)),ISNUMBER(SEARCH("일1.2",$H467))),1,"")</f>
        <v/>
      </c>
      <c r="AC467" s="319">
        <f>IF(OR(ISNUMBER(SEARCH("일3",$H467)),ISNUMBER(SEARCH("일1.3",$H467)),ISNUMBER(SEARCH("일2.3",$H467)),ISNUMBER(SEARCH("일1.2.3",$H467))),1,"")</f>
        <v/>
      </c>
      <c r="AD467" s="319">
        <f>SUM(I467:AC467)</f>
        <v/>
      </c>
      <c r="AE467" s="323" t="n"/>
    </row>
    <row r="468" ht="24" customHeight="1">
      <c r="A468" s="168" t="n"/>
      <c r="B468" s="319" t="n"/>
      <c r="C468" s="319" t="n"/>
      <c r="D468" s="319" t="n"/>
      <c r="E468" s="341" t="n"/>
      <c r="F468" s="341" t="n"/>
      <c r="G468" s="342" t="n"/>
      <c r="H468" s="322" t="n"/>
      <c r="I468" s="319">
        <f>IF(ISNUMBER(SEARCH("월1",$H468)),1,"")</f>
        <v/>
      </c>
      <c r="J468" s="319">
        <f>IF(OR(ISNUMBER(SEARCH("월2",$H468)),ISNUMBER(SEARCH("월1.2",$H468))),1,"")</f>
        <v/>
      </c>
      <c r="K468" s="319">
        <f>IF(OR(ISNUMBER(SEARCH("월3",$H468)),ISNUMBER(SEARCH("월1.3",$H468)),ISNUMBER(SEARCH("월2.3",$H468)),ISNUMBER(SEARCH("월1.2.3",$H468))),1,"")</f>
        <v/>
      </c>
      <c r="L468" s="319">
        <f>IF(ISNUMBER(SEARCH("화1",$H468)),1,"")</f>
        <v/>
      </c>
      <c r="M468" s="319">
        <f>IF(OR(ISNUMBER(SEARCH("화2",$H468)),ISNUMBER(SEARCH("화1.2",$H468))),1,"")</f>
        <v/>
      </c>
      <c r="N468" s="319">
        <f>IF(OR(ISNUMBER(SEARCH("화3",$H468)),ISNUMBER(SEARCH("화1.3",$H468)),ISNUMBER(SEARCH("화2.3",$H468)),ISNUMBER(SEARCH("화1.2.3",$H468))),1,"")</f>
        <v/>
      </c>
      <c r="O468" s="319">
        <f>IF(ISNUMBER(SEARCH("수1",$H468)),1,"")</f>
        <v/>
      </c>
      <c r="P468" s="319">
        <f>IF(OR(ISNUMBER(SEARCH("수2",$H468)),ISNUMBER(SEARCH("수1.2",$H468))),1,"")</f>
        <v/>
      </c>
      <c r="Q468" s="319">
        <f>IF(OR(ISNUMBER(SEARCH("수3",$H468)),ISNUMBER(SEARCH("수1.3",$H468)),ISNUMBER(SEARCH("수2.3",$H468)),ISNUMBER(SEARCH("수1.2.3",$H468))),1,"")</f>
        <v/>
      </c>
      <c r="R468" s="319">
        <f>IF(ISNUMBER(SEARCH("목1",$H468)),1,"")</f>
        <v/>
      </c>
      <c r="S468" s="319">
        <f>IF(OR(ISNUMBER(SEARCH("목2",$H468)),ISNUMBER(SEARCH("목1.2",$H468))),1,"")</f>
        <v/>
      </c>
      <c r="T468" s="319">
        <f>IF(OR(ISNUMBER(SEARCH("목3",$H468)),ISNUMBER(SEARCH("목1.3",$H468)),ISNUMBER(SEARCH("목2.3",$H468)),ISNUMBER(SEARCH("목1.2.3",$H468))),1,"")</f>
        <v/>
      </c>
      <c r="U468" s="319">
        <f>IF(ISNUMBER(SEARCH("금1",$H468)),1,"")</f>
        <v/>
      </c>
      <c r="V468" s="319">
        <f>IF(OR(ISNUMBER(SEARCH("금2",$H468)),ISNUMBER(SEARCH("금1.2",$H468))),1,"")</f>
        <v/>
      </c>
      <c r="W468" s="319">
        <f>IF(OR(ISNUMBER(SEARCH("금3",$H468)),ISNUMBER(SEARCH("금1.3",$H468)),ISNUMBER(SEARCH("금2.3",$H468)),ISNUMBER(SEARCH("금1.2.3",$H468))),1,"")</f>
        <v/>
      </c>
      <c r="X468" s="319">
        <f>IF(ISNUMBER(SEARCH("토1",$H468)),1,"")</f>
        <v/>
      </c>
      <c r="Y468" s="319">
        <f>IF(OR(ISNUMBER(SEARCH("토2",$H468)),ISNUMBER(SEARCH("토1.2",$H468))),1,"")</f>
        <v/>
      </c>
      <c r="Z468" s="319">
        <f>IF(OR(ISNUMBER(SEARCH("토3",$H468)),ISNUMBER(SEARCH("토1.3",$H468)),ISNUMBER(SEARCH("토2.3",$H468)),ISNUMBER(SEARCH("토1.2.3",$H468))),1,"")</f>
        <v/>
      </c>
      <c r="AA468" s="319">
        <f>IF(ISNUMBER(SEARCH("일1",$H468)),1,"")</f>
        <v/>
      </c>
      <c r="AB468" s="319">
        <f>IF(OR(ISNUMBER(SEARCH("일2",$H468)),ISNUMBER(SEARCH("일1.2",$H468))),1,"")</f>
        <v/>
      </c>
      <c r="AC468" s="319">
        <f>IF(OR(ISNUMBER(SEARCH("일3",$H468)),ISNUMBER(SEARCH("일1.3",$H468)),ISNUMBER(SEARCH("일2.3",$H468)),ISNUMBER(SEARCH("일1.2.3",$H468))),1,"")</f>
        <v/>
      </c>
      <c r="AD468" s="319">
        <f>SUM(I468:AC468)</f>
        <v/>
      </c>
      <c r="AE468" s="323" t="n"/>
    </row>
    <row r="469" ht="24" customHeight="1">
      <c r="A469" s="168" t="n"/>
      <c r="B469" s="319" t="n"/>
      <c r="C469" s="319" t="n"/>
      <c r="D469" s="319" t="n"/>
      <c r="E469" s="341" t="n"/>
      <c r="F469" s="341" t="n"/>
      <c r="G469" s="342" t="n"/>
      <c r="H469" s="322" t="n"/>
      <c r="I469" s="319">
        <f>IF(ISNUMBER(SEARCH("월1",$H469)),1,"")</f>
        <v/>
      </c>
      <c r="J469" s="319">
        <f>IF(OR(ISNUMBER(SEARCH("월2",$H469)),ISNUMBER(SEARCH("월1.2",$H469))),1,"")</f>
        <v/>
      </c>
      <c r="K469" s="319">
        <f>IF(OR(ISNUMBER(SEARCH("월3",$H469)),ISNUMBER(SEARCH("월1.3",$H469)),ISNUMBER(SEARCH("월2.3",$H469)),ISNUMBER(SEARCH("월1.2.3",$H469))),1,"")</f>
        <v/>
      </c>
      <c r="L469" s="319">
        <f>IF(ISNUMBER(SEARCH("화1",$H469)),1,"")</f>
        <v/>
      </c>
      <c r="M469" s="319">
        <f>IF(OR(ISNUMBER(SEARCH("화2",$H469)),ISNUMBER(SEARCH("화1.2",$H469))),1,"")</f>
        <v/>
      </c>
      <c r="N469" s="319">
        <f>IF(OR(ISNUMBER(SEARCH("화3",$H469)),ISNUMBER(SEARCH("화1.3",$H469)),ISNUMBER(SEARCH("화2.3",$H469)),ISNUMBER(SEARCH("화1.2.3",$H469))),1,"")</f>
        <v/>
      </c>
      <c r="O469" s="319">
        <f>IF(ISNUMBER(SEARCH("수1",$H469)),1,"")</f>
        <v/>
      </c>
      <c r="P469" s="319">
        <f>IF(OR(ISNUMBER(SEARCH("수2",$H469)),ISNUMBER(SEARCH("수1.2",$H469))),1,"")</f>
        <v/>
      </c>
      <c r="Q469" s="319">
        <f>IF(OR(ISNUMBER(SEARCH("수3",$H469)),ISNUMBER(SEARCH("수1.3",$H469)),ISNUMBER(SEARCH("수2.3",$H469)),ISNUMBER(SEARCH("수1.2.3",$H469))),1,"")</f>
        <v/>
      </c>
      <c r="R469" s="319">
        <f>IF(ISNUMBER(SEARCH("목1",$H469)),1,"")</f>
        <v/>
      </c>
      <c r="S469" s="319">
        <f>IF(OR(ISNUMBER(SEARCH("목2",$H469)),ISNUMBER(SEARCH("목1.2",$H469))),1,"")</f>
        <v/>
      </c>
      <c r="T469" s="319">
        <f>IF(OR(ISNUMBER(SEARCH("목3",$H469)),ISNUMBER(SEARCH("목1.3",$H469)),ISNUMBER(SEARCH("목2.3",$H469)),ISNUMBER(SEARCH("목1.2.3",$H469))),1,"")</f>
        <v/>
      </c>
      <c r="U469" s="319">
        <f>IF(ISNUMBER(SEARCH("금1",$H469)),1,"")</f>
        <v/>
      </c>
      <c r="V469" s="319">
        <f>IF(OR(ISNUMBER(SEARCH("금2",$H469)),ISNUMBER(SEARCH("금1.2",$H469))),1,"")</f>
        <v/>
      </c>
      <c r="W469" s="319">
        <f>IF(OR(ISNUMBER(SEARCH("금3",$H469)),ISNUMBER(SEARCH("금1.3",$H469)),ISNUMBER(SEARCH("금2.3",$H469)),ISNUMBER(SEARCH("금1.2.3",$H469))),1,"")</f>
        <v/>
      </c>
      <c r="X469" s="319">
        <f>IF(ISNUMBER(SEARCH("토1",$H469)),1,"")</f>
        <v/>
      </c>
      <c r="Y469" s="319">
        <f>IF(OR(ISNUMBER(SEARCH("토2",$H469)),ISNUMBER(SEARCH("토1.2",$H469))),1,"")</f>
        <v/>
      </c>
      <c r="Z469" s="319">
        <f>IF(OR(ISNUMBER(SEARCH("토3",$H469)),ISNUMBER(SEARCH("토1.3",$H469)),ISNUMBER(SEARCH("토2.3",$H469)),ISNUMBER(SEARCH("토1.2.3",$H469))),1,"")</f>
        <v/>
      </c>
      <c r="AA469" s="319">
        <f>IF(ISNUMBER(SEARCH("일1",$H469)),1,"")</f>
        <v/>
      </c>
      <c r="AB469" s="319">
        <f>IF(OR(ISNUMBER(SEARCH("일2",$H469)),ISNUMBER(SEARCH("일1.2",$H469))),1,"")</f>
        <v/>
      </c>
      <c r="AC469" s="319">
        <f>IF(OR(ISNUMBER(SEARCH("일3",$H469)),ISNUMBER(SEARCH("일1.3",$H469)),ISNUMBER(SEARCH("일2.3",$H469)),ISNUMBER(SEARCH("일1.2.3",$H469))),1,"")</f>
        <v/>
      </c>
      <c r="AD469" s="319">
        <f>SUM(I469:AC469)</f>
        <v/>
      </c>
      <c r="AE469" s="323" t="n"/>
    </row>
    <row r="470" ht="24" customHeight="1">
      <c r="A470" s="168" t="n"/>
      <c r="B470" s="319" t="n"/>
      <c r="C470" s="319" t="n"/>
      <c r="D470" s="319" t="n"/>
      <c r="E470" s="341" t="n"/>
      <c r="F470" s="341" t="n"/>
      <c r="G470" s="342" t="n"/>
      <c r="H470" s="322" t="n"/>
      <c r="I470" s="319">
        <f>IF(ISNUMBER(SEARCH("월1",$H470)),1,"")</f>
        <v/>
      </c>
      <c r="J470" s="319">
        <f>IF(OR(ISNUMBER(SEARCH("월2",$H470)),ISNUMBER(SEARCH("월1.2",$H470))),1,"")</f>
        <v/>
      </c>
      <c r="K470" s="319">
        <f>IF(OR(ISNUMBER(SEARCH("월3",$H470)),ISNUMBER(SEARCH("월1.3",$H470)),ISNUMBER(SEARCH("월2.3",$H470)),ISNUMBER(SEARCH("월1.2.3",$H470))),1,"")</f>
        <v/>
      </c>
      <c r="L470" s="319">
        <f>IF(ISNUMBER(SEARCH("화1",$H470)),1,"")</f>
        <v/>
      </c>
      <c r="M470" s="319">
        <f>IF(OR(ISNUMBER(SEARCH("화2",$H470)),ISNUMBER(SEARCH("화1.2",$H470))),1,"")</f>
        <v/>
      </c>
      <c r="N470" s="319">
        <f>IF(OR(ISNUMBER(SEARCH("화3",$H470)),ISNUMBER(SEARCH("화1.3",$H470)),ISNUMBER(SEARCH("화2.3",$H470)),ISNUMBER(SEARCH("화1.2.3",$H470))),1,"")</f>
        <v/>
      </c>
      <c r="O470" s="319">
        <f>IF(ISNUMBER(SEARCH("수1",$H470)),1,"")</f>
        <v/>
      </c>
      <c r="P470" s="319">
        <f>IF(OR(ISNUMBER(SEARCH("수2",$H470)),ISNUMBER(SEARCH("수1.2",$H470))),1,"")</f>
        <v/>
      </c>
      <c r="Q470" s="319">
        <f>IF(OR(ISNUMBER(SEARCH("수3",$H470)),ISNUMBER(SEARCH("수1.3",$H470)),ISNUMBER(SEARCH("수2.3",$H470)),ISNUMBER(SEARCH("수1.2.3",$H470))),1,"")</f>
        <v/>
      </c>
      <c r="R470" s="319">
        <f>IF(ISNUMBER(SEARCH("목1",$H470)),1,"")</f>
        <v/>
      </c>
      <c r="S470" s="319">
        <f>IF(OR(ISNUMBER(SEARCH("목2",$H470)),ISNUMBER(SEARCH("목1.2",$H470))),1,"")</f>
        <v/>
      </c>
      <c r="T470" s="319">
        <f>IF(OR(ISNUMBER(SEARCH("목3",$H470)),ISNUMBER(SEARCH("목1.3",$H470)),ISNUMBER(SEARCH("목2.3",$H470)),ISNUMBER(SEARCH("목1.2.3",$H470))),1,"")</f>
        <v/>
      </c>
      <c r="U470" s="319">
        <f>IF(ISNUMBER(SEARCH("금1",$H470)),1,"")</f>
        <v/>
      </c>
      <c r="V470" s="319">
        <f>IF(OR(ISNUMBER(SEARCH("금2",$H470)),ISNUMBER(SEARCH("금1.2",$H470))),1,"")</f>
        <v/>
      </c>
      <c r="W470" s="319">
        <f>IF(OR(ISNUMBER(SEARCH("금3",$H470)),ISNUMBER(SEARCH("금1.3",$H470)),ISNUMBER(SEARCH("금2.3",$H470)),ISNUMBER(SEARCH("금1.2.3",$H470))),1,"")</f>
        <v/>
      </c>
      <c r="X470" s="319">
        <f>IF(ISNUMBER(SEARCH("토1",$H470)),1,"")</f>
        <v/>
      </c>
      <c r="Y470" s="319">
        <f>IF(OR(ISNUMBER(SEARCH("토2",$H470)),ISNUMBER(SEARCH("토1.2",$H470))),1,"")</f>
        <v/>
      </c>
      <c r="Z470" s="319">
        <f>IF(OR(ISNUMBER(SEARCH("토3",$H470)),ISNUMBER(SEARCH("토1.3",$H470)),ISNUMBER(SEARCH("토2.3",$H470)),ISNUMBER(SEARCH("토1.2.3",$H470))),1,"")</f>
        <v/>
      </c>
      <c r="AA470" s="319">
        <f>IF(ISNUMBER(SEARCH("일1",$H470)),1,"")</f>
        <v/>
      </c>
      <c r="AB470" s="319">
        <f>IF(OR(ISNUMBER(SEARCH("일2",$H470)),ISNUMBER(SEARCH("일1.2",$H470))),1,"")</f>
        <v/>
      </c>
      <c r="AC470" s="319">
        <f>IF(OR(ISNUMBER(SEARCH("일3",$H470)),ISNUMBER(SEARCH("일1.3",$H470)),ISNUMBER(SEARCH("일2.3",$H470)),ISNUMBER(SEARCH("일1.2.3",$H470))),1,"")</f>
        <v/>
      </c>
      <c r="AD470" s="319">
        <f>SUM(I470:AC470)</f>
        <v/>
      </c>
      <c r="AE470" s="323" t="n"/>
    </row>
    <row r="471" ht="24" customHeight="1">
      <c r="A471" s="168" t="n"/>
      <c r="B471" s="319" t="n"/>
      <c r="C471" s="319" t="n"/>
      <c r="D471" s="319" t="n"/>
      <c r="E471" s="341" t="n"/>
      <c r="F471" s="341" t="n"/>
      <c r="G471" s="342" t="n"/>
      <c r="H471" s="322" t="n"/>
      <c r="I471" s="319">
        <f>IF(ISNUMBER(SEARCH("월1",$H471)),1,"")</f>
        <v/>
      </c>
      <c r="J471" s="319">
        <f>IF(OR(ISNUMBER(SEARCH("월2",$H471)),ISNUMBER(SEARCH("월1.2",$H471))),1,"")</f>
        <v/>
      </c>
      <c r="K471" s="319">
        <f>IF(OR(ISNUMBER(SEARCH("월3",$H471)),ISNUMBER(SEARCH("월1.3",$H471)),ISNUMBER(SEARCH("월2.3",$H471)),ISNUMBER(SEARCH("월1.2.3",$H471))),1,"")</f>
        <v/>
      </c>
      <c r="L471" s="319">
        <f>IF(ISNUMBER(SEARCH("화1",$H471)),1,"")</f>
        <v/>
      </c>
      <c r="M471" s="319">
        <f>IF(OR(ISNUMBER(SEARCH("화2",$H471)),ISNUMBER(SEARCH("화1.2",$H471))),1,"")</f>
        <v/>
      </c>
      <c r="N471" s="319">
        <f>IF(OR(ISNUMBER(SEARCH("화3",$H471)),ISNUMBER(SEARCH("화1.3",$H471)),ISNUMBER(SEARCH("화2.3",$H471)),ISNUMBER(SEARCH("화1.2.3",$H471))),1,"")</f>
        <v/>
      </c>
      <c r="O471" s="319">
        <f>IF(ISNUMBER(SEARCH("수1",$H471)),1,"")</f>
        <v/>
      </c>
      <c r="P471" s="319">
        <f>IF(OR(ISNUMBER(SEARCH("수2",$H471)),ISNUMBER(SEARCH("수1.2",$H471))),1,"")</f>
        <v/>
      </c>
      <c r="Q471" s="319">
        <f>IF(OR(ISNUMBER(SEARCH("수3",$H471)),ISNUMBER(SEARCH("수1.3",$H471)),ISNUMBER(SEARCH("수2.3",$H471)),ISNUMBER(SEARCH("수1.2.3",$H471))),1,"")</f>
        <v/>
      </c>
      <c r="R471" s="319">
        <f>IF(ISNUMBER(SEARCH("목1",$H471)),1,"")</f>
        <v/>
      </c>
      <c r="S471" s="319">
        <f>IF(OR(ISNUMBER(SEARCH("목2",$H471)),ISNUMBER(SEARCH("목1.2",$H471))),1,"")</f>
        <v/>
      </c>
      <c r="T471" s="319">
        <f>IF(OR(ISNUMBER(SEARCH("목3",$H471)),ISNUMBER(SEARCH("목1.3",$H471)),ISNUMBER(SEARCH("목2.3",$H471)),ISNUMBER(SEARCH("목1.2.3",$H471))),1,"")</f>
        <v/>
      </c>
      <c r="U471" s="319">
        <f>IF(ISNUMBER(SEARCH("금1",$H471)),1,"")</f>
        <v/>
      </c>
      <c r="V471" s="319">
        <f>IF(OR(ISNUMBER(SEARCH("금2",$H471)),ISNUMBER(SEARCH("금1.2",$H471))),1,"")</f>
        <v/>
      </c>
      <c r="W471" s="319">
        <f>IF(OR(ISNUMBER(SEARCH("금3",$H471)),ISNUMBER(SEARCH("금1.3",$H471)),ISNUMBER(SEARCH("금2.3",$H471)),ISNUMBER(SEARCH("금1.2.3",$H471))),1,"")</f>
        <v/>
      </c>
      <c r="X471" s="319">
        <f>IF(ISNUMBER(SEARCH("토1",$H471)),1,"")</f>
        <v/>
      </c>
      <c r="Y471" s="319">
        <f>IF(OR(ISNUMBER(SEARCH("토2",$H471)),ISNUMBER(SEARCH("토1.2",$H471))),1,"")</f>
        <v/>
      </c>
      <c r="Z471" s="319">
        <f>IF(OR(ISNUMBER(SEARCH("토3",$H471)),ISNUMBER(SEARCH("토1.3",$H471)),ISNUMBER(SEARCH("토2.3",$H471)),ISNUMBER(SEARCH("토1.2.3",$H471))),1,"")</f>
        <v/>
      </c>
      <c r="AA471" s="319">
        <f>IF(ISNUMBER(SEARCH("일1",$H471)),1,"")</f>
        <v/>
      </c>
      <c r="AB471" s="319">
        <f>IF(OR(ISNUMBER(SEARCH("일2",$H471)),ISNUMBER(SEARCH("일1.2",$H471))),1,"")</f>
        <v/>
      </c>
      <c r="AC471" s="319">
        <f>IF(OR(ISNUMBER(SEARCH("일3",$H471)),ISNUMBER(SEARCH("일1.3",$H471)),ISNUMBER(SEARCH("일2.3",$H471)),ISNUMBER(SEARCH("일1.2.3",$H471))),1,"")</f>
        <v/>
      </c>
      <c r="AD471" s="319">
        <f>SUM(I471:AC471)</f>
        <v/>
      </c>
      <c r="AE471" s="323" t="n"/>
    </row>
    <row r="472" ht="24" customHeight="1">
      <c r="A472" s="168" t="n"/>
      <c r="B472" s="319" t="n"/>
      <c r="C472" s="319" t="n"/>
      <c r="D472" s="319" t="n"/>
      <c r="E472" s="341" t="n"/>
      <c r="F472" s="341" t="n"/>
      <c r="G472" s="342" t="n"/>
      <c r="H472" s="322" t="n"/>
      <c r="I472" s="319">
        <f>IF(ISNUMBER(SEARCH("월1",$H472)),1,"")</f>
        <v/>
      </c>
      <c r="J472" s="319">
        <f>IF(OR(ISNUMBER(SEARCH("월2",$H472)),ISNUMBER(SEARCH("월1.2",$H472))),1,"")</f>
        <v/>
      </c>
      <c r="K472" s="319">
        <f>IF(OR(ISNUMBER(SEARCH("월3",$H472)),ISNUMBER(SEARCH("월1.3",$H472)),ISNUMBER(SEARCH("월2.3",$H472)),ISNUMBER(SEARCH("월1.2.3",$H472))),1,"")</f>
        <v/>
      </c>
      <c r="L472" s="319">
        <f>IF(ISNUMBER(SEARCH("화1",$H472)),1,"")</f>
        <v/>
      </c>
      <c r="M472" s="319">
        <f>IF(OR(ISNUMBER(SEARCH("화2",$H472)),ISNUMBER(SEARCH("화1.2",$H472))),1,"")</f>
        <v/>
      </c>
      <c r="N472" s="319">
        <f>IF(OR(ISNUMBER(SEARCH("화3",$H472)),ISNUMBER(SEARCH("화1.3",$H472)),ISNUMBER(SEARCH("화2.3",$H472)),ISNUMBER(SEARCH("화1.2.3",$H472))),1,"")</f>
        <v/>
      </c>
      <c r="O472" s="319">
        <f>IF(ISNUMBER(SEARCH("수1",$H472)),1,"")</f>
        <v/>
      </c>
      <c r="P472" s="319">
        <f>IF(OR(ISNUMBER(SEARCH("수2",$H472)),ISNUMBER(SEARCH("수1.2",$H472))),1,"")</f>
        <v/>
      </c>
      <c r="Q472" s="319">
        <f>IF(OR(ISNUMBER(SEARCH("수3",$H472)),ISNUMBER(SEARCH("수1.3",$H472)),ISNUMBER(SEARCH("수2.3",$H472)),ISNUMBER(SEARCH("수1.2.3",$H472))),1,"")</f>
        <v/>
      </c>
      <c r="R472" s="319">
        <f>IF(ISNUMBER(SEARCH("목1",$H472)),1,"")</f>
        <v/>
      </c>
      <c r="S472" s="319">
        <f>IF(OR(ISNUMBER(SEARCH("목2",$H472)),ISNUMBER(SEARCH("목1.2",$H472))),1,"")</f>
        <v/>
      </c>
      <c r="T472" s="319">
        <f>IF(OR(ISNUMBER(SEARCH("목3",$H472)),ISNUMBER(SEARCH("목1.3",$H472)),ISNUMBER(SEARCH("목2.3",$H472)),ISNUMBER(SEARCH("목1.2.3",$H472))),1,"")</f>
        <v/>
      </c>
      <c r="U472" s="319">
        <f>IF(ISNUMBER(SEARCH("금1",$H472)),1,"")</f>
        <v/>
      </c>
      <c r="V472" s="319">
        <f>IF(OR(ISNUMBER(SEARCH("금2",$H472)),ISNUMBER(SEARCH("금1.2",$H472))),1,"")</f>
        <v/>
      </c>
      <c r="W472" s="319">
        <f>IF(OR(ISNUMBER(SEARCH("금3",$H472)),ISNUMBER(SEARCH("금1.3",$H472)),ISNUMBER(SEARCH("금2.3",$H472)),ISNUMBER(SEARCH("금1.2.3",$H472))),1,"")</f>
        <v/>
      </c>
      <c r="X472" s="319">
        <f>IF(ISNUMBER(SEARCH("토1",$H472)),1,"")</f>
        <v/>
      </c>
      <c r="Y472" s="319">
        <f>IF(OR(ISNUMBER(SEARCH("토2",$H472)),ISNUMBER(SEARCH("토1.2",$H472))),1,"")</f>
        <v/>
      </c>
      <c r="Z472" s="319">
        <f>IF(OR(ISNUMBER(SEARCH("토3",$H472)),ISNUMBER(SEARCH("토1.3",$H472)),ISNUMBER(SEARCH("토2.3",$H472)),ISNUMBER(SEARCH("토1.2.3",$H472))),1,"")</f>
        <v/>
      </c>
      <c r="AA472" s="319">
        <f>IF(ISNUMBER(SEARCH("일1",$H472)),1,"")</f>
        <v/>
      </c>
      <c r="AB472" s="319">
        <f>IF(OR(ISNUMBER(SEARCH("일2",$H472)),ISNUMBER(SEARCH("일1.2",$H472))),1,"")</f>
        <v/>
      </c>
      <c r="AC472" s="319">
        <f>IF(OR(ISNUMBER(SEARCH("일3",$H472)),ISNUMBER(SEARCH("일1.3",$H472)),ISNUMBER(SEARCH("일2.3",$H472)),ISNUMBER(SEARCH("일1.2.3",$H472))),1,"")</f>
        <v/>
      </c>
      <c r="AD472" s="319">
        <f>SUM(I472:AC472)</f>
        <v/>
      </c>
      <c r="AE472" s="323" t="n"/>
    </row>
    <row r="473" ht="24" customHeight="1">
      <c r="A473" s="168" t="n"/>
      <c r="B473" s="319" t="n"/>
      <c r="C473" s="319" t="n"/>
      <c r="D473" s="319" t="n"/>
      <c r="E473" s="341" t="n"/>
      <c r="F473" s="341" t="n"/>
      <c r="G473" s="342" t="n"/>
      <c r="H473" s="322" t="n"/>
      <c r="I473" s="319">
        <f>IF(ISNUMBER(SEARCH("월1",$H473)),1,"")</f>
        <v/>
      </c>
      <c r="J473" s="319">
        <f>IF(OR(ISNUMBER(SEARCH("월2",$H473)),ISNUMBER(SEARCH("월1.2",$H473))),1,"")</f>
        <v/>
      </c>
      <c r="K473" s="319">
        <f>IF(OR(ISNUMBER(SEARCH("월3",$H473)),ISNUMBER(SEARCH("월1.3",$H473)),ISNUMBER(SEARCH("월2.3",$H473)),ISNUMBER(SEARCH("월1.2.3",$H473))),1,"")</f>
        <v/>
      </c>
      <c r="L473" s="319">
        <f>IF(ISNUMBER(SEARCH("화1",$H473)),1,"")</f>
        <v/>
      </c>
      <c r="M473" s="319">
        <f>IF(OR(ISNUMBER(SEARCH("화2",$H473)),ISNUMBER(SEARCH("화1.2",$H473))),1,"")</f>
        <v/>
      </c>
      <c r="N473" s="319">
        <f>IF(OR(ISNUMBER(SEARCH("화3",$H473)),ISNUMBER(SEARCH("화1.3",$H473)),ISNUMBER(SEARCH("화2.3",$H473)),ISNUMBER(SEARCH("화1.2.3",$H473))),1,"")</f>
        <v/>
      </c>
      <c r="O473" s="319">
        <f>IF(ISNUMBER(SEARCH("수1",$H473)),1,"")</f>
        <v/>
      </c>
      <c r="P473" s="319">
        <f>IF(OR(ISNUMBER(SEARCH("수2",$H473)),ISNUMBER(SEARCH("수1.2",$H473))),1,"")</f>
        <v/>
      </c>
      <c r="Q473" s="319">
        <f>IF(OR(ISNUMBER(SEARCH("수3",$H473)),ISNUMBER(SEARCH("수1.3",$H473)),ISNUMBER(SEARCH("수2.3",$H473)),ISNUMBER(SEARCH("수1.2.3",$H473))),1,"")</f>
        <v/>
      </c>
      <c r="R473" s="319">
        <f>IF(ISNUMBER(SEARCH("목1",$H473)),1,"")</f>
        <v/>
      </c>
      <c r="S473" s="319">
        <f>IF(OR(ISNUMBER(SEARCH("목2",$H473)),ISNUMBER(SEARCH("목1.2",$H473))),1,"")</f>
        <v/>
      </c>
      <c r="T473" s="319">
        <f>IF(OR(ISNUMBER(SEARCH("목3",$H473)),ISNUMBER(SEARCH("목1.3",$H473)),ISNUMBER(SEARCH("목2.3",$H473)),ISNUMBER(SEARCH("목1.2.3",$H473))),1,"")</f>
        <v/>
      </c>
      <c r="U473" s="319">
        <f>IF(ISNUMBER(SEARCH("금1",$H473)),1,"")</f>
        <v/>
      </c>
      <c r="V473" s="319">
        <f>IF(OR(ISNUMBER(SEARCH("금2",$H473)),ISNUMBER(SEARCH("금1.2",$H473))),1,"")</f>
        <v/>
      </c>
      <c r="W473" s="319">
        <f>IF(OR(ISNUMBER(SEARCH("금3",$H473)),ISNUMBER(SEARCH("금1.3",$H473)),ISNUMBER(SEARCH("금2.3",$H473)),ISNUMBER(SEARCH("금1.2.3",$H473))),1,"")</f>
        <v/>
      </c>
      <c r="X473" s="319">
        <f>IF(ISNUMBER(SEARCH("토1",$H473)),1,"")</f>
        <v/>
      </c>
      <c r="Y473" s="319">
        <f>IF(OR(ISNUMBER(SEARCH("토2",$H473)),ISNUMBER(SEARCH("토1.2",$H473))),1,"")</f>
        <v/>
      </c>
      <c r="Z473" s="319">
        <f>IF(OR(ISNUMBER(SEARCH("토3",$H473)),ISNUMBER(SEARCH("토1.3",$H473)),ISNUMBER(SEARCH("토2.3",$H473)),ISNUMBER(SEARCH("토1.2.3",$H473))),1,"")</f>
        <v/>
      </c>
      <c r="AA473" s="319">
        <f>IF(ISNUMBER(SEARCH("일1",$H473)),1,"")</f>
        <v/>
      </c>
      <c r="AB473" s="319">
        <f>IF(OR(ISNUMBER(SEARCH("일2",$H473)),ISNUMBER(SEARCH("일1.2",$H473))),1,"")</f>
        <v/>
      </c>
      <c r="AC473" s="319">
        <f>IF(OR(ISNUMBER(SEARCH("일3",$H473)),ISNUMBER(SEARCH("일1.3",$H473)),ISNUMBER(SEARCH("일2.3",$H473)),ISNUMBER(SEARCH("일1.2.3",$H473))),1,"")</f>
        <v/>
      </c>
      <c r="AD473" s="319">
        <f>SUM(I473:AC473)</f>
        <v/>
      </c>
      <c r="AE473" s="323" t="n"/>
    </row>
    <row r="474" ht="24" customHeight="1">
      <c r="A474" s="168" t="n"/>
      <c r="B474" s="319" t="n"/>
      <c r="C474" s="319" t="n"/>
      <c r="D474" s="319" t="n"/>
      <c r="E474" s="341" t="n"/>
      <c r="F474" s="341" t="n"/>
      <c r="G474" s="342" t="n"/>
      <c r="H474" s="322" t="n"/>
      <c r="I474" s="319">
        <f>IF(ISNUMBER(SEARCH("월1",$H474)),1,"")</f>
        <v/>
      </c>
      <c r="J474" s="319">
        <f>IF(OR(ISNUMBER(SEARCH("월2",$H474)),ISNUMBER(SEARCH("월1.2",$H474))),1,"")</f>
        <v/>
      </c>
      <c r="K474" s="319">
        <f>IF(OR(ISNUMBER(SEARCH("월3",$H474)),ISNUMBER(SEARCH("월1.3",$H474)),ISNUMBER(SEARCH("월2.3",$H474)),ISNUMBER(SEARCH("월1.2.3",$H474))),1,"")</f>
        <v/>
      </c>
      <c r="L474" s="319">
        <f>IF(ISNUMBER(SEARCH("화1",$H474)),1,"")</f>
        <v/>
      </c>
      <c r="M474" s="319">
        <f>IF(OR(ISNUMBER(SEARCH("화2",$H474)),ISNUMBER(SEARCH("화1.2",$H474))),1,"")</f>
        <v/>
      </c>
      <c r="N474" s="319">
        <f>IF(OR(ISNUMBER(SEARCH("화3",$H474)),ISNUMBER(SEARCH("화1.3",$H474)),ISNUMBER(SEARCH("화2.3",$H474)),ISNUMBER(SEARCH("화1.2.3",$H474))),1,"")</f>
        <v/>
      </c>
      <c r="O474" s="319">
        <f>IF(ISNUMBER(SEARCH("수1",$H474)),1,"")</f>
        <v/>
      </c>
      <c r="P474" s="319">
        <f>IF(OR(ISNUMBER(SEARCH("수2",$H474)),ISNUMBER(SEARCH("수1.2",$H474))),1,"")</f>
        <v/>
      </c>
      <c r="Q474" s="319">
        <f>IF(OR(ISNUMBER(SEARCH("수3",$H474)),ISNUMBER(SEARCH("수1.3",$H474)),ISNUMBER(SEARCH("수2.3",$H474)),ISNUMBER(SEARCH("수1.2.3",$H474))),1,"")</f>
        <v/>
      </c>
      <c r="R474" s="319">
        <f>IF(ISNUMBER(SEARCH("목1",$H474)),1,"")</f>
        <v/>
      </c>
      <c r="S474" s="319">
        <f>IF(OR(ISNUMBER(SEARCH("목2",$H474)),ISNUMBER(SEARCH("목1.2",$H474))),1,"")</f>
        <v/>
      </c>
      <c r="T474" s="319">
        <f>IF(OR(ISNUMBER(SEARCH("목3",$H474)),ISNUMBER(SEARCH("목1.3",$H474)),ISNUMBER(SEARCH("목2.3",$H474)),ISNUMBER(SEARCH("목1.2.3",$H474))),1,"")</f>
        <v/>
      </c>
      <c r="U474" s="319">
        <f>IF(ISNUMBER(SEARCH("금1",$H474)),1,"")</f>
        <v/>
      </c>
      <c r="V474" s="319">
        <f>IF(OR(ISNUMBER(SEARCH("금2",$H474)),ISNUMBER(SEARCH("금1.2",$H474))),1,"")</f>
        <v/>
      </c>
      <c r="W474" s="319">
        <f>IF(OR(ISNUMBER(SEARCH("금3",$H474)),ISNUMBER(SEARCH("금1.3",$H474)),ISNUMBER(SEARCH("금2.3",$H474)),ISNUMBER(SEARCH("금1.2.3",$H474))),1,"")</f>
        <v/>
      </c>
      <c r="X474" s="319">
        <f>IF(ISNUMBER(SEARCH("토1",$H474)),1,"")</f>
        <v/>
      </c>
      <c r="Y474" s="319">
        <f>IF(OR(ISNUMBER(SEARCH("토2",$H474)),ISNUMBER(SEARCH("토1.2",$H474))),1,"")</f>
        <v/>
      </c>
      <c r="Z474" s="319">
        <f>IF(OR(ISNUMBER(SEARCH("토3",$H474)),ISNUMBER(SEARCH("토1.3",$H474)),ISNUMBER(SEARCH("토2.3",$H474)),ISNUMBER(SEARCH("토1.2.3",$H474))),1,"")</f>
        <v/>
      </c>
      <c r="AA474" s="319">
        <f>IF(ISNUMBER(SEARCH("일1",$H474)),1,"")</f>
        <v/>
      </c>
      <c r="AB474" s="319">
        <f>IF(OR(ISNUMBER(SEARCH("일2",$H474)),ISNUMBER(SEARCH("일1.2",$H474))),1,"")</f>
        <v/>
      </c>
      <c r="AC474" s="319">
        <f>IF(OR(ISNUMBER(SEARCH("일3",$H474)),ISNUMBER(SEARCH("일1.3",$H474)),ISNUMBER(SEARCH("일2.3",$H474)),ISNUMBER(SEARCH("일1.2.3",$H474))),1,"")</f>
        <v/>
      </c>
      <c r="AD474" s="319">
        <f>SUM(I474:AC474)</f>
        <v/>
      </c>
      <c r="AE474" s="323" t="n"/>
    </row>
    <row r="475" ht="24" customHeight="1">
      <c r="A475" s="168" t="n"/>
      <c r="B475" s="319" t="n"/>
      <c r="C475" s="319" t="n"/>
      <c r="D475" s="319" t="n"/>
      <c r="E475" s="341" t="n"/>
      <c r="F475" s="341" t="n"/>
      <c r="G475" s="342" t="n"/>
      <c r="H475" s="322" t="n"/>
      <c r="I475" s="319">
        <f>IF(ISNUMBER(SEARCH("월1",$H475)),1,"")</f>
        <v/>
      </c>
      <c r="J475" s="319">
        <f>IF(OR(ISNUMBER(SEARCH("월2",$H475)),ISNUMBER(SEARCH("월1.2",$H475))),1,"")</f>
        <v/>
      </c>
      <c r="K475" s="319">
        <f>IF(OR(ISNUMBER(SEARCH("월3",$H475)),ISNUMBER(SEARCH("월1.3",$H475)),ISNUMBER(SEARCH("월2.3",$H475)),ISNUMBER(SEARCH("월1.2.3",$H475))),1,"")</f>
        <v/>
      </c>
      <c r="L475" s="319">
        <f>IF(ISNUMBER(SEARCH("화1",$H475)),1,"")</f>
        <v/>
      </c>
      <c r="M475" s="319">
        <f>IF(OR(ISNUMBER(SEARCH("화2",$H475)),ISNUMBER(SEARCH("화1.2",$H475))),1,"")</f>
        <v/>
      </c>
      <c r="N475" s="319">
        <f>IF(OR(ISNUMBER(SEARCH("화3",$H475)),ISNUMBER(SEARCH("화1.3",$H475)),ISNUMBER(SEARCH("화2.3",$H475)),ISNUMBER(SEARCH("화1.2.3",$H475))),1,"")</f>
        <v/>
      </c>
      <c r="O475" s="319">
        <f>IF(ISNUMBER(SEARCH("수1",$H475)),1,"")</f>
        <v/>
      </c>
      <c r="P475" s="319">
        <f>IF(OR(ISNUMBER(SEARCH("수2",$H475)),ISNUMBER(SEARCH("수1.2",$H475))),1,"")</f>
        <v/>
      </c>
      <c r="Q475" s="319">
        <f>IF(OR(ISNUMBER(SEARCH("수3",$H475)),ISNUMBER(SEARCH("수1.3",$H475)),ISNUMBER(SEARCH("수2.3",$H475)),ISNUMBER(SEARCH("수1.2.3",$H475))),1,"")</f>
        <v/>
      </c>
      <c r="R475" s="319">
        <f>IF(ISNUMBER(SEARCH("목1",$H475)),1,"")</f>
        <v/>
      </c>
      <c r="S475" s="319">
        <f>IF(OR(ISNUMBER(SEARCH("목2",$H475)),ISNUMBER(SEARCH("목1.2",$H475))),1,"")</f>
        <v/>
      </c>
      <c r="T475" s="319">
        <f>IF(OR(ISNUMBER(SEARCH("목3",$H475)),ISNUMBER(SEARCH("목1.3",$H475)),ISNUMBER(SEARCH("목2.3",$H475)),ISNUMBER(SEARCH("목1.2.3",$H475))),1,"")</f>
        <v/>
      </c>
      <c r="U475" s="319">
        <f>IF(ISNUMBER(SEARCH("금1",$H475)),1,"")</f>
        <v/>
      </c>
      <c r="V475" s="319">
        <f>IF(OR(ISNUMBER(SEARCH("금2",$H475)),ISNUMBER(SEARCH("금1.2",$H475))),1,"")</f>
        <v/>
      </c>
      <c r="W475" s="319">
        <f>IF(OR(ISNUMBER(SEARCH("금3",$H475)),ISNUMBER(SEARCH("금1.3",$H475)),ISNUMBER(SEARCH("금2.3",$H475)),ISNUMBER(SEARCH("금1.2.3",$H475))),1,"")</f>
        <v/>
      </c>
      <c r="X475" s="319">
        <f>IF(ISNUMBER(SEARCH("토1",$H475)),1,"")</f>
        <v/>
      </c>
      <c r="Y475" s="319">
        <f>IF(OR(ISNUMBER(SEARCH("토2",$H475)),ISNUMBER(SEARCH("토1.2",$H475))),1,"")</f>
        <v/>
      </c>
      <c r="Z475" s="319">
        <f>IF(OR(ISNUMBER(SEARCH("토3",$H475)),ISNUMBER(SEARCH("토1.3",$H475)),ISNUMBER(SEARCH("토2.3",$H475)),ISNUMBER(SEARCH("토1.2.3",$H475))),1,"")</f>
        <v/>
      </c>
      <c r="AA475" s="319">
        <f>IF(ISNUMBER(SEARCH("일1",$H475)),1,"")</f>
        <v/>
      </c>
      <c r="AB475" s="319">
        <f>IF(OR(ISNUMBER(SEARCH("일2",$H475)),ISNUMBER(SEARCH("일1.2",$H475))),1,"")</f>
        <v/>
      </c>
      <c r="AC475" s="319">
        <f>IF(OR(ISNUMBER(SEARCH("일3",$H475)),ISNUMBER(SEARCH("일1.3",$H475)),ISNUMBER(SEARCH("일2.3",$H475)),ISNUMBER(SEARCH("일1.2.3",$H475))),1,"")</f>
        <v/>
      </c>
      <c r="AD475" s="319">
        <f>SUM(I475:AC475)</f>
        <v/>
      </c>
      <c r="AE475" s="323" t="n"/>
    </row>
    <row r="476" ht="24" customHeight="1">
      <c r="A476" s="168" t="n"/>
      <c r="B476" s="319" t="n"/>
      <c r="C476" s="319" t="n"/>
      <c r="D476" s="319" t="n"/>
      <c r="E476" s="341" t="n"/>
      <c r="F476" s="341" t="n"/>
      <c r="G476" s="342" t="n"/>
      <c r="H476" s="322" t="n"/>
      <c r="I476" s="319">
        <f>IF(ISNUMBER(SEARCH("월1",$H476)),1,"")</f>
        <v/>
      </c>
      <c r="J476" s="319">
        <f>IF(OR(ISNUMBER(SEARCH("월2",$H476)),ISNUMBER(SEARCH("월1.2",$H476))),1,"")</f>
        <v/>
      </c>
      <c r="K476" s="319">
        <f>IF(OR(ISNUMBER(SEARCH("월3",$H476)),ISNUMBER(SEARCH("월1.3",$H476)),ISNUMBER(SEARCH("월2.3",$H476)),ISNUMBER(SEARCH("월1.2.3",$H476))),1,"")</f>
        <v/>
      </c>
      <c r="L476" s="319">
        <f>IF(ISNUMBER(SEARCH("화1",$H476)),1,"")</f>
        <v/>
      </c>
      <c r="M476" s="319">
        <f>IF(OR(ISNUMBER(SEARCH("화2",$H476)),ISNUMBER(SEARCH("화1.2",$H476))),1,"")</f>
        <v/>
      </c>
      <c r="N476" s="319">
        <f>IF(OR(ISNUMBER(SEARCH("화3",$H476)),ISNUMBER(SEARCH("화1.3",$H476)),ISNUMBER(SEARCH("화2.3",$H476)),ISNUMBER(SEARCH("화1.2.3",$H476))),1,"")</f>
        <v/>
      </c>
      <c r="O476" s="319">
        <f>IF(ISNUMBER(SEARCH("수1",$H476)),1,"")</f>
        <v/>
      </c>
      <c r="P476" s="319">
        <f>IF(OR(ISNUMBER(SEARCH("수2",$H476)),ISNUMBER(SEARCH("수1.2",$H476))),1,"")</f>
        <v/>
      </c>
      <c r="Q476" s="319">
        <f>IF(OR(ISNUMBER(SEARCH("수3",$H476)),ISNUMBER(SEARCH("수1.3",$H476)),ISNUMBER(SEARCH("수2.3",$H476)),ISNUMBER(SEARCH("수1.2.3",$H476))),1,"")</f>
        <v/>
      </c>
      <c r="R476" s="319">
        <f>IF(ISNUMBER(SEARCH("목1",$H476)),1,"")</f>
        <v/>
      </c>
      <c r="S476" s="319">
        <f>IF(OR(ISNUMBER(SEARCH("목2",$H476)),ISNUMBER(SEARCH("목1.2",$H476))),1,"")</f>
        <v/>
      </c>
      <c r="T476" s="319">
        <f>IF(OR(ISNUMBER(SEARCH("목3",$H476)),ISNUMBER(SEARCH("목1.3",$H476)),ISNUMBER(SEARCH("목2.3",$H476)),ISNUMBER(SEARCH("목1.2.3",$H476))),1,"")</f>
        <v/>
      </c>
      <c r="U476" s="319">
        <f>IF(ISNUMBER(SEARCH("금1",$H476)),1,"")</f>
        <v/>
      </c>
      <c r="V476" s="319">
        <f>IF(OR(ISNUMBER(SEARCH("금2",$H476)),ISNUMBER(SEARCH("금1.2",$H476))),1,"")</f>
        <v/>
      </c>
      <c r="W476" s="319">
        <f>IF(OR(ISNUMBER(SEARCH("금3",$H476)),ISNUMBER(SEARCH("금1.3",$H476)),ISNUMBER(SEARCH("금2.3",$H476)),ISNUMBER(SEARCH("금1.2.3",$H476))),1,"")</f>
        <v/>
      </c>
      <c r="X476" s="319">
        <f>IF(ISNUMBER(SEARCH("토1",$H476)),1,"")</f>
        <v/>
      </c>
      <c r="Y476" s="319">
        <f>IF(OR(ISNUMBER(SEARCH("토2",$H476)),ISNUMBER(SEARCH("토1.2",$H476))),1,"")</f>
        <v/>
      </c>
      <c r="Z476" s="319">
        <f>IF(OR(ISNUMBER(SEARCH("토3",$H476)),ISNUMBER(SEARCH("토1.3",$H476)),ISNUMBER(SEARCH("토2.3",$H476)),ISNUMBER(SEARCH("토1.2.3",$H476))),1,"")</f>
        <v/>
      </c>
      <c r="AA476" s="319">
        <f>IF(ISNUMBER(SEARCH("일1",$H476)),1,"")</f>
        <v/>
      </c>
      <c r="AB476" s="319">
        <f>IF(OR(ISNUMBER(SEARCH("일2",$H476)),ISNUMBER(SEARCH("일1.2",$H476))),1,"")</f>
        <v/>
      </c>
      <c r="AC476" s="319">
        <f>IF(OR(ISNUMBER(SEARCH("일3",$H476)),ISNUMBER(SEARCH("일1.3",$H476)),ISNUMBER(SEARCH("일2.3",$H476)),ISNUMBER(SEARCH("일1.2.3",$H476))),1,"")</f>
        <v/>
      </c>
      <c r="AD476" s="319">
        <f>SUM(I476:AC476)</f>
        <v/>
      </c>
      <c r="AE476" s="323" t="n"/>
    </row>
    <row r="477" ht="24" customHeight="1">
      <c r="A477" s="168" t="n"/>
      <c r="B477" s="319" t="n"/>
      <c r="C477" s="319" t="n"/>
      <c r="D477" s="319" t="n"/>
      <c r="E477" s="341" t="n"/>
      <c r="F477" s="341" t="n"/>
      <c r="G477" s="342" t="n"/>
      <c r="H477" s="322" t="n"/>
      <c r="I477" s="319">
        <f>IF(ISNUMBER(SEARCH("월1",$H477)),1,"")</f>
        <v/>
      </c>
      <c r="J477" s="319">
        <f>IF(OR(ISNUMBER(SEARCH("월2",$H477)),ISNUMBER(SEARCH("월1.2",$H477))),1,"")</f>
        <v/>
      </c>
      <c r="K477" s="319">
        <f>IF(OR(ISNUMBER(SEARCH("월3",$H477)),ISNUMBER(SEARCH("월1.3",$H477)),ISNUMBER(SEARCH("월2.3",$H477)),ISNUMBER(SEARCH("월1.2.3",$H477))),1,"")</f>
        <v/>
      </c>
      <c r="L477" s="319">
        <f>IF(ISNUMBER(SEARCH("화1",$H477)),1,"")</f>
        <v/>
      </c>
      <c r="M477" s="319">
        <f>IF(OR(ISNUMBER(SEARCH("화2",$H477)),ISNUMBER(SEARCH("화1.2",$H477))),1,"")</f>
        <v/>
      </c>
      <c r="N477" s="319">
        <f>IF(OR(ISNUMBER(SEARCH("화3",$H477)),ISNUMBER(SEARCH("화1.3",$H477)),ISNUMBER(SEARCH("화2.3",$H477)),ISNUMBER(SEARCH("화1.2.3",$H477))),1,"")</f>
        <v/>
      </c>
      <c r="O477" s="319">
        <f>IF(ISNUMBER(SEARCH("수1",$H477)),1,"")</f>
        <v/>
      </c>
      <c r="P477" s="319">
        <f>IF(OR(ISNUMBER(SEARCH("수2",$H477)),ISNUMBER(SEARCH("수1.2",$H477))),1,"")</f>
        <v/>
      </c>
      <c r="Q477" s="319">
        <f>IF(OR(ISNUMBER(SEARCH("수3",$H477)),ISNUMBER(SEARCH("수1.3",$H477)),ISNUMBER(SEARCH("수2.3",$H477)),ISNUMBER(SEARCH("수1.2.3",$H477))),1,"")</f>
        <v/>
      </c>
      <c r="R477" s="319">
        <f>IF(ISNUMBER(SEARCH("목1",$H477)),1,"")</f>
        <v/>
      </c>
      <c r="S477" s="319">
        <f>IF(OR(ISNUMBER(SEARCH("목2",$H477)),ISNUMBER(SEARCH("목1.2",$H477))),1,"")</f>
        <v/>
      </c>
      <c r="T477" s="319">
        <f>IF(OR(ISNUMBER(SEARCH("목3",$H477)),ISNUMBER(SEARCH("목1.3",$H477)),ISNUMBER(SEARCH("목2.3",$H477)),ISNUMBER(SEARCH("목1.2.3",$H477))),1,"")</f>
        <v/>
      </c>
      <c r="U477" s="319">
        <f>IF(ISNUMBER(SEARCH("금1",$H477)),1,"")</f>
        <v/>
      </c>
      <c r="V477" s="319">
        <f>IF(OR(ISNUMBER(SEARCH("금2",$H477)),ISNUMBER(SEARCH("금1.2",$H477))),1,"")</f>
        <v/>
      </c>
      <c r="W477" s="319">
        <f>IF(OR(ISNUMBER(SEARCH("금3",$H477)),ISNUMBER(SEARCH("금1.3",$H477)),ISNUMBER(SEARCH("금2.3",$H477)),ISNUMBER(SEARCH("금1.2.3",$H477))),1,"")</f>
        <v/>
      </c>
      <c r="X477" s="319">
        <f>IF(ISNUMBER(SEARCH("토1",$H477)),1,"")</f>
        <v/>
      </c>
      <c r="Y477" s="319">
        <f>IF(OR(ISNUMBER(SEARCH("토2",$H477)),ISNUMBER(SEARCH("토1.2",$H477))),1,"")</f>
        <v/>
      </c>
      <c r="Z477" s="319">
        <f>IF(OR(ISNUMBER(SEARCH("토3",$H477)),ISNUMBER(SEARCH("토1.3",$H477)),ISNUMBER(SEARCH("토2.3",$H477)),ISNUMBER(SEARCH("토1.2.3",$H477))),1,"")</f>
        <v/>
      </c>
      <c r="AA477" s="319">
        <f>IF(ISNUMBER(SEARCH("일1",$H477)),1,"")</f>
        <v/>
      </c>
      <c r="AB477" s="319">
        <f>IF(OR(ISNUMBER(SEARCH("일2",$H477)),ISNUMBER(SEARCH("일1.2",$H477))),1,"")</f>
        <v/>
      </c>
      <c r="AC477" s="319">
        <f>IF(OR(ISNUMBER(SEARCH("일3",$H477)),ISNUMBER(SEARCH("일1.3",$H477)),ISNUMBER(SEARCH("일2.3",$H477)),ISNUMBER(SEARCH("일1.2.3",$H477))),1,"")</f>
        <v/>
      </c>
      <c r="AD477" s="319">
        <f>SUM(I477:AC477)</f>
        <v/>
      </c>
      <c r="AE477" s="323" t="n"/>
    </row>
    <row r="478" ht="24" customHeight="1">
      <c r="A478" s="168" t="n"/>
      <c r="B478" s="319" t="n"/>
      <c r="C478" s="319" t="n"/>
      <c r="D478" s="319" t="n"/>
      <c r="E478" s="341" t="n"/>
      <c r="F478" s="341" t="n"/>
      <c r="G478" s="342" t="n"/>
      <c r="H478" s="322" t="n"/>
      <c r="I478" s="319">
        <f>IF(ISNUMBER(SEARCH("월1",$H478)),1,"")</f>
        <v/>
      </c>
      <c r="J478" s="319">
        <f>IF(OR(ISNUMBER(SEARCH("월2",$H478)),ISNUMBER(SEARCH("월1.2",$H478))),1,"")</f>
        <v/>
      </c>
      <c r="K478" s="319">
        <f>IF(OR(ISNUMBER(SEARCH("월3",$H478)),ISNUMBER(SEARCH("월1.3",$H478)),ISNUMBER(SEARCH("월2.3",$H478)),ISNUMBER(SEARCH("월1.2.3",$H478))),1,"")</f>
        <v/>
      </c>
      <c r="L478" s="319">
        <f>IF(ISNUMBER(SEARCH("화1",$H478)),1,"")</f>
        <v/>
      </c>
      <c r="M478" s="319">
        <f>IF(OR(ISNUMBER(SEARCH("화2",$H478)),ISNUMBER(SEARCH("화1.2",$H478))),1,"")</f>
        <v/>
      </c>
      <c r="N478" s="319">
        <f>IF(OR(ISNUMBER(SEARCH("화3",$H478)),ISNUMBER(SEARCH("화1.3",$H478)),ISNUMBER(SEARCH("화2.3",$H478)),ISNUMBER(SEARCH("화1.2.3",$H478))),1,"")</f>
        <v/>
      </c>
      <c r="O478" s="319">
        <f>IF(ISNUMBER(SEARCH("수1",$H478)),1,"")</f>
        <v/>
      </c>
      <c r="P478" s="319">
        <f>IF(OR(ISNUMBER(SEARCH("수2",$H478)),ISNUMBER(SEARCH("수1.2",$H478))),1,"")</f>
        <v/>
      </c>
      <c r="Q478" s="319">
        <f>IF(OR(ISNUMBER(SEARCH("수3",$H478)),ISNUMBER(SEARCH("수1.3",$H478)),ISNUMBER(SEARCH("수2.3",$H478)),ISNUMBER(SEARCH("수1.2.3",$H478))),1,"")</f>
        <v/>
      </c>
      <c r="R478" s="319">
        <f>IF(ISNUMBER(SEARCH("목1",$H478)),1,"")</f>
        <v/>
      </c>
      <c r="S478" s="319">
        <f>IF(OR(ISNUMBER(SEARCH("목2",$H478)),ISNUMBER(SEARCH("목1.2",$H478))),1,"")</f>
        <v/>
      </c>
      <c r="T478" s="319">
        <f>IF(OR(ISNUMBER(SEARCH("목3",$H478)),ISNUMBER(SEARCH("목1.3",$H478)),ISNUMBER(SEARCH("목2.3",$H478)),ISNUMBER(SEARCH("목1.2.3",$H478))),1,"")</f>
        <v/>
      </c>
      <c r="U478" s="319">
        <f>IF(ISNUMBER(SEARCH("금1",$H478)),1,"")</f>
        <v/>
      </c>
      <c r="V478" s="319">
        <f>IF(OR(ISNUMBER(SEARCH("금2",$H478)),ISNUMBER(SEARCH("금1.2",$H478))),1,"")</f>
        <v/>
      </c>
      <c r="W478" s="319">
        <f>IF(OR(ISNUMBER(SEARCH("금3",$H478)),ISNUMBER(SEARCH("금1.3",$H478)),ISNUMBER(SEARCH("금2.3",$H478)),ISNUMBER(SEARCH("금1.2.3",$H478))),1,"")</f>
        <v/>
      </c>
      <c r="X478" s="319">
        <f>IF(ISNUMBER(SEARCH("토1",$H478)),1,"")</f>
        <v/>
      </c>
      <c r="Y478" s="319">
        <f>IF(OR(ISNUMBER(SEARCH("토2",$H478)),ISNUMBER(SEARCH("토1.2",$H478))),1,"")</f>
        <v/>
      </c>
      <c r="Z478" s="319">
        <f>IF(OR(ISNUMBER(SEARCH("토3",$H478)),ISNUMBER(SEARCH("토1.3",$H478)),ISNUMBER(SEARCH("토2.3",$H478)),ISNUMBER(SEARCH("토1.2.3",$H478))),1,"")</f>
        <v/>
      </c>
      <c r="AA478" s="319">
        <f>IF(ISNUMBER(SEARCH("일1",$H478)),1,"")</f>
        <v/>
      </c>
      <c r="AB478" s="319">
        <f>IF(OR(ISNUMBER(SEARCH("일2",$H478)),ISNUMBER(SEARCH("일1.2",$H478))),1,"")</f>
        <v/>
      </c>
      <c r="AC478" s="319">
        <f>IF(OR(ISNUMBER(SEARCH("일3",$H478)),ISNUMBER(SEARCH("일1.3",$H478)),ISNUMBER(SEARCH("일2.3",$H478)),ISNUMBER(SEARCH("일1.2.3",$H478))),1,"")</f>
        <v/>
      </c>
      <c r="AD478" s="319">
        <f>SUM(I478:AC478)</f>
        <v/>
      </c>
      <c r="AE478" s="323" t="n"/>
    </row>
    <row r="479" ht="24" customHeight="1">
      <c r="A479" s="168" t="n"/>
      <c r="B479" s="319" t="n"/>
      <c r="C479" s="319" t="n"/>
      <c r="D479" s="319" t="n"/>
      <c r="E479" s="341" t="n"/>
      <c r="F479" s="341" t="n"/>
      <c r="G479" s="342" t="n"/>
      <c r="H479" s="322" t="n"/>
      <c r="I479" s="319">
        <f>IF(ISNUMBER(SEARCH("월1",$H479)),1,"")</f>
        <v/>
      </c>
      <c r="J479" s="319">
        <f>IF(OR(ISNUMBER(SEARCH("월2",$H479)),ISNUMBER(SEARCH("월1.2",$H479))),1,"")</f>
        <v/>
      </c>
      <c r="K479" s="319">
        <f>IF(OR(ISNUMBER(SEARCH("월3",$H479)),ISNUMBER(SEARCH("월1.3",$H479)),ISNUMBER(SEARCH("월2.3",$H479)),ISNUMBER(SEARCH("월1.2.3",$H479))),1,"")</f>
        <v/>
      </c>
      <c r="L479" s="319">
        <f>IF(ISNUMBER(SEARCH("화1",$H479)),1,"")</f>
        <v/>
      </c>
      <c r="M479" s="319">
        <f>IF(OR(ISNUMBER(SEARCH("화2",$H479)),ISNUMBER(SEARCH("화1.2",$H479))),1,"")</f>
        <v/>
      </c>
      <c r="N479" s="319">
        <f>IF(OR(ISNUMBER(SEARCH("화3",$H479)),ISNUMBER(SEARCH("화1.3",$H479)),ISNUMBER(SEARCH("화2.3",$H479)),ISNUMBER(SEARCH("화1.2.3",$H479))),1,"")</f>
        <v/>
      </c>
      <c r="O479" s="319">
        <f>IF(ISNUMBER(SEARCH("수1",$H479)),1,"")</f>
        <v/>
      </c>
      <c r="P479" s="319">
        <f>IF(OR(ISNUMBER(SEARCH("수2",$H479)),ISNUMBER(SEARCH("수1.2",$H479))),1,"")</f>
        <v/>
      </c>
      <c r="Q479" s="319">
        <f>IF(OR(ISNUMBER(SEARCH("수3",$H479)),ISNUMBER(SEARCH("수1.3",$H479)),ISNUMBER(SEARCH("수2.3",$H479)),ISNUMBER(SEARCH("수1.2.3",$H479))),1,"")</f>
        <v/>
      </c>
      <c r="R479" s="319">
        <f>IF(ISNUMBER(SEARCH("목1",$H479)),1,"")</f>
        <v/>
      </c>
      <c r="S479" s="319">
        <f>IF(OR(ISNUMBER(SEARCH("목2",$H479)),ISNUMBER(SEARCH("목1.2",$H479))),1,"")</f>
        <v/>
      </c>
      <c r="T479" s="319">
        <f>IF(OR(ISNUMBER(SEARCH("목3",$H479)),ISNUMBER(SEARCH("목1.3",$H479)),ISNUMBER(SEARCH("목2.3",$H479)),ISNUMBER(SEARCH("목1.2.3",$H479))),1,"")</f>
        <v/>
      </c>
      <c r="U479" s="319">
        <f>IF(ISNUMBER(SEARCH("금1",$H479)),1,"")</f>
        <v/>
      </c>
      <c r="V479" s="319">
        <f>IF(OR(ISNUMBER(SEARCH("금2",$H479)),ISNUMBER(SEARCH("금1.2",$H479))),1,"")</f>
        <v/>
      </c>
      <c r="W479" s="319">
        <f>IF(OR(ISNUMBER(SEARCH("금3",$H479)),ISNUMBER(SEARCH("금1.3",$H479)),ISNUMBER(SEARCH("금2.3",$H479)),ISNUMBER(SEARCH("금1.2.3",$H479))),1,"")</f>
        <v/>
      </c>
      <c r="X479" s="319">
        <f>IF(ISNUMBER(SEARCH("토1",$H479)),1,"")</f>
        <v/>
      </c>
      <c r="Y479" s="319">
        <f>IF(OR(ISNUMBER(SEARCH("토2",$H479)),ISNUMBER(SEARCH("토1.2",$H479))),1,"")</f>
        <v/>
      </c>
      <c r="Z479" s="319">
        <f>IF(OR(ISNUMBER(SEARCH("토3",$H479)),ISNUMBER(SEARCH("토1.3",$H479)),ISNUMBER(SEARCH("토2.3",$H479)),ISNUMBER(SEARCH("토1.2.3",$H479))),1,"")</f>
        <v/>
      </c>
      <c r="AA479" s="319">
        <f>IF(ISNUMBER(SEARCH("일1",$H479)),1,"")</f>
        <v/>
      </c>
      <c r="AB479" s="319">
        <f>IF(OR(ISNUMBER(SEARCH("일2",$H479)),ISNUMBER(SEARCH("일1.2",$H479))),1,"")</f>
        <v/>
      </c>
      <c r="AC479" s="319">
        <f>IF(OR(ISNUMBER(SEARCH("일3",$H479)),ISNUMBER(SEARCH("일1.3",$H479)),ISNUMBER(SEARCH("일2.3",$H479)),ISNUMBER(SEARCH("일1.2.3",$H479))),1,"")</f>
        <v/>
      </c>
      <c r="AD479" s="319">
        <f>SUM(I479:AC479)</f>
        <v/>
      </c>
      <c r="AE479" s="323" t="n"/>
    </row>
    <row r="480" ht="24" customHeight="1">
      <c r="A480" s="168" t="n"/>
      <c r="B480" s="319" t="n"/>
      <c r="C480" s="319" t="n"/>
      <c r="D480" s="319" t="n"/>
      <c r="E480" s="341" t="n"/>
      <c r="F480" s="341" t="n"/>
      <c r="G480" s="342" t="n"/>
      <c r="H480" s="322" t="n"/>
      <c r="I480" s="319">
        <f>IF(ISNUMBER(SEARCH("월1",$H480)),1,"")</f>
        <v/>
      </c>
      <c r="J480" s="319">
        <f>IF(OR(ISNUMBER(SEARCH("월2",$H480)),ISNUMBER(SEARCH("월1.2",$H480))),1,"")</f>
        <v/>
      </c>
      <c r="K480" s="319">
        <f>IF(OR(ISNUMBER(SEARCH("월3",$H480)),ISNUMBER(SEARCH("월1.3",$H480)),ISNUMBER(SEARCH("월2.3",$H480)),ISNUMBER(SEARCH("월1.2.3",$H480))),1,"")</f>
        <v/>
      </c>
      <c r="L480" s="319">
        <f>IF(ISNUMBER(SEARCH("화1",$H480)),1,"")</f>
        <v/>
      </c>
      <c r="M480" s="319">
        <f>IF(OR(ISNUMBER(SEARCH("화2",$H480)),ISNUMBER(SEARCH("화1.2",$H480))),1,"")</f>
        <v/>
      </c>
      <c r="N480" s="319">
        <f>IF(OR(ISNUMBER(SEARCH("화3",$H480)),ISNUMBER(SEARCH("화1.3",$H480)),ISNUMBER(SEARCH("화2.3",$H480)),ISNUMBER(SEARCH("화1.2.3",$H480))),1,"")</f>
        <v/>
      </c>
      <c r="O480" s="319">
        <f>IF(ISNUMBER(SEARCH("수1",$H480)),1,"")</f>
        <v/>
      </c>
      <c r="P480" s="319">
        <f>IF(OR(ISNUMBER(SEARCH("수2",$H480)),ISNUMBER(SEARCH("수1.2",$H480))),1,"")</f>
        <v/>
      </c>
      <c r="Q480" s="319">
        <f>IF(OR(ISNUMBER(SEARCH("수3",$H480)),ISNUMBER(SEARCH("수1.3",$H480)),ISNUMBER(SEARCH("수2.3",$H480)),ISNUMBER(SEARCH("수1.2.3",$H480))),1,"")</f>
        <v/>
      </c>
      <c r="R480" s="319">
        <f>IF(ISNUMBER(SEARCH("목1",$H480)),1,"")</f>
        <v/>
      </c>
      <c r="S480" s="319">
        <f>IF(OR(ISNUMBER(SEARCH("목2",$H480)),ISNUMBER(SEARCH("목1.2",$H480))),1,"")</f>
        <v/>
      </c>
      <c r="T480" s="319">
        <f>IF(OR(ISNUMBER(SEARCH("목3",$H480)),ISNUMBER(SEARCH("목1.3",$H480)),ISNUMBER(SEARCH("목2.3",$H480)),ISNUMBER(SEARCH("목1.2.3",$H480))),1,"")</f>
        <v/>
      </c>
      <c r="U480" s="319">
        <f>IF(ISNUMBER(SEARCH("금1",$H480)),1,"")</f>
        <v/>
      </c>
      <c r="V480" s="319">
        <f>IF(OR(ISNUMBER(SEARCH("금2",$H480)),ISNUMBER(SEARCH("금1.2",$H480))),1,"")</f>
        <v/>
      </c>
      <c r="W480" s="319">
        <f>IF(OR(ISNUMBER(SEARCH("금3",$H480)),ISNUMBER(SEARCH("금1.3",$H480)),ISNUMBER(SEARCH("금2.3",$H480)),ISNUMBER(SEARCH("금1.2.3",$H480))),1,"")</f>
        <v/>
      </c>
      <c r="X480" s="319">
        <f>IF(ISNUMBER(SEARCH("토1",$H480)),1,"")</f>
        <v/>
      </c>
      <c r="Y480" s="319">
        <f>IF(OR(ISNUMBER(SEARCH("토2",$H480)),ISNUMBER(SEARCH("토1.2",$H480))),1,"")</f>
        <v/>
      </c>
      <c r="Z480" s="319">
        <f>IF(OR(ISNUMBER(SEARCH("토3",$H480)),ISNUMBER(SEARCH("토1.3",$H480)),ISNUMBER(SEARCH("토2.3",$H480)),ISNUMBER(SEARCH("토1.2.3",$H480))),1,"")</f>
        <v/>
      </c>
      <c r="AA480" s="319">
        <f>IF(ISNUMBER(SEARCH("일1",$H480)),1,"")</f>
        <v/>
      </c>
      <c r="AB480" s="319">
        <f>IF(OR(ISNUMBER(SEARCH("일2",$H480)),ISNUMBER(SEARCH("일1.2",$H480))),1,"")</f>
        <v/>
      </c>
      <c r="AC480" s="319">
        <f>IF(OR(ISNUMBER(SEARCH("일3",$H480)),ISNUMBER(SEARCH("일1.3",$H480)),ISNUMBER(SEARCH("일2.3",$H480)),ISNUMBER(SEARCH("일1.2.3",$H480))),1,"")</f>
        <v/>
      </c>
      <c r="AD480" s="319">
        <f>SUM(I480:AC480)</f>
        <v/>
      </c>
      <c r="AE480" s="323" t="n"/>
    </row>
    <row r="481" ht="24" customHeight="1">
      <c r="A481" s="168" t="n"/>
      <c r="B481" s="319" t="n"/>
      <c r="C481" s="319" t="n"/>
      <c r="D481" s="319" t="n"/>
      <c r="E481" s="341" t="n"/>
      <c r="F481" s="341" t="n"/>
      <c r="G481" s="342" t="n"/>
      <c r="H481" s="322" t="n"/>
      <c r="I481" s="319">
        <f>IF(ISNUMBER(SEARCH("월1",$H481)),1,"")</f>
        <v/>
      </c>
      <c r="J481" s="319">
        <f>IF(OR(ISNUMBER(SEARCH("월2",$H481)),ISNUMBER(SEARCH("월1.2",$H481))),1,"")</f>
        <v/>
      </c>
      <c r="K481" s="319">
        <f>IF(OR(ISNUMBER(SEARCH("월3",$H481)),ISNUMBER(SEARCH("월1.3",$H481)),ISNUMBER(SEARCH("월2.3",$H481)),ISNUMBER(SEARCH("월1.2.3",$H481))),1,"")</f>
        <v/>
      </c>
      <c r="L481" s="319">
        <f>IF(ISNUMBER(SEARCH("화1",$H481)),1,"")</f>
        <v/>
      </c>
      <c r="M481" s="319">
        <f>IF(OR(ISNUMBER(SEARCH("화2",$H481)),ISNUMBER(SEARCH("화1.2",$H481))),1,"")</f>
        <v/>
      </c>
      <c r="N481" s="319">
        <f>IF(OR(ISNUMBER(SEARCH("화3",$H481)),ISNUMBER(SEARCH("화1.3",$H481)),ISNUMBER(SEARCH("화2.3",$H481)),ISNUMBER(SEARCH("화1.2.3",$H481))),1,"")</f>
        <v/>
      </c>
      <c r="O481" s="319">
        <f>IF(ISNUMBER(SEARCH("수1",$H481)),1,"")</f>
        <v/>
      </c>
      <c r="P481" s="319">
        <f>IF(OR(ISNUMBER(SEARCH("수2",$H481)),ISNUMBER(SEARCH("수1.2",$H481))),1,"")</f>
        <v/>
      </c>
      <c r="Q481" s="319">
        <f>IF(OR(ISNUMBER(SEARCH("수3",$H481)),ISNUMBER(SEARCH("수1.3",$H481)),ISNUMBER(SEARCH("수2.3",$H481)),ISNUMBER(SEARCH("수1.2.3",$H481))),1,"")</f>
        <v/>
      </c>
      <c r="R481" s="319">
        <f>IF(ISNUMBER(SEARCH("목1",$H481)),1,"")</f>
        <v/>
      </c>
      <c r="S481" s="319">
        <f>IF(OR(ISNUMBER(SEARCH("목2",$H481)),ISNUMBER(SEARCH("목1.2",$H481))),1,"")</f>
        <v/>
      </c>
      <c r="T481" s="319">
        <f>IF(OR(ISNUMBER(SEARCH("목3",$H481)),ISNUMBER(SEARCH("목1.3",$H481)),ISNUMBER(SEARCH("목2.3",$H481)),ISNUMBER(SEARCH("목1.2.3",$H481))),1,"")</f>
        <v/>
      </c>
      <c r="U481" s="319">
        <f>IF(ISNUMBER(SEARCH("금1",$H481)),1,"")</f>
        <v/>
      </c>
      <c r="V481" s="319">
        <f>IF(OR(ISNUMBER(SEARCH("금2",$H481)),ISNUMBER(SEARCH("금1.2",$H481))),1,"")</f>
        <v/>
      </c>
      <c r="W481" s="319">
        <f>IF(OR(ISNUMBER(SEARCH("금3",$H481)),ISNUMBER(SEARCH("금1.3",$H481)),ISNUMBER(SEARCH("금2.3",$H481)),ISNUMBER(SEARCH("금1.2.3",$H481))),1,"")</f>
        <v/>
      </c>
      <c r="X481" s="319">
        <f>IF(ISNUMBER(SEARCH("토1",$H481)),1,"")</f>
        <v/>
      </c>
      <c r="Y481" s="319">
        <f>IF(OR(ISNUMBER(SEARCH("토2",$H481)),ISNUMBER(SEARCH("토1.2",$H481))),1,"")</f>
        <v/>
      </c>
      <c r="Z481" s="319">
        <f>IF(OR(ISNUMBER(SEARCH("토3",$H481)),ISNUMBER(SEARCH("토1.3",$H481)),ISNUMBER(SEARCH("토2.3",$H481)),ISNUMBER(SEARCH("토1.2.3",$H481))),1,"")</f>
        <v/>
      </c>
      <c r="AA481" s="319">
        <f>IF(ISNUMBER(SEARCH("일1",$H481)),1,"")</f>
        <v/>
      </c>
      <c r="AB481" s="319">
        <f>IF(OR(ISNUMBER(SEARCH("일2",$H481)),ISNUMBER(SEARCH("일1.2",$H481))),1,"")</f>
        <v/>
      </c>
      <c r="AC481" s="319">
        <f>IF(OR(ISNUMBER(SEARCH("일3",$H481)),ISNUMBER(SEARCH("일1.3",$H481)),ISNUMBER(SEARCH("일2.3",$H481)),ISNUMBER(SEARCH("일1.2.3",$H481))),1,"")</f>
        <v/>
      </c>
      <c r="AD481" s="319">
        <f>SUM(I481:AC481)</f>
        <v/>
      </c>
      <c r="AE481" s="323" t="n"/>
    </row>
    <row r="482" ht="24" customHeight="1">
      <c r="A482" s="168" t="n"/>
      <c r="B482" s="319" t="n"/>
      <c r="C482" s="319" t="n"/>
      <c r="D482" s="319" t="n"/>
      <c r="E482" s="341" t="n"/>
      <c r="F482" s="341" t="n"/>
      <c r="G482" s="342" t="n"/>
      <c r="H482" s="322" t="n"/>
      <c r="I482" s="319">
        <f>IF(ISNUMBER(SEARCH("월1",$H482)),1,"")</f>
        <v/>
      </c>
      <c r="J482" s="319">
        <f>IF(OR(ISNUMBER(SEARCH("월2",$H482)),ISNUMBER(SEARCH("월1.2",$H482))),1,"")</f>
        <v/>
      </c>
      <c r="K482" s="319">
        <f>IF(OR(ISNUMBER(SEARCH("월3",$H482)),ISNUMBER(SEARCH("월1.3",$H482)),ISNUMBER(SEARCH("월2.3",$H482)),ISNUMBER(SEARCH("월1.2.3",$H482))),1,"")</f>
        <v/>
      </c>
      <c r="L482" s="319">
        <f>IF(ISNUMBER(SEARCH("화1",$H482)),1,"")</f>
        <v/>
      </c>
      <c r="M482" s="319">
        <f>IF(OR(ISNUMBER(SEARCH("화2",$H482)),ISNUMBER(SEARCH("화1.2",$H482))),1,"")</f>
        <v/>
      </c>
      <c r="N482" s="319">
        <f>IF(OR(ISNUMBER(SEARCH("화3",$H482)),ISNUMBER(SEARCH("화1.3",$H482)),ISNUMBER(SEARCH("화2.3",$H482)),ISNUMBER(SEARCH("화1.2.3",$H482))),1,"")</f>
        <v/>
      </c>
      <c r="O482" s="319">
        <f>IF(ISNUMBER(SEARCH("수1",$H482)),1,"")</f>
        <v/>
      </c>
      <c r="P482" s="319">
        <f>IF(OR(ISNUMBER(SEARCH("수2",$H482)),ISNUMBER(SEARCH("수1.2",$H482))),1,"")</f>
        <v/>
      </c>
      <c r="Q482" s="319">
        <f>IF(OR(ISNUMBER(SEARCH("수3",$H482)),ISNUMBER(SEARCH("수1.3",$H482)),ISNUMBER(SEARCH("수2.3",$H482)),ISNUMBER(SEARCH("수1.2.3",$H482))),1,"")</f>
        <v/>
      </c>
      <c r="R482" s="319">
        <f>IF(ISNUMBER(SEARCH("목1",$H482)),1,"")</f>
        <v/>
      </c>
      <c r="S482" s="319">
        <f>IF(OR(ISNUMBER(SEARCH("목2",$H482)),ISNUMBER(SEARCH("목1.2",$H482))),1,"")</f>
        <v/>
      </c>
      <c r="T482" s="319">
        <f>IF(OR(ISNUMBER(SEARCH("목3",$H482)),ISNUMBER(SEARCH("목1.3",$H482)),ISNUMBER(SEARCH("목2.3",$H482)),ISNUMBER(SEARCH("목1.2.3",$H482))),1,"")</f>
        <v/>
      </c>
      <c r="U482" s="319">
        <f>IF(ISNUMBER(SEARCH("금1",$H482)),1,"")</f>
        <v/>
      </c>
      <c r="V482" s="319">
        <f>IF(OR(ISNUMBER(SEARCH("금2",$H482)),ISNUMBER(SEARCH("금1.2",$H482))),1,"")</f>
        <v/>
      </c>
      <c r="W482" s="319">
        <f>IF(OR(ISNUMBER(SEARCH("금3",$H482)),ISNUMBER(SEARCH("금1.3",$H482)),ISNUMBER(SEARCH("금2.3",$H482)),ISNUMBER(SEARCH("금1.2.3",$H482))),1,"")</f>
        <v/>
      </c>
      <c r="X482" s="319">
        <f>IF(ISNUMBER(SEARCH("토1",$H482)),1,"")</f>
        <v/>
      </c>
      <c r="Y482" s="319">
        <f>IF(OR(ISNUMBER(SEARCH("토2",$H482)),ISNUMBER(SEARCH("토1.2",$H482))),1,"")</f>
        <v/>
      </c>
      <c r="Z482" s="319">
        <f>IF(OR(ISNUMBER(SEARCH("토3",$H482)),ISNUMBER(SEARCH("토1.3",$H482)),ISNUMBER(SEARCH("토2.3",$H482)),ISNUMBER(SEARCH("토1.2.3",$H482))),1,"")</f>
        <v/>
      </c>
      <c r="AA482" s="319">
        <f>IF(ISNUMBER(SEARCH("일1",$H482)),1,"")</f>
        <v/>
      </c>
      <c r="AB482" s="319">
        <f>IF(OR(ISNUMBER(SEARCH("일2",$H482)),ISNUMBER(SEARCH("일1.2",$H482))),1,"")</f>
        <v/>
      </c>
      <c r="AC482" s="319">
        <f>IF(OR(ISNUMBER(SEARCH("일3",$H482)),ISNUMBER(SEARCH("일1.3",$H482)),ISNUMBER(SEARCH("일2.3",$H482)),ISNUMBER(SEARCH("일1.2.3",$H482))),1,"")</f>
        <v/>
      </c>
      <c r="AD482" s="319">
        <f>SUM(I482:AC482)</f>
        <v/>
      </c>
      <c r="AE482" s="323" t="n"/>
    </row>
    <row r="483" ht="24" customHeight="1">
      <c r="A483" s="168" t="n"/>
      <c r="B483" s="319" t="n"/>
      <c r="C483" s="319" t="n"/>
      <c r="D483" s="319" t="n"/>
      <c r="E483" s="341" t="n"/>
      <c r="F483" s="341" t="n"/>
      <c r="G483" s="342" t="n"/>
      <c r="H483" s="322" t="n"/>
      <c r="I483" s="319">
        <f>IF(ISNUMBER(SEARCH("월1",$H483)),1,"")</f>
        <v/>
      </c>
      <c r="J483" s="319">
        <f>IF(OR(ISNUMBER(SEARCH("월2",$H483)),ISNUMBER(SEARCH("월1.2",$H483))),1,"")</f>
        <v/>
      </c>
      <c r="K483" s="319">
        <f>IF(OR(ISNUMBER(SEARCH("월3",$H483)),ISNUMBER(SEARCH("월1.3",$H483)),ISNUMBER(SEARCH("월2.3",$H483)),ISNUMBER(SEARCH("월1.2.3",$H483))),1,"")</f>
        <v/>
      </c>
      <c r="L483" s="319">
        <f>IF(ISNUMBER(SEARCH("화1",$H483)),1,"")</f>
        <v/>
      </c>
      <c r="M483" s="319">
        <f>IF(OR(ISNUMBER(SEARCH("화2",$H483)),ISNUMBER(SEARCH("화1.2",$H483))),1,"")</f>
        <v/>
      </c>
      <c r="N483" s="319">
        <f>IF(OR(ISNUMBER(SEARCH("화3",$H483)),ISNUMBER(SEARCH("화1.3",$H483)),ISNUMBER(SEARCH("화2.3",$H483)),ISNUMBER(SEARCH("화1.2.3",$H483))),1,"")</f>
        <v/>
      </c>
      <c r="O483" s="319">
        <f>IF(ISNUMBER(SEARCH("수1",$H483)),1,"")</f>
        <v/>
      </c>
      <c r="P483" s="319">
        <f>IF(OR(ISNUMBER(SEARCH("수2",$H483)),ISNUMBER(SEARCH("수1.2",$H483))),1,"")</f>
        <v/>
      </c>
      <c r="Q483" s="319">
        <f>IF(OR(ISNUMBER(SEARCH("수3",$H483)),ISNUMBER(SEARCH("수1.3",$H483)),ISNUMBER(SEARCH("수2.3",$H483)),ISNUMBER(SEARCH("수1.2.3",$H483))),1,"")</f>
        <v/>
      </c>
      <c r="R483" s="319">
        <f>IF(ISNUMBER(SEARCH("목1",$H483)),1,"")</f>
        <v/>
      </c>
      <c r="S483" s="319">
        <f>IF(OR(ISNUMBER(SEARCH("목2",$H483)),ISNUMBER(SEARCH("목1.2",$H483))),1,"")</f>
        <v/>
      </c>
      <c r="T483" s="319">
        <f>IF(OR(ISNUMBER(SEARCH("목3",$H483)),ISNUMBER(SEARCH("목1.3",$H483)),ISNUMBER(SEARCH("목2.3",$H483)),ISNUMBER(SEARCH("목1.2.3",$H483))),1,"")</f>
        <v/>
      </c>
      <c r="U483" s="319">
        <f>IF(ISNUMBER(SEARCH("금1",$H483)),1,"")</f>
        <v/>
      </c>
      <c r="V483" s="319">
        <f>IF(OR(ISNUMBER(SEARCH("금2",$H483)),ISNUMBER(SEARCH("금1.2",$H483))),1,"")</f>
        <v/>
      </c>
      <c r="W483" s="319">
        <f>IF(OR(ISNUMBER(SEARCH("금3",$H483)),ISNUMBER(SEARCH("금1.3",$H483)),ISNUMBER(SEARCH("금2.3",$H483)),ISNUMBER(SEARCH("금1.2.3",$H483))),1,"")</f>
        <v/>
      </c>
      <c r="X483" s="319">
        <f>IF(ISNUMBER(SEARCH("토1",$H483)),1,"")</f>
        <v/>
      </c>
      <c r="Y483" s="319">
        <f>IF(OR(ISNUMBER(SEARCH("토2",$H483)),ISNUMBER(SEARCH("토1.2",$H483))),1,"")</f>
        <v/>
      </c>
      <c r="Z483" s="319">
        <f>IF(OR(ISNUMBER(SEARCH("토3",$H483)),ISNUMBER(SEARCH("토1.3",$H483)),ISNUMBER(SEARCH("토2.3",$H483)),ISNUMBER(SEARCH("토1.2.3",$H483))),1,"")</f>
        <v/>
      </c>
      <c r="AA483" s="319">
        <f>IF(ISNUMBER(SEARCH("일1",$H483)),1,"")</f>
        <v/>
      </c>
      <c r="AB483" s="319">
        <f>IF(OR(ISNUMBER(SEARCH("일2",$H483)),ISNUMBER(SEARCH("일1.2",$H483))),1,"")</f>
        <v/>
      </c>
      <c r="AC483" s="319">
        <f>IF(OR(ISNUMBER(SEARCH("일3",$H483)),ISNUMBER(SEARCH("일1.3",$H483)),ISNUMBER(SEARCH("일2.3",$H483)),ISNUMBER(SEARCH("일1.2.3",$H483))),1,"")</f>
        <v/>
      </c>
      <c r="AD483" s="319">
        <f>SUM(I483:AC483)</f>
        <v/>
      </c>
      <c r="AE483" s="323" t="n"/>
    </row>
    <row r="484" ht="24" customHeight="1">
      <c r="A484" s="168" t="n"/>
      <c r="B484" s="319" t="n"/>
      <c r="C484" s="319" t="n"/>
      <c r="D484" s="319" t="n"/>
      <c r="E484" s="341" t="n"/>
      <c r="F484" s="341" t="n"/>
      <c r="G484" s="342" t="n"/>
      <c r="H484" s="322" t="n"/>
      <c r="I484" s="319">
        <f>IF(ISNUMBER(SEARCH("월1",$H484)),1,"")</f>
        <v/>
      </c>
      <c r="J484" s="319">
        <f>IF(OR(ISNUMBER(SEARCH("월2",$H484)),ISNUMBER(SEARCH("월1.2",$H484))),1,"")</f>
        <v/>
      </c>
      <c r="K484" s="319">
        <f>IF(OR(ISNUMBER(SEARCH("월3",$H484)),ISNUMBER(SEARCH("월1.3",$H484)),ISNUMBER(SEARCH("월2.3",$H484)),ISNUMBER(SEARCH("월1.2.3",$H484))),1,"")</f>
        <v/>
      </c>
      <c r="L484" s="319">
        <f>IF(ISNUMBER(SEARCH("화1",$H484)),1,"")</f>
        <v/>
      </c>
      <c r="M484" s="319">
        <f>IF(OR(ISNUMBER(SEARCH("화2",$H484)),ISNUMBER(SEARCH("화1.2",$H484))),1,"")</f>
        <v/>
      </c>
      <c r="N484" s="319">
        <f>IF(OR(ISNUMBER(SEARCH("화3",$H484)),ISNUMBER(SEARCH("화1.3",$H484)),ISNUMBER(SEARCH("화2.3",$H484)),ISNUMBER(SEARCH("화1.2.3",$H484))),1,"")</f>
        <v/>
      </c>
      <c r="O484" s="319">
        <f>IF(ISNUMBER(SEARCH("수1",$H484)),1,"")</f>
        <v/>
      </c>
      <c r="P484" s="319">
        <f>IF(OR(ISNUMBER(SEARCH("수2",$H484)),ISNUMBER(SEARCH("수1.2",$H484))),1,"")</f>
        <v/>
      </c>
      <c r="Q484" s="319">
        <f>IF(OR(ISNUMBER(SEARCH("수3",$H484)),ISNUMBER(SEARCH("수1.3",$H484)),ISNUMBER(SEARCH("수2.3",$H484)),ISNUMBER(SEARCH("수1.2.3",$H484))),1,"")</f>
        <v/>
      </c>
      <c r="R484" s="319">
        <f>IF(ISNUMBER(SEARCH("목1",$H484)),1,"")</f>
        <v/>
      </c>
      <c r="S484" s="319">
        <f>IF(OR(ISNUMBER(SEARCH("목2",$H484)),ISNUMBER(SEARCH("목1.2",$H484))),1,"")</f>
        <v/>
      </c>
      <c r="T484" s="319">
        <f>IF(OR(ISNUMBER(SEARCH("목3",$H484)),ISNUMBER(SEARCH("목1.3",$H484)),ISNUMBER(SEARCH("목2.3",$H484)),ISNUMBER(SEARCH("목1.2.3",$H484))),1,"")</f>
        <v/>
      </c>
      <c r="U484" s="319">
        <f>IF(ISNUMBER(SEARCH("금1",$H484)),1,"")</f>
        <v/>
      </c>
      <c r="V484" s="319">
        <f>IF(OR(ISNUMBER(SEARCH("금2",$H484)),ISNUMBER(SEARCH("금1.2",$H484))),1,"")</f>
        <v/>
      </c>
      <c r="W484" s="319">
        <f>IF(OR(ISNUMBER(SEARCH("금3",$H484)),ISNUMBER(SEARCH("금1.3",$H484)),ISNUMBER(SEARCH("금2.3",$H484)),ISNUMBER(SEARCH("금1.2.3",$H484))),1,"")</f>
        <v/>
      </c>
      <c r="X484" s="319">
        <f>IF(ISNUMBER(SEARCH("토1",$H484)),1,"")</f>
        <v/>
      </c>
      <c r="Y484" s="319">
        <f>IF(OR(ISNUMBER(SEARCH("토2",$H484)),ISNUMBER(SEARCH("토1.2",$H484))),1,"")</f>
        <v/>
      </c>
      <c r="Z484" s="319">
        <f>IF(OR(ISNUMBER(SEARCH("토3",$H484)),ISNUMBER(SEARCH("토1.3",$H484)),ISNUMBER(SEARCH("토2.3",$H484)),ISNUMBER(SEARCH("토1.2.3",$H484))),1,"")</f>
        <v/>
      </c>
      <c r="AA484" s="319">
        <f>IF(ISNUMBER(SEARCH("일1",$H484)),1,"")</f>
        <v/>
      </c>
      <c r="AB484" s="319">
        <f>IF(OR(ISNUMBER(SEARCH("일2",$H484)),ISNUMBER(SEARCH("일1.2",$H484))),1,"")</f>
        <v/>
      </c>
      <c r="AC484" s="319">
        <f>IF(OR(ISNUMBER(SEARCH("일3",$H484)),ISNUMBER(SEARCH("일1.3",$H484)),ISNUMBER(SEARCH("일2.3",$H484)),ISNUMBER(SEARCH("일1.2.3",$H484))),1,"")</f>
        <v/>
      </c>
      <c r="AD484" s="319">
        <f>SUM(I484:AC484)</f>
        <v/>
      </c>
      <c r="AE484" s="323" t="n"/>
    </row>
    <row r="485" ht="24" customHeight="1">
      <c r="A485" s="168" t="n"/>
      <c r="B485" s="319" t="n"/>
      <c r="C485" s="319" t="n"/>
      <c r="D485" s="319" t="n"/>
      <c r="E485" s="341" t="n"/>
      <c r="F485" s="341" t="n"/>
      <c r="G485" s="342" t="n"/>
      <c r="H485" s="322" t="n"/>
      <c r="I485" s="319">
        <f>IF(ISNUMBER(SEARCH("월1",$H485)),1,"")</f>
        <v/>
      </c>
      <c r="J485" s="319">
        <f>IF(OR(ISNUMBER(SEARCH("월2",$H485)),ISNUMBER(SEARCH("월1.2",$H485))),1,"")</f>
        <v/>
      </c>
      <c r="K485" s="319">
        <f>IF(OR(ISNUMBER(SEARCH("월3",$H485)),ISNUMBER(SEARCH("월1.3",$H485)),ISNUMBER(SEARCH("월2.3",$H485)),ISNUMBER(SEARCH("월1.2.3",$H485))),1,"")</f>
        <v/>
      </c>
      <c r="L485" s="319">
        <f>IF(ISNUMBER(SEARCH("화1",$H485)),1,"")</f>
        <v/>
      </c>
      <c r="M485" s="319">
        <f>IF(OR(ISNUMBER(SEARCH("화2",$H485)),ISNUMBER(SEARCH("화1.2",$H485))),1,"")</f>
        <v/>
      </c>
      <c r="N485" s="319">
        <f>IF(OR(ISNUMBER(SEARCH("화3",$H485)),ISNUMBER(SEARCH("화1.3",$H485)),ISNUMBER(SEARCH("화2.3",$H485)),ISNUMBER(SEARCH("화1.2.3",$H485))),1,"")</f>
        <v/>
      </c>
      <c r="O485" s="319">
        <f>IF(ISNUMBER(SEARCH("수1",$H485)),1,"")</f>
        <v/>
      </c>
      <c r="P485" s="319">
        <f>IF(OR(ISNUMBER(SEARCH("수2",$H485)),ISNUMBER(SEARCH("수1.2",$H485))),1,"")</f>
        <v/>
      </c>
      <c r="Q485" s="319">
        <f>IF(OR(ISNUMBER(SEARCH("수3",$H485)),ISNUMBER(SEARCH("수1.3",$H485)),ISNUMBER(SEARCH("수2.3",$H485)),ISNUMBER(SEARCH("수1.2.3",$H485))),1,"")</f>
        <v/>
      </c>
      <c r="R485" s="319">
        <f>IF(ISNUMBER(SEARCH("목1",$H485)),1,"")</f>
        <v/>
      </c>
      <c r="S485" s="319">
        <f>IF(OR(ISNUMBER(SEARCH("목2",$H485)),ISNUMBER(SEARCH("목1.2",$H485))),1,"")</f>
        <v/>
      </c>
      <c r="T485" s="319">
        <f>IF(OR(ISNUMBER(SEARCH("목3",$H485)),ISNUMBER(SEARCH("목1.3",$H485)),ISNUMBER(SEARCH("목2.3",$H485)),ISNUMBER(SEARCH("목1.2.3",$H485))),1,"")</f>
        <v/>
      </c>
      <c r="U485" s="319">
        <f>IF(ISNUMBER(SEARCH("금1",$H485)),1,"")</f>
        <v/>
      </c>
      <c r="V485" s="319">
        <f>IF(OR(ISNUMBER(SEARCH("금2",$H485)),ISNUMBER(SEARCH("금1.2",$H485))),1,"")</f>
        <v/>
      </c>
      <c r="W485" s="319">
        <f>IF(OR(ISNUMBER(SEARCH("금3",$H485)),ISNUMBER(SEARCH("금1.3",$H485)),ISNUMBER(SEARCH("금2.3",$H485)),ISNUMBER(SEARCH("금1.2.3",$H485))),1,"")</f>
        <v/>
      </c>
      <c r="X485" s="319">
        <f>IF(ISNUMBER(SEARCH("토1",$H485)),1,"")</f>
        <v/>
      </c>
      <c r="Y485" s="319">
        <f>IF(OR(ISNUMBER(SEARCH("토2",$H485)),ISNUMBER(SEARCH("토1.2",$H485))),1,"")</f>
        <v/>
      </c>
      <c r="Z485" s="319">
        <f>IF(OR(ISNUMBER(SEARCH("토3",$H485)),ISNUMBER(SEARCH("토1.3",$H485)),ISNUMBER(SEARCH("토2.3",$H485)),ISNUMBER(SEARCH("토1.2.3",$H485))),1,"")</f>
        <v/>
      </c>
      <c r="AA485" s="319">
        <f>IF(ISNUMBER(SEARCH("일1",$H485)),1,"")</f>
        <v/>
      </c>
      <c r="AB485" s="319">
        <f>IF(OR(ISNUMBER(SEARCH("일2",$H485)),ISNUMBER(SEARCH("일1.2",$H485))),1,"")</f>
        <v/>
      </c>
      <c r="AC485" s="319">
        <f>IF(OR(ISNUMBER(SEARCH("일3",$H485)),ISNUMBER(SEARCH("일1.3",$H485)),ISNUMBER(SEARCH("일2.3",$H485)),ISNUMBER(SEARCH("일1.2.3",$H485))),1,"")</f>
        <v/>
      </c>
      <c r="AD485" s="319">
        <f>SUM(I485:AC485)</f>
        <v/>
      </c>
      <c r="AE485" s="323" t="n"/>
    </row>
    <row r="486" ht="24" customHeight="1">
      <c r="A486" s="168" t="n"/>
      <c r="B486" s="319" t="n"/>
      <c r="C486" s="319" t="n"/>
      <c r="D486" s="319" t="n"/>
      <c r="E486" s="341" t="n"/>
      <c r="F486" s="341" t="n"/>
      <c r="G486" s="342" t="n"/>
      <c r="H486" s="322" t="n"/>
      <c r="I486" s="319">
        <f>IF(ISNUMBER(SEARCH("월1",$H486)),1,"")</f>
        <v/>
      </c>
      <c r="J486" s="319">
        <f>IF(OR(ISNUMBER(SEARCH("월2",$H486)),ISNUMBER(SEARCH("월1.2",$H486))),1,"")</f>
        <v/>
      </c>
      <c r="K486" s="319">
        <f>IF(OR(ISNUMBER(SEARCH("월3",$H486)),ISNUMBER(SEARCH("월1.3",$H486)),ISNUMBER(SEARCH("월2.3",$H486)),ISNUMBER(SEARCH("월1.2.3",$H486))),1,"")</f>
        <v/>
      </c>
      <c r="L486" s="319">
        <f>IF(ISNUMBER(SEARCH("화1",$H486)),1,"")</f>
        <v/>
      </c>
      <c r="M486" s="319">
        <f>IF(OR(ISNUMBER(SEARCH("화2",$H486)),ISNUMBER(SEARCH("화1.2",$H486))),1,"")</f>
        <v/>
      </c>
      <c r="N486" s="319">
        <f>IF(OR(ISNUMBER(SEARCH("화3",$H486)),ISNUMBER(SEARCH("화1.3",$H486)),ISNUMBER(SEARCH("화2.3",$H486)),ISNUMBER(SEARCH("화1.2.3",$H486))),1,"")</f>
        <v/>
      </c>
      <c r="O486" s="319">
        <f>IF(ISNUMBER(SEARCH("수1",$H486)),1,"")</f>
        <v/>
      </c>
      <c r="P486" s="319">
        <f>IF(OR(ISNUMBER(SEARCH("수2",$H486)),ISNUMBER(SEARCH("수1.2",$H486))),1,"")</f>
        <v/>
      </c>
      <c r="Q486" s="319">
        <f>IF(OR(ISNUMBER(SEARCH("수3",$H486)),ISNUMBER(SEARCH("수1.3",$H486)),ISNUMBER(SEARCH("수2.3",$H486)),ISNUMBER(SEARCH("수1.2.3",$H486))),1,"")</f>
        <v/>
      </c>
      <c r="R486" s="319">
        <f>IF(ISNUMBER(SEARCH("목1",$H486)),1,"")</f>
        <v/>
      </c>
      <c r="S486" s="319">
        <f>IF(OR(ISNUMBER(SEARCH("목2",$H486)),ISNUMBER(SEARCH("목1.2",$H486))),1,"")</f>
        <v/>
      </c>
      <c r="T486" s="319">
        <f>IF(OR(ISNUMBER(SEARCH("목3",$H486)),ISNUMBER(SEARCH("목1.3",$H486)),ISNUMBER(SEARCH("목2.3",$H486)),ISNUMBER(SEARCH("목1.2.3",$H486))),1,"")</f>
        <v/>
      </c>
      <c r="U486" s="319">
        <f>IF(ISNUMBER(SEARCH("금1",$H486)),1,"")</f>
        <v/>
      </c>
      <c r="V486" s="319">
        <f>IF(OR(ISNUMBER(SEARCH("금2",$H486)),ISNUMBER(SEARCH("금1.2",$H486))),1,"")</f>
        <v/>
      </c>
      <c r="W486" s="319">
        <f>IF(OR(ISNUMBER(SEARCH("금3",$H486)),ISNUMBER(SEARCH("금1.3",$H486)),ISNUMBER(SEARCH("금2.3",$H486)),ISNUMBER(SEARCH("금1.2.3",$H486))),1,"")</f>
        <v/>
      </c>
      <c r="X486" s="319">
        <f>IF(ISNUMBER(SEARCH("토1",$H486)),1,"")</f>
        <v/>
      </c>
      <c r="Y486" s="319">
        <f>IF(OR(ISNUMBER(SEARCH("토2",$H486)),ISNUMBER(SEARCH("토1.2",$H486))),1,"")</f>
        <v/>
      </c>
      <c r="Z486" s="319">
        <f>IF(OR(ISNUMBER(SEARCH("토3",$H486)),ISNUMBER(SEARCH("토1.3",$H486)),ISNUMBER(SEARCH("토2.3",$H486)),ISNUMBER(SEARCH("토1.2.3",$H486))),1,"")</f>
        <v/>
      </c>
      <c r="AA486" s="319">
        <f>IF(ISNUMBER(SEARCH("일1",$H486)),1,"")</f>
        <v/>
      </c>
      <c r="AB486" s="319">
        <f>IF(OR(ISNUMBER(SEARCH("일2",$H486)),ISNUMBER(SEARCH("일1.2",$H486))),1,"")</f>
        <v/>
      </c>
      <c r="AC486" s="319">
        <f>IF(OR(ISNUMBER(SEARCH("일3",$H486)),ISNUMBER(SEARCH("일1.3",$H486)),ISNUMBER(SEARCH("일2.3",$H486)),ISNUMBER(SEARCH("일1.2.3",$H486))),1,"")</f>
        <v/>
      </c>
      <c r="AD486" s="319">
        <f>SUM(I486:AC486)</f>
        <v/>
      </c>
      <c r="AE486" s="323" t="n"/>
    </row>
    <row r="487" ht="24" customHeight="1">
      <c r="A487" s="168" t="n"/>
      <c r="B487" s="319" t="n"/>
      <c r="C487" s="319" t="n"/>
      <c r="D487" s="319" t="n"/>
      <c r="E487" s="341" t="n"/>
      <c r="F487" s="341" t="n"/>
      <c r="G487" s="342" t="n"/>
      <c r="H487" s="322" t="n"/>
      <c r="I487" s="319">
        <f>IF(ISNUMBER(SEARCH("월1",$H487)),1,"")</f>
        <v/>
      </c>
      <c r="J487" s="319">
        <f>IF(OR(ISNUMBER(SEARCH("월2",$H487)),ISNUMBER(SEARCH("월1.2",$H487))),1,"")</f>
        <v/>
      </c>
      <c r="K487" s="319">
        <f>IF(OR(ISNUMBER(SEARCH("월3",$H487)),ISNUMBER(SEARCH("월1.3",$H487)),ISNUMBER(SEARCH("월2.3",$H487)),ISNUMBER(SEARCH("월1.2.3",$H487))),1,"")</f>
        <v/>
      </c>
      <c r="L487" s="319">
        <f>IF(ISNUMBER(SEARCH("화1",$H487)),1,"")</f>
        <v/>
      </c>
      <c r="M487" s="319">
        <f>IF(OR(ISNUMBER(SEARCH("화2",$H487)),ISNUMBER(SEARCH("화1.2",$H487))),1,"")</f>
        <v/>
      </c>
      <c r="N487" s="319">
        <f>IF(OR(ISNUMBER(SEARCH("화3",$H487)),ISNUMBER(SEARCH("화1.3",$H487)),ISNUMBER(SEARCH("화2.3",$H487)),ISNUMBER(SEARCH("화1.2.3",$H487))),1,"")</f>
        <v/>
      </c>
      <c r="O487" s="319">
        <f>IF(ISNUMBER(SEARCH("수1",$H487)),1,"")</f>
        <v/>
      </c>
      <c r="P487" s="319">
        <f>IF(OR(ISNUMBER(SEARCH("수2",$H487)),ISNUMBER(SEARCH("수1.2",$H487))),1,"")</f>
        <v/>
      </c>
      <c r="Q487" s="319">
        <f>IF(OR(ISNUMBER(SEARCH("수3",$H487)),ISNUMBER(SEARCH("수1.3",$H487)),ISNUMBER(SEARCH("수2.3",$H487)),ISNUMBER(SEARCH("수1.2.3",$H487))),1,"")</f>
        <v/>
      </c>
      <c r="R487" s="319">
        <f>IF(ISNUMBER(SEARCH("목1",$H487)),1,"")</f>
        <v/>
      </c>
      <c r="S487" s="319">
        <f>IF(OR(ISNUMBER(SEARCH("목2",$H487)),ISNUMBER(SEARCH("목1.2",$H487))),1,"")</f>
        <v/>
      </c>
      <c r="T487" s="319">
        <f>IF(OR(ISNUMBER(SEARCH("목3",$H487)),ISNUMBER(SEARCH("목1.3",$H487)),ISNUMBER(SEARCH("목2.3",$H487)),ISNUMBER(SEARCH("목1.2.3",$H487))),1,"")</f>
        <v/>
      </c>
      <c r="U487" s="319">
        <f>IF(ISNUMBER(SEARCH("금1",$H487)),1,"")</f>
        <v/>
      </c>
      <c r="V487" s="319">
        <f>IF(OR(ISNUMBER(SEARCH("금2",$H487)),ISNUMBER(SEARCH("금1.2",$H487))),1,"")</f>
        <v/>
      </c>
      <c r="W487" s="319">
        <f>IF(OR(ISNUMBER(SEARCH("금3",$H487)),ISNUMBER(SEARCH("금1.3",$H487)),ISNUMBER(SEARCH("금2.3",$H487)),ISNUMBER(SEARCH("금1.2.3",$H487))),1,"")</f>
        <v/>
      </c>
      <c r="X487" s="319">
        <f>IF(ISNUMBER(SEARCH("토1",$H487)),1,"")</f>
        <v/>
      </c>
      <c r="Y487" s="319">
        <f>IF(OR(ISNUMBER(SEARCH("토2",$H487)),ISNUMBER(SEARCH("토1.2",$H487))),1,"")</f>
        <v/>
      </c>
      <c r="Z487" s="319">
        <f>IF(OR(ISNUMBER(SEARCH("토3",$H487)),ISNUMBER(SEARCH("토1.3",$H487)),ISNUMBER(SEARCH("토2.3",$H487)),ISNUMBER(SEARCH("토1.2.3",$H487))),1,"")</f>
        <v/>
      </c>
      <c r="AA487" s="319">
        <f>IF(ISNUMBER(SEARCH("일1",$H487)),1,"")</f>
        <v/>
      </c>
      <c r="AB487" s="319">
        <f>IF(OR(ISNUMBER(SEARCH("일2",$H487)),ISNUMBER(SEARCH("일1.2",$H487))),1,"")</f>
        <v/>
      </c>
      <c r="AC487" s="319">
        <f>IF(OR(ISNUMBER(SEARCH("일3",$H487)),ISNUMBER(SEARCH("일1.3",$H487)),ISNUMBER(SEARCH("일2.3",$H487)),ISNUMBER(SEARCH("일1.2.3",$H487))),1,"")</f>
        <v/>
      </c>
      <c r="AD487" s="319">
        <f>SUM(I487:AC487)</f>
        <v/>
      </c>
      <c r="AE487" s="323" t="n"/>
    </row>
    <row r="488" ht="24" customHeight="1">
      <c r="A488" s="168" t="n"/>
      <c r="B488" s="319" t="n"/>
      <c r="C488" s="319" t="n"/>
      <c r="D488" s="319" t="n"/>
      <c r="E488" s="341" t="n"/>
      <c r="F488" s="341" t="n"/>
      <c r="G488" s="342" t="n"/>
      <c r="H488" s="322" t="n"/>
      <c r="I488" s="319">
        <f>IF(ISNUMBER(SEARCH("월1",$H488)),1,"")</f>
        <v/>
      </c>
      <c r="J488" s="319">
        <f>IF(OR(ISNUMBER(SEARCH("월2",$H488)),ISNUMBER(SEARCH("월1.2",$H488))),1,"")</f>
        <v/>
      </c>
      <c r="K488" s="319">
        <f>IF(OR(ISNUMBER(SEARCH("월3",$H488)),ISNUMBER(SEARCH("월1.3",$H488)),ISNUMBER(SEARCH("월2.3",$H488)),ISNUMBER(SEARCH("월1.2.3",$H488))),1,"")</f>
        <v/>
      </c>
      <c r="L488" s="319">
        <f>IF(ISNUMBER(SEARCH("화1",$H488)),1,"")</f>
        <v/>
      </c>
      <c r="M488" s="319">
        <f>IF(OR(ISNUMBER(SEARCH("화2",$H488)),ISNUMBER(SEARCH("화1.2",$H488))),1,"")</f>
        <v/>
      </c>
      <c r="N488" s="319">
        <f>IF(OR(ISNUMBER(SEARCH("화3",$H488)),ISNUMBER(SEARCH("화1.3",$H488)),ISNUMBER(SEARCH("화2.3",$H488)),ISNUMBER(SEARCH("화1.2.3",$H488))),1,"")</f>
        <v/>
      </c>
      <c r="O488" s="319">
        <f>IF(ISNUMBER(SEARCH("수1",$H488)),1,"")</f>
        <v/>
      </c>
      <c r="P488" s="319">
        <f>IF(OR(ISNUMBER(SEARCH("수2",$H488)),ISNUMBER(SEARCH("수1.2",$H488))),1,"")</f>
        <v/>
      </c>
      <c r="Q488" s="319">
        <f>IF(OR(ISNUMBER(SEARCH("수3",$H488)),ISNUMBER(SEARCH("수1.3",$H488)),ISNUMBER(SEARCH("수2.3",$H488)),ISNUMBER(SEARCH("수1.2.3",$H488))),1,"")</f>
        <v/>
      </c>
      <c r="R488" s="319">
        <f>IF(ISNUMBER(SEARCH("목1",$H488)),1,"")</f>
        <v/>
      </c>
      <c r="S488" s="319">
        <f>IF(OR(ISNUMBER(SEARCH("목2",$H488)),ISNUMBER(SEARCH("목1.2",$H488))),1,"")</f>
        <v/>
      </c>
      <c r="T488" s="319">
        <f>IF(OR(ISNUMBER(SEARCH("목3",$H488)),ISNUMBER(SEARCH("목1.3",$H488)),ISNUMBER(SEARCH("목2.3",$H488)),ISNUMBER(SEARCH("목1.2.3",$H488))),1,"")</f>
        <v/>
      </c>
      <c r="U488" s="319">
        <f>IF(ISNUMBER(SEARCH("금1",$H488)),1,"")</f>
        <v/>
      </c>
      <c r="V488" s="319">
        <f>IF(OR(ISNUMBER(SEARCH("금2",$H488)),ISNUMBER(SEARCH("금1.2",$H488))),1,"")</f>
        <v/>
      </c>
      <c r="W488" s="319">
        <f>IF(OR(ISNUMBER(SEARCH("금3",$H488)),ISNUMBER(SEARCH("금1.3",$H488)),ISNUMBER(SEARCH("금2.3",$H488)),ISNUMBER(SEARCH("금1.2.3",$H488))),1,"")</f>
        <v/>
      </c>
      <c r="X488" s="319">
        <f>IF(ISNUMBER(SEARCH("토1",$H488)),1,"")</f>
        <v/>
      </c>
      <c r="Y488" s="319">
        <f>IF(OR(ISNUMBER(SEARCH("토2",$H488)),ISNUMBER(SEARCH("토1.2",$H488))),1,"")</f>
        <v/>
      </c>
      <c r="Z488" s="319">
        <f>IF(OR(ISNUMBER(SEARCH("토3",$H488)),ISNUMBER(SEARCH("토1.3",$H488)),ISNUMBER(SEARCH("토2.3",$H488)),ISNUMBER(SEARCH("토1.2.3",$H488))),1,"")</f>
        <v/>
      </c>
      <c r="AA488" s="319">
        <f>IF(ISNUMBER(SEARCH("일1",$H488)),1,"")</f>
        <v/>
      </c>
      <c r="AB488" s="319">
        <f>IF(OR(ISNUMBER(SEARCH("일2",$H488)),ISNUMBER(SEARCH("일1.2",$H488))),1,"")</f>
        <v/>
      </c>
      <c r="AC488" s="319">
        <f>IF(OR(ISNUMBER(SEARCH("일3",$H488)),ISNUMBER(SEARCH("일1.3",$H488)),ISNUMBER(SEARCH("일2.3",$H488)),ISNUMBER(SEARCH("일1.2.3",$H488))),1,"")</f>
        <v/>
      </c>
      <c r="AD488" s="319">
        <f>SUM(I488:AC488)</f>
        <v/>
      </c>
      <c r="AE488" s="323" t="n"/>
    </row>
    <row r="489" ht="24" customHeight="1">
      <c r="A489" s="168" t="n"/>
      <c r="B489" s="319" t="n"/>
      <c r="C489" s="319" t="n"/>
      <c r="D489" s="319" t="n"/>
      <c r="E489" s="341" t="n"/>
      <c r="F489" s="341" t="n"/>
      <c r="G489" s="342" t="n"/>
      <c r="H489" s="322" t="n"/>
      <c r="I489" s="319">
        <f>IF(ISNUMBER(SEARCH("월1",$H489)),1,"")</f>
        <v/>
      </c>
      <c r="J489" s="319">
        <f>IF(OR(ISNUMBER(SEARCH("월2",$H489)),ISNUMBER(SEARCH("월1.2",$H489))),1,"")</f>
        <v/>
      </c>
      <c r="K489" s="319">
        <f>IF(OR(ISNUMBER(SEARCH("월3",$H489)),ISNUMBER(SEARCH("월1.3",$H489)),ISNUMBER(SEARCH("월2.3",$H489)),ISNUMBER(SEARCH("월1.2.3",$H489))),1,"")</f>
        <v/>
      </c>
      <c r="L489" s="319">
        <f>IF(ISNUMBER(SEARCH("화1",$H489)),1,"")</f>
        <v/>
      </c>
      <c r="M489" s="319">
        <f>IF(OR(ISNUMBER(SEARCH("화2",$H489)),ISNUMBER(SEARCH("화1.2",$H489))),1,"")</f>
        <v/>
      </c>
      <c r="N489" s="319">
        <f>IF(OR(ISNUMBER(SEARCH("화3",$H489)),ISNUMBER(SEARCH("화1.3",$H489)),ISNUMBER(SEARCH("화2.3",$H489)),ISNUMBER(SEARCH("화1.2.3",$H489))),1,"")</f>
        <v/>
      </c>
      <c r="O489" s="319">
        <f>IF(ISNUMBER(SEARCH("수1",$H489)),1,"")</f>
        <v/>
      </c>
      <c r="P489" s="319">
        <f>IF(OR(ISNUMBER(SEARCH("수2",$H489)),ISNUMBER(SEARCH("수1.2",$H489))),1,"")</f>
        <v/>
      </c>
      <c r="Q489" s="319">
        <f>IF(OR(ISNUMBER(SEARCH("수3",$H489)),ISNUMBER(SEARCH("수1.3",$H489)),ISNUMBER(SEARCH("수2.3",$H489)),ISNUMBER(SEARCH("수1.2.3",$H489))),1,"")</f>
        <v/>
      </c>
      <c r="R489" s="319">
        <f>IF(ISNUMBER(SEARCH("목1",$H489)),1,"")</f>
        <v/>
      </c>
      <c r="S489" s="319">
        <f>IF(OR(ISNUMBER(SEARCH("목2",$H489)),ISNUMBER(SEARCH("목1.2",$H489))),1,"")</f>
        <v/>
      </c>
      <c r="T489" s="319">
        <f>IF(OR(ISNUMBER(SEARCH("목3",$H489)),ISNUMBER(SEARCH("목1.3",$H489)),ISNUMBER(SEARCH("목2.3",$H489)),ISNUMBER(SEARCH("목1.2.3",$H489))),1,"")</f>
        <v/>
      </c>
      <c r="U489" s="319">
        <f>IF(ISNUMBER(SEARCH("금1",$H489)),1,"")</f>
        <v/>
      </c>
      <c r="V489" s="319">
        <f>IF(OR(ISNUMBER(SEARCH("금2",$H489)),ISNUMBER(SEARCH("금1.2",$H489))),1,"")</f>
        <v/>
      </c>
      <c r="W489" s="319">
        <f>IF(OR(ISNUMBER(SEARCH("금3",$H489)),ISNUMBER(SEARCH("금1.3",$H489)),ISNUMBER(SEARCH("금2.3",$H489)),ISNUMBER(SEARCH("금1.2.3",$H489))),1,"")</f>
        <v/>
      </c>
      <c r="X489" s="319">
        <f>IF(ISNUMBER(SEARCH("토1",$H489)),1,"")</f>
        <v/>
      </c>
      <c r="Y489" s="319">
        <f>IF(OR(ISNUMBER(SEARCH("토2",$H489)),ISNUMBER(SEARCH("토1.2",$H489))),1,"")</f>
        <v/>
      </c>
      <c r="Z489" s="319">
        <f>IF(OR(ISNUMBER(SEARCH("토3",$H489)),ISNUMBER(SEARCH("토1.3",$H489)),ISNUMBER(SEARCH("토2.3",$H489)),ISNUMBER(SEARCH("토1.2.3",$H489))),1,"")</f>
        <v/>
      </c>
      <c r="AA489" s="319">
        <f>IF(ISNUMBER(SEARCH("일1",$H489)),1,"")</f>
        <v/>
      </c>
      <c r="AB489" s="319">
        <f>IF(OR(ISNUMBER(SEARCH("일2",$H489)),ISNUMBER(SEARCH("일1.2",$H489))),1,"")</f>
        <v/>
      </c>
      <c r="AC489" s="319">
        <f>IF(OR(ISNUMBER(SEARCH("일3",$H489)),ISNUMBER(SEARCH("일1.3",$H489)),ISNUMBER(SEARCH("일2.3",$H489)),ISNUMBER(SEARCH("일1.2.3",$H489))),1,"")</f>
        <v/>
      </c>
      <c r="AD489" s="319">
        <f>SUM(I489:AC489)</f>
        <v/>
      </c>
      <c r="AE489" s="323" t="n"/>
    </row>
    <row r="490" ht="24" customHeight="1">
      <c r="A490" s="168" t="n"/>
      <c r="B490" s="319" t="n"/>
      <c r="C490" s="319" t="n"/>
      <c r="D490" s="319" t="n"/>
      <c r="E490" s="341" t="n"/>
      <c r="F490" s="341" t="n"/>
      <c r="G490" s="342" t="n"/>
      <c r="H490" s="322" t="n"/>
      <c r="I490" s="319">
        <f>IF(ISNUMBER(SEARCH("월1",$H490)),1,"")</f>
        <v/>
      </c>
      <c r="J490" s="319">
        <f>IF(OR(ISNUMBER(SEARCH("월2",$H490)),ISNUMBER(SEARCH("월1.2",$H490))),1,"")</f>
        <v/>
      </c>
      <c r="K490" s="319">
        <f>IF(OR(ISNUMBER(SEARCH("월3",$H490)),ISNUMBER(SEARCH("월1.3",$H490)),ISNUMBER(SEARCH("월2.3",$H490)),ISNUMBER(SEARCH("월1.2.3",$H490))),1,"")</f>
        <v/>
      </c>
      <c r="L490" s="319">
        <f>IF(ISNUMBER(SEARCH("화1",$H490)),1,"")</f>
        <v/>
      </c>
      <c r="M490" s="319">
        <f>IF(OR(ISNUMBER(SEARCH("화2",$H490)),ISNUMBER(SEARCH("화1.2",$H490))),1,"")</f>
        <v/>
      </c>
      <c r="N490" s="319">
        <f>IF(OR(ISNUMBER(SEARCH("화3",$H490)),ISNUMBER(SEARCH("화1.3",$H490)),ISNUMBER(SEARCH("화2.3",$H490)),ISNUMBER(SEARCH("화1.2.3",$H490))),1,"")</f>
        <v/>
      </c>
      <c r="O490" s="319">
        <f>IF(ISNUMBER(SEARCH("수1",$H490)),1,"")</f>
        <v/>
      </c>
      <c r="P490" s="319">
        <f>IF(OR(ISNUMBER(SEARCH("수2",$H490)),ISNUMBER(SEARCH("수1.2",$H490))),1,"")</f>
        <v/>
      </c>
      <c r="Q490" s="319">
        <f>IF(OR(ISNUMBER(SEARCH("수3",$H490)),ISNUMBER(SEARCH("수1.3",$H490)),ISNUMBER(SEARCH("수2.3",$H490)),ISNUMBER(SEARCH("수1.2.3",$H490))),1,"")</f>
        <v/>
      </c>
      <c r="R490" s="319">
        <f>IF(ISNUMBER(SEARCH("목1",$H490)),1,"")</f>
        <v/>
      </c>
      <c r="S490" s="319">
        <f>IF(OR(ISNUMBER(SEARCH("목2",$H490)),ISNUMBER(SEARCH("목1.2",$H490))),1,"")</f>
        <v/>
      </c>
      <c r="T490" s="319">
        <f>IF(OR(ISNUMBER(SEARCH("목3",$H490)),ISNUMBER(SEARCH("목1.3",$H490)),ISNUMBER(SEARCH("목2.3",$H490)),ISNUMBER(SEARCH("목1.2.3",$H490))),1,"")</f>
        <v/>
      </c>
      <c r="U490" s="319">
        <f>IF(ISNUMBER(SEARCH("금1",$H490)),1,"")</f>
        <v/>
      </c>
      <c r="V490" s="319">
        <f>IF(OR(ISNUMBER(SEARCH("금2",$H490)),ISNUMBER(SEARCH("금1.2",$H490))),1,"")</f>
        <v/>
      </c>
      <c r="W490" s="319">
        <f>IF(OR(ISNUMBER(SEARCH("금3",$H490)),ISNUMBER(SEARCH("금1.3",$H490)),ISNUMBER(SEARCH("금2.3",$H490)),ISNUMBER(SEARCH("금1.2.3",$H490))),1,"")</f>
        <v/>
      </c>
      <c r="X490" s="319">
        <f>IF(ISNUMBER(SEARCH("토1",$H490)),1,"")</f>
        <v/>
      </c>
      <c r="Y490" s="319">
        <f>IF(OR(ISNUMBER(SEARCH("토2",$H490)),ISNUMBER(SEARCH("토1.2",$H490))),1,"")</f>
        <v/>
      </c>
      <c r="Z490" s="319">
        <f>IF(OR(ISNUMBER(SEARCH("토3",$H490)),ISNUMBER(SEARCH("토1.3",$H490)),ISNUMBER(SEARCH("토2.3",$H490)),ISNUMBER(SEARCH("토1.2.3",$H490))),1,"")</f>
        <v/>
      </c>
      <c r="AA490" s="319">
        <f>IF(ISNUMBER(SEARCH("일1",$H490)),1,"")</f>
        <v/>
      </c>
      <c r="AB490" s="319">
        <f>IF(OR(ISNUMBER(SEARCH("일2",$H490)),ISNUMBER(SEARCH("일1.2",$H490))),1,"")</f>
        <v/>
      </c>
      <c r="AC490" s="319">
        <f>IF(OR(ISNUMBER(SEARCH("일3",$H490)),ISNUMBER(SEARCH("일1.3",$H490)),ISNUMBER(SEARCH("일2.3",$H490)),ISNUMBER(SEARCH("일1.2.3",$H490))),1,"")</f>
        <v/>
      </c>
      <c r="AD490" s="319">
        <f>SUM(I490:AC490)</f>
        <v/>
      </c>
      <c r="AE490" s="323" t="n"/>
    </row>
    <row r="491" ht="24" customHeight="1">
      <c r="A491" s="168" t="n"/>
      <c r="B491" s="319" t="n"/>
      <c r="C491" s="319" t="n"/>
      <c r="D491" s="319" t="n"/>
      <c r="E491" s="341" t="n"/>
      <c r="F491" s="341" t="n"/>
      <c r="G491" s="342" t="n"/>
      <c r="H491" s="322" t="n"/>
      <c r="I491" s="319">
        <f>IF(ISNUMBER(SEARCH("월1",$H491)),1,"")</f>
        <v/>
      </c>
      <c r="J491" s="319">
        <f>IF(OR(ISNUMBER(SEARCH("월2",$H491)),ISNUMBER(SEARCH("월1.2",$H491))),1,"")</f>
        <v/>
      </c>
      <c r="K491" s="319">
        <f>IF(OR(ISNUMBER(SEARCH("월3",$H491)),ISNUMBER(SEARCH("월1.3",$H491)),ISNUMBER(SEARCH("월2.3",$H491)),ISNUMBER(SEARCH("월1.2.3",$H491))),1,"")</f>
        <v/>
      </c>
      <c r="L491" s="319">
        <f>IF(ISNUMBER(SEARCH("화1",$H491)),1,"")</f>
        <v/>
      </c>
      <c r="M491" s="319">
        <f>IF(OR(ISNUMBER(SEARCH("화2",$H491)),ISNUMBER(SEARCH("화1.2",$H491))),1,"")</f>
        <v/>
      </c>
      <c r="N491" s="319">
        <f>IF(OR(ISNUMBER(SEARCH("화3",$H491)),ISNUMBER(SEARCH("화1.3",$H491)),ISNUMBER(SEARCH("화2.3",$H491)),ISNUMBER(SEARCH("화1.2.3",$H491))),1,"")</f>
        <v/>
      </c>
      <c r="O491" s="319">
        <f>IF(ISNUMBER(SEARCH("수1",$H491)),1,"")</f>
        <v/>
      </c>
      <c r="P491" s="319">
        <f>IF(OR(ISNUMBER(SEARCH("수2",$H491)),ISNUMBER(SEARCH("수1.2",$H491))),1,"")</f>
        <v/>
      </c>
      <c r="Q491" s="319">
        <f>IF(OR(ISNUMBER(SEARCH("수3",$H491)),ISNUMBER(SEARCH("수1.3",$H491)),ISNUMBER(SEARCH("수2.3",$H491)),ISNUMBER(SEARCH("수1.2.3",$H491))),1,"")</f>
        <v/>
      </c>
      <c r="R491" s="319">
        <f>IF(ISNUMBER(SEARCH("목1",$H491)),1,"")</f>
        <v/>
      </c>
      <c r="S491" s="319">
        <f>IF(OR(ISNUMBER(SEARCH("목2",$H491)),ISNUMBER(SEARCH("목1.2",$H491))),1,"")</f>
        <v/>
      </c>
      <c r="T491" s="319">
        <f>IF(OR(ISNUMBER(SEARCH("목3",$H491)),ISNUMBER(SEARCH("목1.3",$H491)),ISNUMBER(SEARCH("목2.3",$H491)),ISNUMBER(SEARCH("목1.2.3",$H491))),1,"")</f>
        <v/>
      </c>
      <c r="U491" s="319">
        <f>IF(ISNUMBER(SEARCH("금1",$H491)),1,"")</f>
        <v/>
      </c>
      <c r="V491" s="319">
        <f>IF(OR(ISNUMBER(SEARCH("금2",$H491)),ISNUMBER(SEARCH("금1.2",$H491))),1,"")</f>
        <v/>
      </c>
      <c r="W491" s="319">
        <f>IF(OR(ISNUMBER(SEARCH("금3",$H491)),ISNUMBER(SEARCH("금1.3",$H491)),ISNUMBER(SEARCH("금2.3",$H491)),ISNUMBER(SEARCH("금1.2.3",$H491))),1,"")</f>
        <v/>
      </c>
      <c r="X491" s="319">
        <f>IF(ISNUMBER(SEARCH("토1",$H491)),1,"")</f>
        <v/>
      </c>
      <c r="Y491" s="319">
        <f>IF(OR(ISNUMBER(SEARCH("토2",$H491)),ISNUMBER(SEARCH("토1.2",$H491))),1,"")</f>
        <v/>
      </c>
      <c r="Z491" s="319">
        <f>IF(OR(ISNUMBER(SEARCH("토3",$H491)),ISNUMBER(SEARCH("토1.3",$H491)),ISNUMBER(SEARCH("토2.3",$H491)),ISNUMBER(SEARCH("토1.2.3",$H491))),1,"")</f>
        <v/>
      </c>
      <c r="AA491" s="319">
        <f>IF(ISNUMBER(SEARCH("일1",$H491)),1,"")</f>
        <v/>
      </c>
      <c r="AB491" s="319">
        <f>IF(OR(ISNUMBER(SEARCH("일2",$H491)),ISNUMBER(SEARCH("일1.2",$H491))),1,"")</f>
        <v/>
      </c>
      <c r="AC491" s="319">
        <f>IF(OR(ISNUMBER(SEARCH("일3",$H491)),ISNUMBER(SEARCH("일1.3",$H491)),ISNUMBER(SEARCH("일2.3",$H491)),ISNUMBER(SEARCH("일1.2.3",$H491))),1,"")</f>
        <v/>
      </c>
      <c r="AD491" s="319">
        <f>SUM(I491:AC491)</f>
        <v/>
      </c>
      <c r="AE491" s="323" t="n"/>
    </row>
    <row r="492" ht="24" customHeight="1">
      <c r="A492" s="168" t="n"/>
      <c r="B492" s="319" t="n"/>
      <c r="C492" s="319" t="n"/>
      <c r="D492" s="319" t="n"/>
      <c r="E492" s="341" t="n"/>
      <c r="F492" s="341" t="n"/>
      <c r="G492" s="342" t="n"/>
      <c r="H492" s="322" t="n"/>
      <c r="I492" s="319">
        <f>IF(ISNUMBER(SEARCH("월1",$H492)),1,"")</f>
        <v/>
      </c>
      <c r="J492" s="319">
        <f>IF(OR(ISNUMBER(SEARCH("월2",$H492)),ISNUMBER(SEARCH("월1.2",$H492))),1,"")</f>
        <v/>
      </c>
      <c r="K492" s="319">
        <f>IF(OR(ISNUMBER(SEARCH("월3",$H492)),ISNUMBER(SEARCH("월1.3",$H492)),ISNUMBER(SEARCH("월2.3",$H492)),ISNUMBER(SEARCH("월1.2.3",$H492))),1,"")</f>
        <v/>
      </c>
      <c r="L492" s="319">
        <f>IF(ISNUMBER(SEARCH("화1",$H492)),1,"")</f>
        <v/>
      </c>
      <c r="M492" s="319">
        <f>IF(OR(ISNUMBER(SEARCH("화2",$H492)),ISNUMBER(SEARCH("화1.2",$H492))),1,"")</f>
        <v/>
      </c>
      <c r="N492" s="319">
        <f>IF(OR(ISNUMBER(SEARCH("화3",$H492)),ISNUMBER(SEARCH("화1.3",$H492)),ISNUMBER(SEARCH("화2.3",$H492)),ISNUMBER(SEARCH("화1.2.3",$H492))),1,"")</f>
        <v/>
      </c>
      <c r="O492" s="319">
        <f>IF(ISNUMBER(SEARCH("수1",$H492)),1,"")</f>
        <v/>
      </c>
      <c r="P492" s="319">
        <f>IF(OR(ISNUMBER(SEARCH("수2",$H492)),ISNUMBER(SEARCH("수1.2",$H492))),1,"")</f>
        <v/>
      </c>
      <c r="Q492" s="319">
        <f>IF(OR(ISNUMBER(SEARCH("수3",$H492)),ISNUMBER(SEARCH("수1.3",$H492)),ISNUMBER(SEARCH("수2.3",$H492)),ISNUMBER(SEARCH("수1.2.3",$H492))),1,"")</f>
        <v/>
      </c>
      <c r="R492" s="319">
        <f>IF(ISNUMBER(SEARCH("목1",$H492)),1,"")</f>
        <v/>
      </c>
      <c r="S492" s="319">
        <f>IF(OR(ISNUMBER(SEARCH("목2",$H492)),ISNUMBER(SEARCH("목1.2",$H492))),1,"")</f>
        <v/>
      </c>
      <c r="T492" s="319">
        <f>IF(OR(ISNUMBER(SEARCH("목3",$H492)),ISNUMBER(SEARCH("목1.3",$H492)),ISNUMBER(SEARCH("목2.3",$H492)),ISNUMBER(SEARCH("목1.2.3",$H492))),1,"")</f>
        <v/>
      </c>
      <c r="U492" s="319">
        <f>IF(ISNUMBER(SEARCH("금1",$H492)),1,"")</f>
        <v/>
      </c>
      <c r="V492" s="319">
        <f>IF(OR(ISNUMBER(SEARCH("금2",$H492)),ISNUMBER(SEARCH("금1.2",$H492))),1,"")</f>
        <v/>
      </c>
      <c r="W492" s="319">
        <f>IF(OR(ISNUMBER(SEARCH("금3",$H492)),ISNUMBER(SEARCH("금1.3",$H492)),ISNUMBER(SEARCH("금2.3",$H492)),ISNUMBER(SEARCH("금1.2.3",$H492))),1,"")</f>
        <v/>
      </c>
      <c r="X492" s="319">
        <f>IF(ISNUMBER(SEARCH("토1",$H492)),1,"")</f>
        <v/>
      </c>
      <c r="Y492" s="319">
        <f>IF(OR(ISNUMBER(SEARCH("토2",$H492)),ISNUMBER(SEARCH("토1.2",$H492))),1,"")</f>
        <v/>
      </c>
      <c r="Z492" s="319">
        <f>IF(OR(ISNUMBER(SEARCH("토3",$H492)),ISNUMBER(SEARCH("토1.3",$H492)),ISNUMBER(SEARCH("토2.3",$H492)),ISNUMBER(SEARCH("토1.2.3",$H492))),1,"")</f>
        <v/>
      </c>
      <c r="AA492" s="319">
        <f>IF(ISNUMBER(SEARCH("일1",$H492)),1,"")</f>
        <v/>
      </c>
      <c r="AB492" s="319">
        <f>IF(OR(ISNUMBER(SEARCH("일2",$H492)),ISNUMBER(SEARCH("일1.2",$H492))),1,"")</f>
        <v/>
      </c>
      <c r="AC492" s="319">
        <f>IF(OR(ISNUMBER(SEARCH("일3",$H492)),ISNUMBER(SEARCH("일1.3",$H492)),ISNUMBER(SEARCH("일2.3",$H492)),ISNUMBER(SEARCH("일1.2.3",$H492))),1,"")</f>
        <v/>
      </c>
      <c r="AD492" s="319">
        <f>SUM(I492:AC492)</f>
        <v/>
      </c>
      <c r="AE492" s="323" t="n"/>
    </row>
    <row r="493" ht="24" customHeight="1">
      <c r="A493" s="168" t="n"/>
      <c r="B493" s="319" t="n"/>
      <c r="C493" s="319" t="n"/>
      <c r="D493" s="319" t="n"/>
      <c r="E493" s="341" t="n"/>
      <c r="F493" s="341" t="n"/>
      <c r="G493" s="342" t="n"/>
      <c r="H493" s="322" t="n"/>
      <c r="I493" s="319">
        <f>IF(ISNUMBER(SEARCH("월1",$H493)),1,"")</f>
        <v/>
      </c>
      <c r="J493" s="319">
        <f>IF(OR(ISNUMBER(SEARCH("월2",$H493)),ISNUMBER(SEARCH("월1.2",$H493))),1,"")</f>
        <v/>
      </c>
      <c r="K493" s="319">
        <f>IF(OR(ISNUMBER(SEARCH("월3",$H493)),ISNUMBER(SEARCH("월1.3",$H493)),ISNUMBER(SEARCH("월2.3",$H493)),ISNUMBER(SEARCH("월1.2.3",$H493))),1,"")</f>
        <v/>
      </c>
      <c r="L493" s="319">
        <f>IF(ISNUMBER(SEARCH("화1",$H493)),1,"")</f>
        <v/>
      </c>
      <c r="M493" s="319">
        <f>IF(OR(ISNUMBER(SEARCH("화2",$H493)),ISNUMBER(SEARCH("화1.2",$H493))),1,"")</f>
        <v/>
      </c>
      <c r="N493" s="319">
        <f>IF(OR(ISNUMBER(SEARCH("화3",$H493)),ISNUMBER(SEARCH("화1.3",$H493)),ISNUMBER(SEARCH("화2.3",$H493)),ISNUMBER(SEARCH("화1.2.3",$H493))),1,"")</f>
        <v/>
      </c>
      <c r="O493" s="319">
        <f>IF(ISNUMBER(SEARCH("수1",$H493)),1,"")</f>
        <v/>
      </c>
      <c r="P493" s="319">
        <f>IF(OR(ISNUMBER(SEARCH("수2",$H493)),ISNUMBER(SEARCH("수1.2",$H493))),1,"")</f>
        <v/>
      </c>
      <c r="Q493" s="319">
        <f>IF(OR(ISNUMBER(SEARCH("수3",$H493)),ISNUMBER(SEARCH("수1.3",$H493)),ISNUMBER(SEARCH("수2.3",$H493)),ISNUMBER(SEARCH("수1.2.3",$H493))),1,"")</f>
        <v/>
      </c>
      <c r="R493" s="319">
        <f>IF(ISNUMBER(SEARCH("목1",$H493)),1,"")</f>
        <v/>
      </c>
      <c r="S493" s="319">
        <f>IF(OR(ISNUMBER(SEARCH("목2",$H493)),ISNUMBER(SEARCH("목1.2",$H493))),1,"")</f>
        <v/>
      </c>
      <c r="T493" s="319">
        <f>IF(OR(ISNUMBER(SEARCH("목3",$H493)),ISNUMBER(SEARCH("목1.3",$H493)),ISNUMBER(SEARCH("목2.3",$H493)),ISNUMBER(SEARCH("목1.2.3",$H493))),1,"")</f>
        <v/>
      </c>
      <c r="U493" s="319">
        <f>IF(ISNUMBER(SEARCH("금1",$H493)),1,"")</f>
        <v/>
      </c>
      <c r="V493" s="319">
        <f>IF(OR(ISNUMBER(SEARCH("금2",$H493)),ISNUMBER(SEARCH("금1.2",$H493))),1,"")</f>
        <v/>
      </c>
      <c r="W493" s="319">
        <f>IF(OR(ISNUMBER(SEARCH("금3",$H493)),ISNUMBER(SEARCH("금1.3",$H493)),ISNUMBER(SEARCH("금2.3",$H493)),ISNUMBER(SEARCH("금1.2.3",$H493))),1,"")</f>
        <v/>
      </c>
      <c r="X493" s="319">
        <f>IF(ISNUMBER(SEARCH("토1",$H493)),1,"")</f>
        <v/>
      </c>
      <c r="Y493" s="319">
        <f>IF(OR(ISNUMBER(SEARCH("토2",$H493)),ISNUMBER(SEARCH("토1.2",$H493))),1,"")</f>
        <v/>
      </c>
      <c r="Z493" s="319">
        <f>IF(OR(ISNUMBER(SEARCH("토3",$H493)),ISNUMBER(SEARCH("토1.3",$H493)),ISNUMBER(SEARCH("토2.3",$H493)),ISNUMBER(SEARCH("토1.2.3",$H493))),1,"")</f>
        <v/>
      </c>
      <c r="AA493" s="319">
        <f>IF(ISNUMBER(SEARCH("일1",$H493)),1,"")</f>
        <v/>
      </c>
      <c r="AB493" s="319">
        <f>IF(OR(ISNUMBER(SEARCH("일2",$H493)),ISNUMBER(SEARCH("일1.2",$H493))),1,"")</f>
        <v/>
      </c>
      <c r="AC493" s="319">
        <f>IF(OR(ISNUMBER(SEARCH("일3",$H493)),ISNUMBER(SEARCH("일1.3",$H493)),ISNUMBER(SEARCH("일2.3",$H493)),ISNUMBER(SEARCH("일1.2.3",$H493))),1,"")</f>
        <v/>
      </c>
      <c r="AD493" s="319">
        <f>SUM(I493:AC493)</f>
        <v/>
      </c>
      <c r="AE493" s="323" t="n"/>
    </row>
    <row r="494" ht="24" customHeight="1">
      <c r="A494" s="168" t="n"/>
      <c r="B494" s="319" t="n"/>
      <c r="C494" s="319" t="n"/>
      <c r="D494" s="319" t="n"/>
      <c r="E494" s="341" t="n"/>
      <c r="F494" s="341" t="n"/>
      <c r="G494" s="342" t="n"/>
      <c r="H494" s="322" t="n"/>
      <c r="I494" s="319">
        <f>IF(ISNUMBER(SEARCH("월1",$H494)),1,"")</f>
        <v/>
      </c>
      <c r="J494" s="319">
        <f>IF(OR(ISNUMBER(SEARCH("월2",$H494)),ISNUMBER(SEARCH("월1.2",$H494))),1,"")</f>
        <v/>
      </c>
      <c r="K494" s="319">
        <f>IF(OR(ISNUMBER(SEARCH("월3",$H494)),ISNUMBER(SEARCH("월1.3",$H494)),ISNUMBER(SEARCH("월2.3",$H494)),ISNUMBER(SEARCH("월1.2.3",$H494))),1,"")</f>
        <v/>
      </c>
      <c r="L494" s="319">
        <f>IF(ISNUMBER(SEARCH("화1",$H494)),1,"")</f>
        <v/>
      </c>
      <c r="M494" s="319">
        <f>IF(OR(ISNUMBER(SEARCH("화2",$H494)),ISNUMBER(SEARCH("화1.2",$H494))),1,"")</f>
        <v/>
      </c>
      <c r="N494" s="319">
        <f>IF(OR(ISNUMBER(SEARCH("화3",$H494)),ISNUMBER(SEARCH("화1.3",$H494)),ISNUMBER(SEARCH("화2.3",$H494)),ISNUMBER(SEARCH("화1.2.3",$H494))),1,"")</f>
        <v/>
      </c>
      <c r="O494" s="319">
        <f>IF(ISNUMBER(SEARCH("수1",$H494)),1,"")</f>
        <v/>
      </c>
      <c r="P494" s="319">
        <f>IF(OR(ISNUMBER(SEARCH("수2",$H494)),ISNUMBER(SEARCH("수1.2",$H494))),1,"")</f>
        <v/>
      </c>
      <c r="Q494" s="319">
        <f>IF(OR(ISNUMBER(SEARCH("수3",$H494)),ISNUMBER(SEARCH("수1.3",$H494)),ISNUMBER(SEARCH("수2.3",$H494)),ISNUMBER(SEARCH("수1.2.3",$H494))),1,"")</f>
        <v/>
      </c>
      <c r="R494" s="319">
        <f>IF(ISNUMBER(SEARCH("목1",$H494)),1,"")</f>
        <v/>
      </c>
      <c r="S494" s="319">
        <f>IF(OR(ISNUMBER(SEARCH("목2",$H494)),ISNUMBER(SEARCH("목1.2",$H494))),1,"")</f>
        <v/>
      </c>
      <c r="T494" s="319">
        <f>IF(OR(ISNUMBER(SEARCH("목3",$H494)),ISNUMBER(SEARCH("목1.3",$H494)),ISNUMBER(SEARCH("목2.3",$H494)),ISNUMBER(SEARCH("목1.2.3",$H494))),1,"")</f>
        <v/>
      </c>
      <c r="U494" s="319">
        <f>IF(ISNUMBER(SEARCH("금1",$H494)),1,"")</f>
        <v/>
      </c>
      <c r="V494" s="319">
        <f>IF(OR(ISNUMBER(SEARCH("금2",$H494)),ISNUMBER(SEARCH("금1.2",$H494))),1,"")</f>
        <v/>
      </c>
      <c r="W494" s="319">
        <f>IF(OR(ISNUMBER(SEARCH("금3",$H494)),ISNUMBER(SEARCH("금1.3",$H494)),ISNUMBER(SEARCH("금2.3",$H494)),ISNUMBER(SEARCH("금1.2.3",$H494))),1,"")</f>
        <v/>
      </c>
      <c r="X494" s="319">
        <f>IF(ISNUMBER(SEARCH("토1",$H494)),1,"")</f>
        <v/>
      </c>
      <c r="Y494" s="319">
        <f>IF(OR(ISNUMBER(SEARCH("토2",$H494)),ISNUMBER(SEARCH("토1.2",$H494))),1,"")</f>
        <v/>
      </c>
      <c r="Z494" s="319">
        <f>IF(OR(ISNUMBER(SEARCH("토3",$H494)),ISNUMBER(SEARCH("토1.3",$H494)),ISNUMBER(SEARCH("토2.3",$H494)),ISNUMBER(SEARCH("토1.2.3",$H494))),1,"")</f>
        <v/>
      </c>
      <c r="AA494" s="319">
        <f>IF(ISNUMBER(SEARCH("일1",$H494)),1,"")</f>
        <v/>
      </c>
      <c r="AB494" s="319">
        <f>IF(OR(ISNUMBER(SEARCH("일2",$H494)),ISNUMBER(SEARCH("일1.2",$H494))),1,"")</f>
        <v/>
      </c>
      <c r="AC494" s="319">
        <f>IF(OR(ISNUMBER(SEARCH("일3",$H494)),ISNUMBER(SEARCH("일1.3",$H494)),ISNUMBER(SEARCH("일2.3",$H494)),ISNUMBER(SEARCH("일1.2.3",$H494))),1,"")</f>
        <v/>
      </c>
      <c r="AD494" s="319">
        <f>SUM(I494:AC494)</f>
        <v/>
      </c>
      <c r="AE494" s="323" t="n"/>
    </row>
    <row r="495" ht="24" customHeight="1">
      <c r="A495" s="168" t="n"/>
      <c r="B495" s="319" t="n"/>
      <c r="C495" s="319" t="n"/>
      <c r="D495" s="319" t="n"/>
      <c r="E495" s="341" t="n"/>
      <c r="F495" s="341" t="n"/>
      <c r="G495" s="342" t="n"/>
      <c r="H495" s="322" t="n"/>
      <c r="I495" s="319">
        <f>IF(ISNUMBER(SEARCH("월1",$H495)),1,"")</f>
        <v/>
      </c>
      <c r="J495" s="319">
        <f>IF(OR(ISNUMBER(SEARCH("월2",$H495)),ISNUMBER(SEARCH("월1.2",$H495))),1,"")</f>
        <v/>
      </c>
      <c r="K495" s="319">
        <f>IF(OR(ISNUMBER(SEARCH("월3",$H495)),ISNUMBER(SEARCH("월1.3",$H495)),ISNUMBER(SEARCH("월2.3",$H495)),ISNUMBER(SEARCH("월1.2.3",$H495))),1,"")</f>
        <v/>
      </c>
      <c r="L495" s="319">
        <f>IF(ISNUMBER(SEARCH("화1",$H495)),1,"")</f>
        <v/>
      </c>
      <c r="M495" s="319">
        <f>IF(OR(ISNUMBER(SEARCH("화2",$H495)),ISNUMBER(SEARCH("화1.2",$H495))),1,"")</f>
        <v/>
      </c>
      <c r="N495" s="319">
        <f>IF(OR(ISNUMBER(SEARCH("화3",$H495)),ISNUMBER(SEARCH("화1.3",$H495)),ISNUMBER(SEARCH("화2.3",$H495)),ISNUMBER(SEARCH("화1.2.3",$H495))),1,"")</f>
        <v/>
      </c>
      <c r="O495" s="319">
        <f>IF(ISNUMBER(SEARCH("수1",$H495)),1,"")</f>
        <v/>
      </c>
      <c r="P495" s="319">
        <f>IF(OR(ISNUMBER(SEARCH("수2",$H495)),ISNUMBER(SEARCH("수1.2",$H495))),1,"")</f>
        <v/>
      </c>
      <c r="Q495" s="319">
        <f>IF(OR(ISNUMBER(SEARCH("수3",$H495)),ISNUMBER(SEARCH("수1.3",$H495)),ISNUMBER(SEARCH("수2.3",$H495)),ISNUMBER(SEARCH("수1.2.3",$H495))),1,"")</f>
        <v/>
      </c>
      <c r="R495" s="319">
        <f>IF(ISNUMBER(SEARCH("목1",$H495)),1,"")</f>
        <v/>
      </c>
      <c r="S495" s="319">
        <f>IF(OR(ISNUMBER(SEARCH("목2",$H495)),ISNUMBER(SEARCH("목1.2",$H495))),1,"")</f>
        <v/>
      </c>
      <c r="T495" s="319">
        <f>IF(OR(ISNUMBER(SEARCH("목3",$H495)),ISNUMBER(SEARCH("목1.3",$H495)),ISNUMBER(SEARCH("목2.3",$H495)),ISNUMBER(SEARCH("목1.2.3",$H495))),1,"")</f>
        <v/>
      </c>
      <c r="U495" s="319">
        <f>IF(ISNUMBER(SEARCH("금1",$H495)),1,"")</f>
        <v/>
      </c>
      <c r="V495" s="319">
        <f>IF(OR(ISNUMBER(SEARCH("금2",$H495)),ISNUMBER(SEARCH("금1.2",$H495))),1,"")</f>
        <v/>
      </c>
      <c r="W495" s="319">
        <f>IF(OR(ISNUMBER(SEARCH("금3",$H495)),ISNUMBER(SEARCH("금1.3",$H495)),ISNUMBER(SEARCH("금2.3",$H495)),ISNUMBER(SEARCH("금1.2.3",$H495))),1,"")</f>
        <v/>
      </c>
      <c r="X495" s="319">
        <f>IF(ISNUMBER(SEARCH("토1",$H495)),1,"")</f>
        <v/>
      </c>
      <c r="Y495" s="319">
        <f>IF(OR(ISNUMBER(SEARCH("토2",$H495)),ISNUMBER(SEARCH("토1.2",$H495))),1,"")</f>
        <v/>
      </c>
      <c r="Z495" s="319">
        <f>IF(OR(ISNUMBER(SEARCH("토3",$H495)),ISNUMBER(SEARCH("토1.3",$H495)),ISNUMBER(SEARCH("토2.3",$H495)),ISNUMBER(SEARCH("토1.2.3",$H495))),1,"")</f>
        <v/>
      </c>
      <c r="AA495" s="319">
        <f>IF(ISNUMBER(SEARCH("일1",$H495)),1,"")</f>
        <v/>
      </c>
      <c r="AB495" s="319">
        <f>IF(OR(ISNUMBER(SEARCH("일2",$H495)),ISNUMBER(SEARCH("일1.2",$H495))),1,"")</f>
        <v/>
      </c>
      <c r="AC495" s="319">
        <f>IF(OR(ISNUMBER(SEARCH("일3",$H495)),ISNUMBER(SEARCH("일1.3",$H495)),ISNUMBER(SEARCH("일2.3",$H495)),ISNUMBER(SEARCH("일1.2.3",$H495))),1,"")</f>
        <v/>
      </c>
      <c r="AD495" s="319">
        <f>SUM(I495:AC495)</f>
        <v/>
      </c>
      <c r="AE495" s="323" t="n"/>
    </row>
    <row r="496" ht="24" customHeight="1">
      <c r="A496" s="168" t="n"/>
      <c r="B496" s="319" t="n"/>
      <c r="C496" s="319" t="n"/>
      <c r="D496" s="319" t="n"/>
      <c r="E496" s="341" t="n"/>
      <c r="F496" s="341" t="n"/>
      <c r="G496" s="342" t="n"/>
      <c r="H496" s="322" t="n"/>
      <c r="I496" s="319">
        <f>IF(ISNUMBER(SEARCH("월1",$H496)),1,"")</f>
        <v/>
      </c>
      <c r="J496" s="319">
        <f>IF(OR(ISNUMBER(SEARCH("월2",$H496)),ISNUMBER(SEARCH("월1.2",$H496))),1,"")</f>
        <v/>
      </c>
      <c r="K496" s="319">
        <f>IF(OR(ISNUMBER(SEARCH("월3",$H496)),ISNUMBER(SEARCH("월1.3",$H496)),ISNUMBER(SEARCH("월2.3",$H496)),ISNUMBER(SEARCH("월1.2.3",$H496))),1,"")</f>
        <v/>
      </c>
      <c r="L496" s="319">
        <f>IF(ISNUMBER(SEARCH("화1",$H496)),1,"")</f>
        <v/>
      </c>
      <c r="M496" s="319">
        <f>IF(OR(ISNUMBER(SEARCH("화2",$H496)),ISNUMBER(SEARCH("화1.2",$H496))),1,"")</f>
        <v/>
      </c>
      <c r="N496" s="319">
        <f>IF(OR(ISNUMBER(SEARCH("화3",$H496)),ISNUMBER(SEARCH("화1.3",$H496)),ISNUMBER(SEARCH("화2.3",$H496)),ISNUMBER(SEARCH("화1.2.3",$H496))),1,"")</f>
        <v/>
      </c>
      <c r="O496" s="319">
        <f>IF(ISNUMBER(SEARCH("수1",$H496)),1,"")</f>
        <v/>
      </c>
      <c r="P496" s="319">
        <f>IF(OR(ISNUMBER(SEARCH("수2",$H496)),ISNUMBER(SEARCH("수1.2",$H496))),1,"")</f>
        <v/>
      </c>
      <c r="Q496" s="319">
        <f>IF(OR(ISNUMBER(SEARCH("수3",$H496)),ISNUMBER(SEARCH("수1.3",$H496)),ISNUMBER(SEARCH("수2.3",$H496)),ISNUMBER(SEARCH("수1.2.3",$H496))),1,"")</f>
        <v/>
      </c>
      <c r="R496" s="319">
        <f>IF(ISNUMBER(SEARCH("목1",$H496)),1,"")</f>
        <v/>
      </c>
      <c r="S496" s="319">
        <f>IF(OR(ISNUMBER(SEARCH("목2",$H496)),ISNUMBER(SEARCH("목1.2",$H496))),1,"")</f>
        <v/>
      </c>
      <c r="T496" s="319">
        <f>IF(OR(ISNUMBER(SEARCH("목3",$H496)),ISNUMBER(SEARCH("목1.3",$H496)),ISNUMBER(SEARCH("목2.3",$H496)),ISNUMBER(SEARCH("목1.2.3",$H496))),1,"")</f>
        <v/>
      </c>
      <c r="U496" s="319">
        <f>IF(ISNUMBER(SEARCH("금1",$H496)),1,"")</f>
        <v/>
      </c>
      <c r="V496" s="319">
        <f>IF(OR(ISNUMBER(SEARCH("금2",$H496)),ISNUMBER(SEARCH("금1.2",$H496))),1,"")</f>
        <v/>
      </c>
      <c r="W496" s="319">
        <f>IF(OR(ISNUMBER(SEARCH("금3",$H496)),ISNUMBER(SEARCH("금1.3",$H496)),ISNUMBER(SEARCH("금2.3",$H496)),ISNUMBER(SEARCH("금1.2.3",$H496))),1,"")</f>
        <v/>
      </c>
      <c r="X496" s="319">
        <f>IF(ISNUMBER(SEARCH("토1",$H496)),1,"")</f>
        <v/>
      </c>
      <c r="Y496" s="319">
        <f>IF(OR(ISNUMBER(SEARCH("토2",$H496)),ISNUMBER(SEARCH("토1.2",$H496))),1,"")</f>
        <v/>
      </c>
      <c r="Z496" s="319">
        <f>IF(OR(ISNUMBER(SEARCH("토3",$H496)),ISNUMBER(SEARCH("토1.3",$H496)),ISNUMBER(SEARCH("토2.3",$H496)),ISNUMBER(SEARCH("토1.2.3",$H496))),1,"")</f>
        <v/>
      </c>
      <c r="AA496" s="319">
        <f>IF(ISNUMBER(SEARCH("일1",$H496)),1,"")</f>
        <v/>
      </c>
      <c r="AB496" s="319">
        <f>IF(OR(ISNUMBER(SEARCH("일2",$H496)),ISNUMBER(SEARCH("일1.2",$H496))),1,"")</f>
        <v/>
      </c>
      <c r="AC496" s="319">
        <f>IF(OR(ISNUMBER(SEARCH("일3",$H496)),ISNUMBER(SEARCH("일1.3",$H496)),ISNUMBER(SEARCH("일2.3",$H496)),ISNUMBER(SEARCH("일1.2.3",$H496))),1,"")</f>
        <v/>
      </c>
      <c r="AD496" s="319">
        <f>SUM(I496:AC496)</f>
        <v/>
      </c>
      <c r="AE496" s="323" t="n"/>
    </row>
    <row r="497" ht="24" customHeight="1">
      <c r="A497" s="168" t="n"/>
      <c r="B497" s="319" t="n"/>
      <c r="C497" s="319" t="n"/>
      <c r="D497" s="319" t="n"/>
      <c r="E497" s="341" t="n"/>
      <c r="F497" s="341" t="n"/>
      <c r="G497" s="342" t="n"/>
      <c r="H497" s="322" t="n"/>
      <c r="I497" s="319">
        <f>IF(ISNUMBER(SEARCH("월1",$H497)),1,"")</f>
        <v/>
      </c>
      <c r="J497" s="319">
        <f>IF(OR(ISNUMBER(SEARCH("월2",$H497)),ISNUMBER(SEARCH("월1.2",$H497))),1,"")</f>
        <v/>
      </c>
      <c r="K497" s="319">
        <f>IF(OR(ISNUMBER(SEARCH("월3",$H497)),ISNUMBER(SEARCH("월1.3",$H497)),ISNUMBER(SEARCH("월2.3",$H497)),ISNUMBER(SEARCH("월1.2.3",$H497))),1,"")</f>
        <v/>
      </c>
      <c r="L497" s="319">
        <f>IF(ISNUMBER(SEARCH("화1",$H497)),1,"")</f>
        <v/>
      </c>
      <c r="M497" s="319">
        <f>IF(OR(ISNUMBER(SEARCH("화2",$H497)),ISNUMBER(SEARCH("화1.2",$H497))),1,"")</f>
        <v/>
      </c>
      <c r="N497" s="319">
        <f>IF(OR(ISNUMBER(SEARCH("화3",$H497)),ISNUMBER(SEARCH("화1.3",$H497)),ISNUMBER(SEARCH("화2.3",$H497)),ISNUMBER(SEARCH("화1.2.3",$H497))),1,"")</f>
        <v/>
      </c>
      <c r="O497" s="319">
        <f>IF(ISNUMBER(SEARCH("수1",$H497)),1,"")</f>
        <v/>
      </c>
      <c r="P497" s="319">
        <f>IF(OR(ISNUMBER(SEARCH("수2",$H497)),ISNUMBER(SEARCH("수1.2",$H497))),1,"")</f>
        <v/>
      </c>
      <c r="Q497" s="319">
        <f>IF(OR(ISNUMBER(SEARCH("수3",$H497)),ISNUMBER(SEARCH("수1.3",$H497)),ISNUMBER(SEARCH("수2.3",$H497)),ISNUMBER(SEARCH("수1.2.3",$H497))),1,"")</f>
        <v/>
      </c>
      <c r="R497" s="319">
        <f>IF(ISNUMBER(SEARCH("목1",$H497)),1,"")</f>
        <v/>
      </c>
      <c r="S497" s="319">
        <f>IF(OR(ISNUMBER(SEARCH("목2",$H497)),ISNUMBER(SEARCH("목1.2",$H497))),1,"")</f>
        <v/>
      </c>
      <c r="T497" s="319">
        <f>IF(OR(ISNUMBER(SEARCH("목3",$H497)),ISNUMBER(SEARCH("목1.3",$H497)),ISNUMBER(SEARCH("목2.3",$H497)),ISNUMBER(SEARCH("목1.2.3",$H497))),1,"")</f>
        <v/>
      </c>
      <c r="U497" s="319">
        <f>IF(ISNUMBER(SEARCH("금1",$H497)),1,"")</f>
        <v/>
      </c>
      <c r="V497" s="319">
        <f>IF(OR(ISNUMBER(SEARCH("금2",$H497)),ISNUMBER(SEARCH("금1.2",$H497))),1,"")</f>
        <v/>
      </c>
      <c r="W497" s="319">
        <f>IF(OR(ISNUMBER(SEARCH("금3",$H497)),ISNUMBER(SEARCH("금1.3",$H497)),ISNUMBER(SEARCH("금2.3",$H497)),ISNUMBER(SEARCH("금1.2.3",$H497))),1,"")</f>
        <v/>
      </c>
      <c r="X497" s="319">
        <f>IF(ISNUMBER(SEARCH("토1",$H497)),1,"")</f>
        <v/>
      </c>
      <c r="Y497" s="319">
        <f>IF(OR(ISNUMBER(SEARCH("토2",$H497)),ISNUMBER(SEARCH("토1.2",$H497))),1,"")</f>
        <v/>
      </c>
      <c r="Z497" s="319">
        <f>IF(OR(ISNUMBER(SEARCH("토3",$H497)),ISNUMBER(SEARCH("토1.3",$H497)),ISNUMBER(SEARCH("토2.3",$H497)),ISNUMBER(SEARCH("토1.2.3",$H497))),1,"")</f>
        <v/>
      </c>
      <c r="AA497" s="319">
        <f>IF(ISNUMBER(SEARCH("일1",$H497)),1,"")</f>
        <v/>
      </c>
      <c r="AB497" s="319">
        <f>IF(OR(ISNUMBER(SEARCH("일2",$H497)),ISNUMBER(SEARCH("일1.2",$H497))),1,"")</f>
        <v/>
      </c>
      <c r="AC497" s="319">
        <f>IF(OR(ISNUMBER(SEARCH("일3",$H497)),ISNUMBER(SEARCH("일1.3",$H497)),ISNUMBER(SEARCH("일2.3",$H497)),ISNUMBER(SEARCH("일1.2.3",$H497))),1,"")</f>
        <v/>
      </c>
      <c r="AD497" s="319">
        <f>SUM(I497:AC497)</f>
        <v/>
      </c>
      <c r="AE497" s="323" t="n"/>
    </row>
    <row r="498" ht="24" customHeight="1">
      <c r="A498" s="168" t="n"/>
      <c r="B498" s="319" t="n"/>
      <c r="C498" s="319" t="n"/>
      <c r="D498" s="319" t="n"/>
      <c r="E498" s="341" t="n"/>
      <c r="F498" s="341" t="n"/>
      <c r="G498" s="342" t="n"/>
      <c r="H498" s="322" t="n"/>
      <c r="I498" s="319">
        <f>IF(ISNUMBER(SEARCH("월1",$H498)),1,"")</f>
        <v/>
      </c>
      <c r="J498" s="319">
        <f>IF(OR(ISNUMBER(SEARCH("월2",$H498)),ISNUMBER(SEARCH("월1.2",$H498))),1,"")</f>
        <v/>
      </c>
      <c r="K498" s="319">
        <f>IF(OR(ISNUMBER(SEARCH("월3",$H498)),ISNUMBER(SEARCH("월1.3",$H498)),ISNUMBER(SEARCH("월2.3",$H498)),ISNUMBER(SEARCH("월1.2.3",$H498))),1,"")</f>
        <v/>
      </c>
      <c r="L498" s="319">
        <f>IF(ISNUMBER(SEARCH("화1",$H498)),1,"")</f>
        <v/>
      </c>
      <c r="M498" s="319">
        <f>IF(OR(ISNUMBER(SEARCH("화2",$H498)),ISNUMBER(SEARCH("화1.2",$H498))),1,"")</f>
        <v/>
      </c>
      <c r="N498" s="319">
        <f>IF(OR(ISNUMBER(SEARCH("화3",$H498)),ISNUMBER(SEARCH("화1.3",$H498)),ISNUMBER(SEARCH("화2.3",$H498)),ISNUMBER(SEARCH("화1.2.3",$H498))),1,"")</f>
        <v/>
      </c>
      <c r="O498" s="319">
        <f>IF(ISNUMBER(SEARCH("수1",$H498)),1,"")</f>
        <v/>
      </c>
      <c r="P498" s="319">
        <f>IF(OR(ISNUMBER(SEARCH("수2",$H498)),ISNUMBER(SEARCH("수1.2",$H498))),1,"")</f>
        <v/>
      </c>
      <c r="Q498" s="319">
        <f>IF(OR(ISNUMBER(SEARCH("수3",$H498)),ISNUMBER(SEARCH("수1.3",$H498)),ISNUMBER(SEARCH("수2.3",$H498)),ISNUMBER(SEARCH("수1.2.3",$H498))),1,"")</f>
        <v/>
      </c>
      <c r="R498" s="319">
        <f>IF(ISNUMBER(SEARCH("목1",$H498)),1,"")</f>
        <v/>
      </c>
      <c r="S498" s="319">
        <f>IF(OR(ISNUMBER(SEARCH("목2",$H498)),ISNUMBER(SEARCH("목1.2",$H498))),1,"")</f>
        <v/>
      </c>
      <c r="T498" s="319">
        <f>IF(OR(ISNUMBER(SEARCH("목3",$H498)),ISNUMBER(SEARCH("목1.3",$H498)),ISNUMBER(SEARCH("목2.3",$H498)),ISNUMBER(SEARCH("목1.2.3",$H498))),1,"")</f>
        <v/>
      </c>
      <c r="U498" s="319">
        <f>IF(ISNUMBER(SEARCH("금1",$H498)),1,"")</f>
        <v/>
      </c>
      <c r="V498" s="319">
        <f>IF(OR(ISNUMBER(SEARCH("금2",$H498)),ISNUMBER(SEARCH("금1.2",$H498))),1,"")</f>
        <v/>
      </c>
      <c r="W498" s="319">
        <f>IF(OR(ISNUMBER(SEARCH("금3",$H498)),ISNUMBER(SEARCH("금1.3",$H498)),ISNUMBER(SEARCH("금2.3",$H498)),ISNUMBER(SEARCH("금1.2.3",$H498))),1,"")</f>
        <v/>
      </c>
      <c r="X498" s="319">
        <f>IF(ISNUMBER(SEARCH("토1",$H498)),1,"")</f>
        <v/>
      </c>
      <c r="Y498" s="319">
        <f>IF(OR(ISNUMBER(SEARCH("토2",$H498)),ISNUMBER(SEARCH("토1.2",$H498))),1,"")</f>
        <v/>
      </c>
      <c r="Z498" s="319">
        <f>IF(OR(ISNUMBER(SEARCH("토3",$H498)),ISNUMBER(SEARCH("토1.3",$H498)),ISNUMBER(SEARCH("토2.3",$H498)),ISNUMBER(SEARCH("토1.2.3",$H498))),1,"")</f>
        <v/>
      </c>
      <c r="AA498" s="319">
        <f>IF(ISNUMBER(SEARCH("일1",$H498)),1,"")</f>
        <v/>
      </c>
      <c r="AB498" s="319">
        <f>IF(OR(ISNUMBER(SEARCH("일2",$H498)),ISNUMBER(SEARCH("일1.2",$H498))),1,"")</f>
        <v/>
      </c>
      <c r="AC498" s="319">
        <f>IF(OR(ISNUMBER(SEARCH("일3",$H498)),ISNUMBER(SEARCH("일1.3",$H498)),ISNUMBER(SEARCH("일2.3",$H498)),ISNUMBER(SEARCH("일1.2.3",$H498))),1,"")</f>
        <v/>
      </c>
      <c r="AD498" s="319">
        <f>SUM(I498:AC498)</f>
        <v/>
      </c>
      <c r="AE498" s="323" t="n"/>
    </row>
    <row r="499" ht="24" customHeight="1">
      <c r="A499" s="168" t="n"/>
      <c r="B499" s="319" t="n"/>
      <c r="C499" s="319" t="n"/>
      <c r="D499" s="319" t="n"/>
      <c r="E499" s="341" t="n"/>
      <c r="F499" s="341" t="n"/>
      <c r="G499" s="342" t="n"/>
      <c r="H499" s="322" t="n"/>
      <c r="I499" s="319">
        <f>IF(ISNUMBER(SEARCH("월1",$H499)),1,"")</f>
        <v/>
      </c>
      <c r="J499" s="319">
        <f>IF(OR(ISNUMBER(SEARCH("월2",$H499)),ISNUMBER(SEARCH("월1.2",$H499))),1,"")</f>
        <v/>
      </c>
      <c r="K499" s="319">
        <f>IF(OR(ISNUMBER(SEARCH("월3",$H499)),ISNUMBER(SEARCH("월1.3",$H499)),ISNUMBER(SEARCH("월2.3",$H499)),ISNUMBER(SEARCH("월1.2.3",$H499))),1,"")</f>
        <v/>
      </c>
      <c r="L499" s="319">
        <f>IF(ISNUMBER(SEARCH("화1",$H499)),1,"")</f>
        <v/>
      </c>
      <c r="M499" s="319">
        <f>IF(OR(ISNUMBER(SEARCH("화2",$H499)),ISNUMBER(SEARCH("화1.2",$H499))),1,"")</f>
        <v/>
      </c>
      <c r="N499" s="319">
        <f>IF(OR(ISNUMBER(SEARCH("화3",$H499)),ISNUMBER(SEARCH("화1.3",$H499)),ISNUMBER(SEARCH("화2.3",$H499)),ISNUMBER(SEARCH("화1.2.3",$H499))),1,"")</f>
        <v/>
      </c>
      <c r="O499" s="319">
        <f>IF(ISNUMBER(SEARCH("수1",$H499)),1,"")</f>
        <v/>
      </c>
      <c r="P499" s="319">
        <f>IF(OR(ISNUMBER(SEARCH("수2",$H499)),ISNUMBER(SEARCH("수1.2",$H499))),1,"")</f>
        <v/>
      </c>
      <c r="Q499" s="319">
        <f>IF(OR(ISNUMBER(SEARCH("수3",$H499)),ISNUMBER(SEARCH("수1.3",$H499)),ISNUMBER(SEARCH("수2.3",$H499)),ISNUMBER(SEARCH("수1.2.3",$H499))),1,"")</f>
        <v/>
      </c>
      <c r="R499" s="319">
        <f>IF(ISNUMBER(SEARCH("목1",$H499)),1,"")</f>
        <v/>
      </c>
      <c r="S499" s="319">
        <f>IF(OR(ISNUMBER(SEARCH("목2",$H499)),ISNUMBER(SEARCH("목1.2",$H499))),1,"")</f>
        <v/>
      </c>
      <c r="T499" s="319">
        <f>IF(OR(ISNUMBER(SEARCH("목3",$H499)),ISNUMBER(SEARCH("목1.3",$H499)),ISNUMBER(SEARCH("목2.3",$H499)),ISNUMBER(SEARCH("목1.2.3",$H499))),1,"")</f>
        <v/>
      </c>
      <c r="U499" s="319">
        <f>IF(ISNUMBER(SEARCH("금1",$H499)),1,"")</f>
        <v/>
      </c>
      <c r="V499" s="319">
        <f>IF(OR(ISNUMBER(SEARCH("금2",$H499)),ISNUMBER(SEARCH("금1.2",$H499))),1,"")</f>
        <v/>
      </c>
      <c r="W499" s="319">
        <f>IF(OR(ISNUMBER(SEARCH("금3",$H499)),ISNUMBER(SEARCH("금1.3",$H499)),ISNUMBER(SEARCH("금2.3",$H499)),ISNUMBER(SEARCH("금1.2.3",$H499))),1,"")</f>
        <v/>
      </c>
      <c r="X499" s="319">
        <f>IF(ISNUMBER(SEARCH("토1",$H499)),1,"")</f>
        <v/>
      </c>
      <c r="Y499" s="319">
        <f>IF(OR(ISNUMBER(SEARCH("토2",$H499)),ISNUMBER(SEARCH("토1.2",$H499))),1,"")</f>
        <v/>
      </c>
      <c r="Z499" s="319">
        <f>IF(OR(ISNUMBER(SEARCH("토3",$H499)),ISNUMBER(SEARCH("토1.3",$H499)),ISNUMBER(SEARCH("토2.3",$H499)),ISNUMBER(SEARCH("토1.2.3",$H499))),1,"")</f>
        <v/>
      </c>
      <c r="AA499" s="319">
        <f>IF(ISNUMBER(SEARCH("일1",$H499)),1,"")</f>
        <v/>
      </c>
      <c r="AB499" s="319">
        <f>IF(OR(ISNUMBER(SEARCH("일2",$H499)),ISNUMBER(SEARCH("일1.2",$H499))),1,"")</f>
        <v/>
      </c>
      <c r="AC499" s="319">
        <f>IF(OR(ISNUMBER(SEARCH("일3",$H499)),ISNUMBER(SEARCH("일1.3",$H499)),ISNUMBER(SEARCH("일2.3",$H499)),ISNUMBER(SEARCH("일1.2.3",$H499))),1,"")</f>
        <v/>
      </c>
      <c r="AD499" s="319">
        <f>SUM(I499:AC499)</f>
        <v/>
      </c>
      <c r="AE499" s="323" t="n"/>
    </row>
    <row r="500" ht="24" customHeight="1">
      <c r="A500" s="168" t="n"/>
      <c r="B500" s="319" t="n"/>
      <c r="C500" s="319" t="n"/>
      <c r="D500" s="319" t="n"/>
      <c r="E500" s="341" t="n"/>
      <c r="F500" s="341" t="n"/>
      <c r="G500" s="342" t="n"/>
      <c r="H500" s="322" t="n"/>
      <c r="I500" s="319">
        <f>IF(ISNUMBER(SEARCH("월1",$H500)),1,"")</f>
        <v/>
      </c>
      <c r="J500" s="319">
        <f>IF(OR(ISNUMBER(SEARCH("월2",$H500)),ISNUMBER(SEARCH("월1.2",$H500))),1,"")</f>
        <v/>
      </c>
      <c r="K500" s="319">
        <f>IF(OR(ISNUMBER(SEARCH("월3",$H500)),ISNUMBER(SEARCH("월1.3",$H500)),ISNUMBER(SEARCH("월2.3",$H500)),ISNUMBER(SEARCH("월1.2.3",$H500))),1,"")</f>
        <v/>
      </c>
      <c r="L500" s="319">
        <f>IF(ISNUMBER(SEARCH("화1",$H500)),1,"")</f>
        <v/>
      </c>
      <c r="M500" s="319">
        <f>IF(OR(ISNUMBER(SEARCH("화2",$H500)),ISNUMBER(SEARCH("화1.2",$H500))),1,"")</f>
        <v/>
      </c>
      <c r="N500" s="319">
        <f>IF(OR(ISNUMBER(SEARCH("화3",$H500)),ISNUMBER(SEARCH("화1.3",$H500)),ISNUMBER(SEARCH("화2.3",$H500)),ISNUMBER(SEARCH("화1.2.3",$H500))),1,"")</f>
        <v/>
      </c>
      <c r="O500" s="319">
        <f>IF(ISNUMBER(SEARCH("수1",$H500)),1,"")</f>
        <v/>
      </c>
      <c r="P500" s="319">
        <f>IF(OR(ISNUMBER(SEARCH("수2",$H500)),ISNUMBER(SEARCH("수1.2",$H500))),1,"")</f>
        <v/>
      </c>
      <c r="Q500" s="319">
        <f>IF(OR(ISNUMBER(SEARCH("수3",$H500)),ISNUMBER(SEARCH("수1.3",$H500)),ISNUMBER(SEARCH("수2.3",$H500)),ISNUMBER(SEARCH("수1.2.3",$H500))),1,"")</f>
        <v/>
      </c>
      <c r="R500" s="319">
        <f>IF(ISNUMBER(SEARCH("목1",$H500)),1,"")</f>
        <v/>
      </c>
      <c r="S500" s="319">
        <f>IF(OR(ISNUMBER(SEARCH("목2",$H500)),ISNUMBER(SEARCH("목1.2",$H500))),1,"")</f>
        <v/>
      </c>
      <c r="T500" s="319">
        <f>IF(OR(ISNUMBER(SEARCH("목3",$H500)),ISNUMBER(SEARCH("목1.3",$H500)),ISNUMBER(SEARCH("목2.3",$H500)),ISNUMBER(SEARCH("목1.2.3",$H500))),1,"")</f>
        <v/>
      </c>
      <c r="U500" s="319">
        <f>IF(ISNUMBER(SEARCH("금1",$H500)),1,"")</f>
        <v/>
      </c>
      <c r="V500" s="319">
        <f>IF(OR(ISNUMBER(SEARCH("금2",$H500)),ISNUMBER(SEARCH("금1.2",$H500))),1,"")</f>
        <v/>
      </c>
      <c r="W500" s="319">
        <f>IF(OR(ISNUMBER(SEARCH("금3",$H500)),ISNUMBER(SEARCH("금1.3",$H500)),ISNUMBER(SEARCH("금2.3",$H500)),ISNUMBER(SEARCH("금1.2.3",$H500))),1,"")</f>
        <v/>
      </c>
      <c r="X500" s="319">
        <f>IF(ISNUMBER(SEARCH("토1",$H500)),1,"")</f>
        <v/>
      </c>
      <c r="Y500" s="319">
        <f>IF(OR(ISNUMBER(SEARCH("토2",$H500)),ISNUMBER(SEARCH("토1.2",$H500))),1,"")</f>
        <v/>
      </c>
      <c r="Z500" s="319">
        <f>IF(OR(ISNUMBER(SEARCH("토3",$H500)),ISNUMBER(SEARCH("토1.3",$H500)),ISNUMBER(SEARCH("토2.3",$H500)),ISNUMBER(SEARCH("토1.2.3",$H500))),1,"")</f>
        <v/>
      </c>
      <c r="AA500" s="319">
        <f>IF(ISNUMBER(SEARCH("일1",$H500)),1,"")</f>
        <v/>
      </c>
      <c r="AB500" s="319">
        <f>IF(OR(ISNUMBER(SEARCH("일2",$H500)),ISNUMBER(SEARCH("일1.2",$H500))),1,"")</f>
        <v/>
      </c>
      <c r="AC500" s="319">
        <f>IF(OR(ISNUMBER(SEARCH("일3",$H500)),ISNUMBER(SEARCH("일1.3",$H500)),ISNUMBER(SEARCH("일2.3",$H500)),ISNUMBER(SEARCH("일1.2.3",$H500))),1,"")</f>
        <v/>
      </c>
      <c r="AD500" s="319">
        <f>SUM(I500:AC500)</f>
        <v/>
      </c>
      <c r="AE500" s="323" t="n"/>
    </row>
    <row r="501" ht="24" customHeight="1">
      <c r="A501" s="168" t="n"/>
      <c r="B501" s="319" t="n"/>
      <c r="C501" s="319" t="n"/>
      <c r="D501" s="319" t="n"/>
      <c r="E501" s="341" t="n"/>
      <c r="F501" s="341" t="n"/>
      <c r="G501" s="342" t="n"/>
      <c r="H501" s="322" t="n"/>
      <c r="I501" s="319">
        <f>IF(ISNUMBER(SEARCH("월1",$H501)),1,"")</f>
        <v/>
      </c>
      <c r="J501" s="319">
        <f>IF(OR(ISNUMBER(SEARCH("월2",$H501)),ISNUMBER(SEARCH("월1.2",$H501))),1,"")</f>
        <v/>
      </c>
      <c r="K501" s="319">
        <f>IF(OR(ISNUMBER(SEARCH("월3",$H501)),ISNUMBER(SEARCH("월1.3",$H501)),ISNUMBER(SEARCH("월2.3",$H501)),ISNUMBER(SEARCH("월1.2.3",$H501))),1,"")</f>
        <v/>
      </c>
      <c r="L501" s="319">
        <f>IF(ISNUMBER(SEARCH("화1",$H501)),1,"")</f>
        <v/>
      </c>
      <c r="M501" s="319">
        <f>IF(OR(ISNUMBER(SEARCH("화2",$H501)),ISNUMBER(SEARCH("화1.2",$H501))),1,"")</f>
        <v/>
      </c>
      <c r="N501" s="319">
        <f>IF(OR(ISNUMBER(SEARCH("화3",$H501)),ISNUMBER(SEARCH("화1.3",$H501)),ISNUMBER(SEARCH("화2.3",$H501)),ISNUMBER(SEARCH("화1.2.3",$H501))),1,"")</f>
        <v/>
      </c>
      <c r="O501" s="319">
        <f>IF(ISNUMBER(SEARCH("수1",$H501)),1,"")</f>
        <v/>
      </c>
      <c r="P501" s="319">
        <f>IF(OR(ISNUMBER(SEARCH("수2",$H501)),ISNUMBER(SEARCH("수1.2",$H501))),1,"")</f>
        <v/>
      </c>
      <c r="Q501" s="319">
        <f>IF(OR(ISNUMBER(SEARCH("수3",$H501)),ISNUMBER(SEARCH("수1.3",$H501)),ISNUMBER(SEARCH("수2.3",$H501)),ISNUMBER(SEARCH("수1.2.3",$H501))),1,"")</f>
        <v/>
      </c>
      <c r="R501" s="319">
        <f>IF(ISNUMBER(SEARCH("목1",$H501)),1,"")</f>
        <v/>
      </c>
      <c r="S501" s="319">
        <f>IF(OR(ISNUMBER(SEARCH("목2",$H501)),ISNUMBER(SEARCH("목1.2",$H501))),1,"")</f>
        <v/>
      </c>
      <c r="T501" s="319">
        <f>IF(OR(ISNUMBER(SEARCH("목3",$H501)),ISNUMBER(SEARCH("목1.3",$H501)),ISNUMBER(SEARCH("목2.3",$H501)),ISNUMBER(SEARCH("목1.2.3",$H501))),1,"")</f>
        <v/>
      </c>
      <c r="U501" s="319">
        <f>IF(ISNUMBER(SEARCH("금1",$H501)),1,"")</f>
        <v/>
      </c>
      <c r="V501" s="319">
        <f>IF(OR(ISNUMBER(SEARCH("금2",$H501)),ISNUMBER(SEARCH("금1.2",$H501))),1,"")</f>
        <v/>
      </c>
      <c r="W501" s="319">
        <f>IF(OR(ISNUMBER(SEARCH("금3",$H501)),ISNUMBER(SEARCH("금1.3",$H501)),ISNUMBER(SEARCH("금2.3",$H501)),ISNUMBER(SEARCH("금1.2.3",$H501))),1,"")</f>
        <v/>
      </c>
      <c r="X501" s="319">
        <f>IF(ISNUMBER(SEARCH("토1",$H501)),1,"")</f>
        <v/>
      </c>
      <c r="Y501" s="319">
        <f>IF(OR(ISNUMBER(SEARCH("토2",$H501)),ISNUMBER(SEARCH("토1.2",$H501))),1,"")</f>
        <v/>
      </c>
      <c r="Z501" s="319">
        <f>IF(OR(ISNUMBER(SEARCH("토3",$H501)),ISNUMBER(SEARCH("토1.3",$H501)),ISNUMBER(SEARCH("토2.3",$H501)),ISNUMBER(SEARCH("토1.2.3",$H501))),1,"")</f>
        <v/>
      </c>
      <c r="AA501" s="319">
        <f>IF(ISNUMBER(SEARCH("일1",$H501)),1,"")</f>
        <v/>
      </c>
      <c r="AB501" s="319">
        <f>IF(OR(ISNUMBER(SEARCH("일2",$H501)),ISNUMBER(SEARCH("일1.2",$H501))),1,"")</f>
        <v/>
      </c>
      <c r="AC501" s="319">
        <f>IF(OR(ISNUMBER(SEARCH("일3",$H501)),ISNUMBER(SEARCH("일1.3",$H501)),ISNUMBER(SEARCH("일2.3",$H501)),ISNUMBER(SEARCH("일1.2.3",$H501))),1,"")</f>
        <v/>
      </c>
      <c r="AD501" s="319">
        <f>SUM(I501:AC501)</f>
        <v/>
      </c>
      <c r="AE501" s="323" t="n"/>
    </row>
    <row r="502" ht="24" customHeight="1">
      <c r="A502" s="168" t="n"/>
      <c r="B502" s="319" t="n"/>
      <c r="C502" s="319" t="n"/>
      <c r="D502" s="319" t="n"/>
      <c r="E502" s="341" t="n"/>
      <c r="F502" s="341" t="n"/>
      <c r="G502" s="342" t="n"/>
      <c r="H502" s="322" t="n"/>
      <c r="I502" s="319">
        <f>IF(ISNUMBER(SEARCH("월1",$H502)),1,"")</f>
        <v/>
      </c>
      <c r="J502" s="319">
        <f>IF(OR(ISNUMBER(SEARCH("월2",$H502)),ISNUMBER(SEARCH("월1.2",$H502))),1,"")</f>
        <v/>
      </c>
      <c r="K502" s="319">
        <f>IF(OR(ISNUMBER(SEARCH("월3",$H502)),ISNUMBER(SEARCH("월1.3",$H502)),ISNUMBER(SEARCH("월2.3",$H502)),ISNUMBER(SEARCH("월1.2.3",$H502))),1,"")</f>
        <v/>
      </c>
      <c r="L502" s="319">
        <f>IF(ISNUMBER(SEARCH("화1",$H502)),1,"")</f>
        <v/>
      </c>
      <c r="M502" s="319">
        <f>IF(OR(ISNUMBER(SEARCH("화2",$H502)),ISNUMBER(SEARCH("화1.2",$H502))),1,"")</f>
        <v/>
      </c>
      <c r="N502" s="319">
        <f>IF(OR(ISNUMBER(SEARCH("화3",$H502)),ISNUMBER(SEARCH("화1.3",$H502)),ISNUMBER(SEARCH("화2.3",$H502)),ISNUMBER(SEARCH("화1.2.3",$H502))),1,"")</f>
        <v/>
      </c>
      <c r="O502" s="319">
        <f>IF(ISNUMBER(SEARCH("수1",$H502)),1,"")</f>
        <v/>
      </c>
      <c r="P502" s="319">
        <f>IF(OR(ISNUMBER(SEARCH("수2",$H502)),ISNUMBER(SEARCH("수1.2",$H502))),1,"")</f>
        <v/>
      </c>
      <c r="Q502" s="319">
        <f>IF(OR(ISNUMBER(SEARCH("수3",$H502)),ISNUMBER(SEARCH("수1.3",$H502)),ISNUMBER(SEARCH("수2.3",$H502)),ISNUMBER(SEARCH("수1.2.3",$H502))),1,"")</f>
        <v/>
      </c>
      <c r="R502" s="319">
        <f>IF(ISNUMBER(SEARCH("목1",$H502)),1,"")</f>
        <v/>
      </c>
      <c r="S502" s="319">
        <f>IF(OR(ISNUMBER(SEARCH("목2",$H502)),ISNUMBER(SEARCH("목1.2",$H502))),1,"")</f>
        <v/>
      </c>
      <c r="T502" s="319">
        <f>IF(OR(ISNUMBER(SEARCH("목3",$H502)),ISNUMBER(SEARCH("목1.3",$H502)),ISNUMBER(SEARCH("목2.3",$H502)),ISNUMBER(SEARCH("목1.2.3",$H502))),1,"")</f>
        <v/>
      </c>
      <c r="U502" s="319">
        <f>IF(ISNUMBER(SEARCH("금1",$H502)),1,"")</f>
        <v/>
      </c>
      <c r="V502" s="319">
        <f>IF(OR(ISNUMBER(SEARCH("금2",$H502)),ISNUMBER(SEARCH("금1.2",$H502))),1,"")</f>
        <v/>
      </c>
      <c r="W502" s="319">
        <f>IF(OR(ISNUMBER(SEARCH("금3",$H502)),ISNUMBER(SEARCH("금1.3",$H502)),ISNUMBER(SEARCH("금2.3",$H502)),ISNUMBER(SEARCH("금1.2.3",$H502))),1,"")</f>
        <v/>
      </c>
      <c r="X502" s="319">
        <f>IF(ISNUMBER(SEARCH("토1",$H502)),1,"")</f>
        <v/>
      </c>
      <c r="Y502" s="319">
        <f>IF(OR(ISNUMBER(SEARCH("토2",$H502)),ISNUMBER(SEARCH("토1.2",$H502))),1,"")</f>
        <v/>
      </c>
      <c r="Z502" s="319">
        <f>IF(OR(ISNUMBER(SEARCH("토3",$H502)),ISNUMBER(SEARCH("토1.3",$H502)),ISNUMBER(SEARCH("토2.3",$H502)),ISNUMBER(SEARCH("토1.2.3",$H502))),1,"")</f>
        <v/>
      </c>
      <c r="AA502" s="319">
        <f>IF(ISNUMBER(SEARCH("일1",$H502)),1,"")</f>
        <v/>
      </c>
      <c r="AB502" s="319">
        <f>IF(OR(ISNUMBER(SEARCH("일2",$H502)),ISNUMBER(SEARCH("일1.2",$H502))),1,"")</f>
        <v/>
      </c>
      <c r="AC502" s="319">
        <f>IF(OR(ISNUMBER(SEARCH("일3",$H502)),ISNUMBER(SEARCH("일1.3",$H502)),ISNUMBER(SEARCH("일2.3",$H502)),ISNUMBER(SEARCH("일1.2.3",$H502))),1,"")</f>
        <v/>
      </c>
      <c r="AD502" s="319">
        <f>SUM(I502:AC502)</f>
        <v/>
      </c>
      <c r="AE502" s="323" t="n"/>
    </row>
    <row r="503" ht="24" customHeight="1">
      <c r="A503" s="168" t="n"/>
      <c r="B503" s="319" t="n"/>
      <c r="C503" s="319" t="n"/>
      <c r="D503" s="319" t="n"/>
      <c r="E503" s="341" t="n"/>
      <c r="F503" s="341" t="n"/>
      <c r="G503" s="342" t="n"/>
      <c r="H503" s="322" t="n"/>
      <c r="I503" s="319">
        <f>IF(ISNUMBER(SEARCH("월1",$H503)),1,"")</f>
        <v/>
      </c>
      <c r="J503" s="319">
        <f>IF(OR(ISNUMBER(SEARCH("월2",$H503)),ISNUMBER(SEARCH("월1.2",$H503))),1,"")</f>
        <v/>
      </c>
      <c r="K503" s="319">
        <f>IF(OR(ISNUMBER(SEARCH("월3",$H503)),ISNUMBER(SEARCH("월1.3",$H503)),ISNUMBER(SEARCH("월2.3",$H503)),ISNUMBER(SEARCH("월1.2.3",$H503))),1,"")</f>
        <v/>
      </c>
      <c r="L503" s="319">
        <f>IF(ISNUMBER(SEARCH("화1",$H503)),1,"")</f>
        <v/>
      </c>
      <c r="M503" s="319">
        <f>IF(OR(ISNUMBER(SEARCH("화2",$H503)),ISNUMBER(SEARCH("화1.2",$H503))),1,"")</f>
        <v/>
      </c>
      <c r="N503" s="319">
        <f>IF(OR(ISNUMBER(SEARCH("화3",$H503)),ISNUMBER(SEARCH("화1.3",$H503)),ISNUMBER(SEARCH("화2.3",$H503)),ISNUMBER(SEARCH("화1.2.3",$H503))),1,"")</f>
        <v/>
      </c>
      <c r="O503" s="319">
        <f>IF(ISNUMBER(SEARCH("수1",$H503)),1,"")</f>
        <v/>
      </c>
      <c r="P503" s="319">
        <f>IF(OR(ISNUMBER(SEARCH("수2",$H503)),ISNUMBER(SEARCH("수1.2",$H503))),1,"")</f>
        <v/>
      </c>
      <c r="Q503" s="319">
        <f>IF(OR(ISNUMBER(SEARCH("수3",$H503)),ISNUMBER(SEARCH("수1.3",$H503)),ISNUMBER(SEARCH("수2.3",$H503)),ISNUMBER(SEARCH("수1.2.3",$H503))),1,"")</f>
        <v/>
      </c>
      <c r="R503" s="319">
        <f>IF(ISNUMBER(SEARCH("목1",$H503)),1,"")</f>
        <v/>
      </c>
      <c r="S503" s="319">
        <f>IF(OR(ISNUMBER(SEARCH("목2",$H503)),ISNUMBER(SEARCH("목1.2",$H503))),1,"")</f>
        <v/>
      </c>
      <c r="T503" s="319">
        <f>IF(OR(ISNUMBER(SEARCH("목3",$H503)),ISNUMBER(SEARCH("목1.3",$H503)),ISNUMBER(SEARCH("목2.3",$H503)),ISNUMBER(SEARCH("목1.2.3",$H503))),1,"")</f>
        <v/>
      </c>
      <c r="U503" s="319">
        <f>IF(ISNUMBER(SEARCH("금1",$H503)),1,"")</f>
        <v/>
      </c>
      <c r="V503" s="319">
        <f>IF(OR(ISNUMBER(SEARCH("금2",$H503)),ISNUMBER(SEARCH("금1.2",$H503))),1,"")</f>
        <v/>
      </c>
      <c r="W503" s="319">
        <f>IF(OR(ISNUMBER(SEARCH("금3",$H503)),ISNUMBER(SEARCH("금1.3",$H503)),ISNUMBER(SEARCH("금2.3",$H503)),ISNUMBER(SEARCH("금1.2.3",$H503))),1,"")</f>
        <v/>
      </c>
      <c r="X503" s="319">
        <f>IF(ISNUMBER(SEARCH("토1",$H503)),1,"")</f>
        <v/>
      </c>
      <c r="Y503" s="319">
        <f>IF(OR(ISNUMBER(SEARCH("토2",$H503)),ISNUMBER(SEARCH("토1.2",$H503))),1,"")</f>
        <v/>
      </c>
      <c r="Z503" s="319">
        <f>IF(OR(ISNUMBER(SEARCH("토3",$H503)),ISNUMBER(SEARCH("토1.3",$H503)),ISNUMBER(SEARCH("토2.3",$H503)),ISNUMBER(SEARCH("토1.2.3",$H503))),1,"")</f>
        <v/>
      </c>
      <c r="AA503" s="319">
        <f>IF(ISNUMBER(SEARCH("일1",$H503)),1,"")</f>
        <v/>
      </c>
      <c r="AB503" s="319">
        <f>IF(OR(ISNUMBER(SEARCH("일2",$H503)),ISNUMBER(SEARCH("일1.2",$H503))),1,"")</f>
        <v/>
      </c>
      <c r="AC503" s="319">
        <f>IF(OR(ISNUMBER(SEARCH("일3",$H503)),ISNUMBER(SEARCH("일1.3",$H503)),ISNUMBER(SEARCH("일2.3",$H503)),ISNUMBER(SEARCH("일1.2.3",$H503))),1,"")</f>
        <v/>
      </c>
      <c r="AD503" s="319">
        <f>SUM(I503:AC503)</f>
        <v/>
      </c>
      <c r="AE503" s="323" t="n"/>
    </row>
    <row r="504" ht="24" customHeight="1">
      <c r="A504" s="168" t="n"/>
      <c r="B504" s="319" t="n"/>
      <c r="C504" s="319" t="n"/>
      <c r="D504" s="319" t="n"/>
      <c r="E504" s="341" t="n"/>
      <c r="F504" s="341" t="n"/>
      <c r="G504" s="342" t="n"/>
      <c r="H504" s="322" t="n"/>
      <c r="I504" s="319">
        <f>IF(ISNUMBER(SEARCH("월1",$H504)),1,"")</f>
        <v/>
      </c>
      <c r="J504" s="319">
        <f>IF(OR(ISNUMBER(SEARCH("월2",$H504)),ISNUMBER(SEARCH("월1.2",$H504))),1,"")</f>
        <v/>
      </c>
      <c r="K504" s="319">
        <f>IF(OR(ISNUMBER(SEARCH("월3",$H504)),ISNUMBER(SEARCH("월1.3",$H504)),ISNUMBER(SEARCH("월2.3",$H504)),ISNUMBER(SEARCH("월1.2.3",$H504))),1,"")</f>
        <v/>
      </c>
      <c r="L504" s="319">
        <f>IF(ISNUMBER(SEARCH("화1",$H504)),1,"")</f>
        <v/>
      </c>
      <c r="M504" s="319">
        <f>IF(OR(ISNUMBER(SEARCH("화2",$H504)),ISNUMBER(SEARCH("화1.2",$H504))),1,"")</f>
        <v/>
      </c>
      <c r="N504" s="319">
        <f>IF(OR(ISNUMBER(SEARCH("화3",$H504)),ISNUMBER(SEARCH("화1.3",$H504)),ISNUMBER(SEARCH("화2.3",$H504)),ISNUMBER(SEARCH("화1.2.3",$H504))),1,"")</f>
        <v/>
      </c>
      <c r="O504" s="319">
        <f>IF(ISNUMBER(SEARCH("수1",$H504)),1,"")</f>
        <v/>
      </c>
      <c r="P504" s="319">
        <f>IF(OR(ISNUMBER(SEARCH("수2",$H504)),ISNUMBER(SEARCH("수1.2",$H504))),1,"")</f>
        <v/>
      </c>
      <c r="Q504" s="319">
        <f>IF(OR(ISNUMBER(SEARCH("수3",$H504)),ISNUMBER(SEARCH("수1.3",$H504)),ISNUMBER(SEARCH("수2.3",$H504)),ISNUMBER(SEARCH("수1.2.3",$H504))),1,"")</f>
        <v/>
      </c>
      <c r="R504" s="319">
        <f>IF(ISNUMBER(SEARCH("목1",$H504)),1,"")</f>
        <v/>
      </c>
      <c r="S504" s="319">
        <f>IF(OR(ISNUMBER(SEARCH("목2",$H504)),ISNUMBER(SEARCH("목1.2",$H504))),1,"")</f>
        <v/>
      </c>
      <c r="T504" s="319">
        <f>IF(OR(ISNUMBER(SEARCH("목3",$H504)),ISNUMBER(SEARCH("목1.3",$H504)),ISNUMBER(SEARCH("목2.3",$H504)),ISNUMBER(SEARCH("목1.2.3",$H504))),1,"")</f>
        <v/>
      </c>
      <c r="U504" s="319">
        <f>IF(ISNUMBER(SEARCH("금1",$H504)),1,"")</f>
        <v/>
      </c>
      <c r="V504" s="319">
        <f>IF(OR(ISNUMBER(SEARCH("금2",$H504)),ISNUMBER(SEARCH("금1.2",$H504))),1,"")</f>
        <v/>
      </c>
      <c r="W504" s="319">
        <f>IF(OR(ISNUMBER(SEARCH("금3",$H504)),ISNUMBER(SEARCH("금1.3",$H504)),ISNUMBER(SEARCH("금2.3",$H504)),ISNUMBER(SEARCH("금1.2.3",$H504))),1,"")</f>
        <v/>
      </c>
      <c r="X504" s="319">
        <f>IF(ISNUMBER(SEARCH("토1",$H504)),1,"")</f>
        <v/>
      </c>
      <c r="Y504" s="319">
        <f>IF(OR(ISNUMBER(SEARCH("토2",$H504)),ISNUMBER(SEARCH("토1.2",$H504))),1,"")</f>
        <v/>
      </c>
      <c r="Z504" s="319">
        <f>IF(OR(ISNUMBER(SEARCH("토3",$H504)),ISNUMBER(SEARCH("토1.3",$H504)),ISNUMBER(SEARCH("토2.3",$H504)),ISNUMBER(SEARCH("토1.2.3",$H504))),1,"")</f>
        <v/>
      </c>
      <c r="AA504" s="319">
        <f>IF(ISNUMBER(SEARCH("일1",$H504)),1,"")</f>
        <v/>
      </c>
      <c r="AB504" s="319">
        <f>IF(OR(ISNUMBER(SEARCH("일2",$H504)),ISNUMBER(SEARCH("일1.2",$H504))),1,"")</f>
        <v/>
      </c>
      <c r="AC504" s="319">
        <f>IF(OR(ISNUMBER(SEARCH("일3",$H504)),ISNUMBER(SEARCH("일1.3",$H504)),ISNUMBER(SEARCH("일2.3",$H504)),ISNUMBER(SEARCH("일1.2.3",$H504))),1,"")</f>
        <v/>
      </c>
      <c r="AD504" s="319">
        <f>SUM(I504:AC504)</f>
        <v/>
      </c>
      <c r="AE504" s="323" t="n"/>
    </row>
    <row r="505" ht="24" customHeight="1">
      <c r="A505" s="168" t="n"/>
      <c r="B505" s="319" t="n"/>
      <c r="C505" s="319" t="n"/>
      <c r="D505" s="319" t="n"/>
      <c r="E505" s="341" t="n"/>
      <c r="F505" s="341" t="n"/>
      <c r="G505" s="342" t="n"/>
      <c r="H505" s="322" t="n"/>
      <c r="I505" s="319">
        <f>IF(ISNUMBER(SEARCH("월1",$H505)),1,"")</f>
        <v/>
      </c>
      <c r="J505" s="319">
        <f>IF(OR(ISNUMBER(SEARCH("월2",$H505)),ISNUMBER(SEARCH("월1.2",$H505))),1,"")</f>
        <v/>
      </c>
      <c r="K505" s="319">
        <f>IF(OR(ISNUMBER(SEARCH("월3",$H505)),ISNUMBER(SEARCH("월1.3",$H505)),ISNUMBER(SEARCH("월2.3",$H505)),ISNUMBER(SEARCH("월1.2.3",$H505))),1,"")</f>
        <v/>
      </c>
      <c r="L505" s="319">
        <f>IF(ISNUMBER(SEARCH("화1",$H505)),1,"")</f>
        <v/>
      </c>
      <c r="M505" s="319">
        <f>IF(OR(ISNUMBER(SEARCH("화2",$H505)),ISNUMBER(SEARCH("화1.2",$H505))),1,"")</f>
        <v/>
      </c>
      <c r="N505" s="319">
        <f>IF(OR(ISNUMBER(SEARCH("화3",$H505)),ISNUMBER(SEARCH("화1.3",$H505)),ISNUMBER(SEARCH("화2.3",$H505)),ISNUMBER(SEARCH("화1.2.3",$H505))),1,"")</f>
        <v/>
      </c>
      <c r="O505" s="319">
        <f>IF(ISNUMBER(SEARCH("수1",$H505)),1,"")</f>
        <v/>
      </c>
      <c r="P505" s="319">
        <f>IF(OR(ISNUMBER(SEARCH("수2",$H505)),ISNUMBER(SEARCH("수1.2",$H505))),1,"")</f>
        <v/>
      </c>
      <c r="Q505" s="319">
        <f>IF(OR(ISNUMBER(SEARCH("수3",$H505)),ISNUMBER(SEARCH("수1.3",$H505)),ISNUMBER(SEARCH("수2.3",$H505)),ISNUMBER(SEARCH("수1.2.3",$H505))),1,"")</f>
        <v/>
      </c>
      <c r="R505" s="319">
        <f>IF(ISNUMBER(SEARCH("목1",$H505)),1,"")</f>
        <v/>
      </c>
      <c r="S505" s="319">
        <f>IF(OR(ISNUMBER(SEARCH("목2",$H505)),ISNUMBER(SEARCH("목1.2",$H505))),1,"")</f>
        <v/>
      </c>
      <c r="T505" s="319">
        <f>IF(OR(ISNUMBER(SEARCH("목3",$H505)),ISNUMBER(SEARCH("목1.3",$H505)),ISNUMBER(SEARCH("목2.3",$H505)),ISNUMBER(SEARCH("목1.2.3",$H505))),1,"")</f>
        <v/>
      </c>
      <c r="U505" s="319">
        <f>IF(ISNUMBER(SEARCH("금1",$H505)),1,"")</f>
        <v/>
      </c>
      <c r="V505" s="319">
        <f>IF(OR(ISNUMBER(SEARCH("금2",$H505)),ISNUMBER(SEARCH("금1.2",$H505))),1,"")</f>
        <v/>
      </c>
      <c r="W505" s="319">
        <f>IF(OR(ISNUMBER(SEARCH("금3",$H505)),ISNUMBER(SEARCH("금1.3",$H505)),ISNUMBER(SEARCH("금2.3",$H505)),ISNUMBER(SEARCH("금1.2.3",$H505))),1,"")</f>
        <v/>
      </c>
      <c r="X505" s="319">
        <f>IF(ISNUMBER(SEARCH("토1",$H505)),1,"")</f>
        <v/>
      </c>
      <c r="Y505" s="319">
        <f>IF(OR(ISNUMBER(SEARCH("토2",$H505)),ISNUMBER(SEARCH("토1.2",$H505))),1,"")</f>
        <v/>
      </c>
      <c r="Z505" s="319">
        <f>IF(OR(ISNUMBER(SEARCH("토3",$H505)),ISNUMBER(SEARCH("토1.3",$H505)),ISNUMBER(SEARCH("토2.3",$H505)),ISNUMBER(SEARCH("토1.2.3",$H505))),1,"")</f>
        <v/>
      </c>
      <c r="AA505" s="319">
        <f>IF(ISNUMBER(SEARCH("일1",$H505)),1,"")</f>
        <v/>
      </c>
      <c r="AB505" s="319">
        <f>IF(OR(ISNUMBER(SEARCH("일2",$H505)),ISNUMBER(SEARCH("일1.2",$H505))),1,"")</f>
        <v/>
      </c>
      <c r="AC505" s="319">
        <f>IF(OR(ISNUMBER(SEARCH("일3",$H505)),ISNUMBER(SEARCH("일1.3",$H505)),ISNUMBER(SEARCH("일2.3",$H505)),ISNUMBER(SEARCH("일1.2.3",$H505))),1,"")</f>
        <v/>
      </c>
      <c r="AD505" s="319">
        <f>SUM(I505:AC505)</f>
        <v/>
      </c>
      <c r="AE505" s="323" t="n"/>
    </row>
    <row r="506" ht="24" customHeight="1">
      <c r="A506" s="168" t="n"/>
      <c r="B506" s="319" t="n"/>
      <c r="C506" s="319" t="n"/>
      <c r="D506" s="319" t="n"/>
      <c r="E506" s="341" t="n"/>
      <c r="F506" s="341" t="n"/>
      <c r="G506" s="342" t="n"/>
      <c r="H506" s="322" t="n"/>
      <c r="I506" s="319">
        <f>IF(ISNUMBER(SEARCH("월1",$H506)),1,"")</f>
        <v/>
      </c>
      <c r="J506" s="319">
        <f>IF(OR(ISNUMBER(SEARCH("월2",$H506)),ISNUMBER(SEARCH("월1.2",$H506))),1,"")</f>
        <v/>
      </c>
      <c r="K506" s="319">
        <f>IF(OR(ISNUMBER(SEARCH("월3",$H506)),ISNUMBER(SEARCH("월1.3",$H506)),ISNUMBER(SEARCH("월2.3",$H506)),ISNUMBER(SEARCH("월1.2.3",$H506))),1,"")</f>
        <v/>
      </c>
      <c r="L506" s="319">
        <f>IF(ISNUMBER(SEARCH("화1",$H506)),1,"")</f>
        <v/>
      </c>
      <c r="M506" s="319">
        <f>IF(OR(ISNUMBER(SEARCH("화2",$H506)),ISNUMBER(SEARCH("화1.2",$H506))),1,"")</f>
        <v/>
      </c>
      <c r="N506" s="319">
        <f>IF(OR(ISNUMBER(SEARCH("화3",$H506)),ISNUMBER(SEARCH("화1.3",$H506)),ISNUMBER(SEARCH("화2.3",$H506)),ISNUMBER(SEARCH("화1.2.3",$H506))),1,"")</f>
        <v/>
      </c>
      <c r="O506" s="319">
        <f>IF(ISNUMBER(SEARCH("수1",$H506)),1,"")</f>
        <v/>
      </c>
      <c r="P506" s="319">
        <f>IF(OR(ISNUMBER(SEARCH("수2",$H506)),ISNUMBER(SEARCH("수1.2",$H506))),1,"")</f>
        <v/>
      </c>
      <c r="Q506" s="319">
        <f>IF(OR(ISNUMBER(SEARCH("수3",$H506)),ISNUMBER(SEARCH("수1.3",$H506)),ISNUMBER(SEARCH("수2.3",$H506)),ISNUMBER(SEARCH("수1.2.3",$H506))),1,"")</f>
        <v/>
      </c>
      <c r="R506" s="319">
        <f>IF(ISNUMBER(SEARCH("목1",$H506)),1,"")</f>
        <v/>
      </c>
      <c r="S506" s="319">
        <f>IF(OR(ISNUMBER(SEARCH("목2",$H506)),ISNUMBER(SEARCH("목1.2",$H506))),1,"")</f>
        <v/>
      </c>
      <c r="T506" s="319">
        <f>IF(OR(ISNUMBER(SEARCH("목3",$H506)),ISNUMBER(SEARCH("목1.3",$H506)),ISNUMBER(SEARCH("목2.3",$H506)),ISNUMBER(SEARCH("목1.2.3",$H506))),1,"")</f>
        <v/>
      </c>
      <c r="U506" s="319">
        <f>IF(ISNUMBER(SEARCH("금1",$H506)),1,"")</f>
        <v/>
      </c>
      <c r="V506" s="319">
        <f>IF(OR(ISNUMBER(SEARCH("금2",$H506)),ISNUMBER(SEARCH("금1.2",$H506))),1,"")</f>
        <v/>
      </c>
      <c r="W506" s="319">
        <f>IF(OR(ISNUMBER(SEARCH("금3",$H506)),ISNUMBER(SEARCH("금1.3",$H506)),ISNUMBER(SEARCH("금2.3",$H506)),ISNUMBER(SEARCH("금1.2.3",$H506))),1,"")</f>
        <v/>
      </c>
      <c r="X506" s="319">
        <f>IF(ISNUMBER(SEARCH("토1",$H506)),1,"")</f>
        <v/>
      </c>
      <c r="Y506" s="319">
        <f>IF(OR(ISNUMBER(SEARCH("토2",$H506)),ISNUMBER(SEARCH("토1.2",$H506))),1,"")</f>
        <v/>
      </c>
      <c r="Z506" s="319">
        <f>IF(OR(ISNUMBER(SEARCH("토3",$H506)),ISNUMBER(SEARCH("토1.3",$H506)),ISNUMBER(SEARCH("토2.3",$H506)),ISNUMBER(SEARCH("토1.2.3",$H506))),1,"")</f>
        <v/>
      </c>
      <c r="AA506" s="319">
        <f>IF(ISNUMBER(SEARCH("일1",$H506)),1,"")</f>
        <v/>
      </c>
      <c r="AB506" s="319">
        <f>IF(OR(ISNUMBER(SEARCH("일2",$H506)),ISNUMBER(SEARCH("일1.2",$H506))),1,"")</f>
        <v/>
      </c>
      <c r="AC506" s="319">
        <f>IF(OR(ISNUMBER(SEARCH("일3",$H506)),ISNUMBER(SEARCH("일1.3",$H506)),ISNUMBER(SEARCH("일2.3",$H506)),ISNUMBER(SEARCH("일1.2.3",$H506))),1,"")</f>
        <v/>
      </c>
      <c r="AD506" s="319">
        <f>SUM(I506:AC506)</f>
        <v/>
      </c>
      <c r="AE506" s="323" t="n"/>
    </row>
    <row r="507" ht="24" customHeight="1">
      <c r="A507" s="168" t="n"/>
      <c r="B507" s="319" t="n"/>
      <c r="C507" s="319" t="n"/>
      <c r="D507" s="319" t="n"/>
      <c r="E507" s="341" t="n"/>
      <c r="F507" s="341" t="n"/>
      <c r="G507" s="342" t="n"/>
      <c r="H507" s="322" t="n"/>
      <c r="I507" s="319">
        <f>IF(ISNUMBER(SEARCH("월1",$H507)),1,"")</f>
        <v/>
      </c>
      <c r="J507" s="319">
        <f>IF(OR(ISNUMBER(SEARCH("월2",$H507)),ISNUMBER(SEARCH("월1.2",$H507))),1,"")</f>
        <v/>
      </c>
      <c r="K507" s="319">
        <f>IF(OR(ISNUMBER(SEARCH("월3",$H507)),ISNUMBER(SEARCH("월1.3",$H507)),ISNUMBER(SEARCH("월2.3",$H507)),ISNUMBER(SEARCH("월1.2.3",$H507))),1,"")</f>
        <v/>
      </c>
      <c r="L507" s="319">
        <f>IF(ISNUMBER(SEARCH("화1",$H507)),1,"")</f>
        <v/>
      </c>
      <c r="M507" s="319">
        <f>IF(OR(ISNUMBER(SEARCH("화2",$H507)),ISNUMBER(SEARCH("화1.2",$H507))),1,"")</f>
        <v/>
      </c>
      <c r="N507" s="319">
        <f>IF(OR(ISNUMBER(SEARCH("화3",$H507)),ISNUMBER(SEARCH("화1.3",$H507)),ISNUMBER(SEARCH("화2.3",$H507)),ISNUMBER(SEARCH("화1.2.3",$H507))),1,"")</f>
        <v/>
      </c>
      <c r="O507" s="319">
        <f>IF(ISNUMBER(SEARCH("수1",$H507)),1,"")</f>
        <v/>
      </c>
      <c r="P507" s="319">
        <f>IF(OR(ISNUMBER(SEARCH("수2",$H507)),ISNUMBER(SEARCH("수1.2",$H507))),1,"")</f>
        <v/>
      </c>
      <c r="Q507" s="319">
        <f>IF(OR(ISNUMBER(SEARCH("수3",$H507)),ISNUMBER(SEARCH("수1.3",$H507)),ISNUMBER(SEARCH("수2.3",$H507)),ISNUMBER(SEARCH("수1.2.3",$H507))),1,"")</f>
        <v/>
      </c>
      <c r="R507" s="319">
        <f>IF(ISNUMBER(SEARCH("목1",$H507)),1,"")</f>
        <v/>
      </c>
      <c r="S507" s="319">
        <f>IF(OR(ISNUMBER(SEARCH("목2",$H507)),ISNUMBER(SEARCH("목1.2",$H507))),1,"")</f>
        <v/>
      </c>
      <c r="T507" s="319">
        <f>IF(OR(ISNUMBER(SEARCH("목3",$H507)),ISNUMBER(SEARCH("목1.3",$H507)),ISNUMBER(SEARCH("목2.3",$H507)),ISNUMBER(SEARCH("목1.2.3",$H507))),1,"")</f>
        <v/>
      </c>
      <c r="U507" s="319">
        <f>IF(ISNUMBER(SEARCH("금1",$H507)),1,"")</f>
        <v/>
      </c>
      <c r="V507" s="319">
        <f>IF(OR(ISNUMBER(SEARCH("금2",$H507)),ISNUMBER(SEARCH("금1.2",$H507))),1,"")</f>
        <v/>
      </c>
      <c r="W507" s="319">
        <f>IF(OR(ISNUMBER(SEARCH("금3",$H507)),ISNUMBER(SEARCH("금1.3",$H507)),ISNUMBER(SEARCH("금2.3",$H507)),ISNUMBER(SEARCH("금1.2.3",$H507))),1,"")</f>
        <v/>
      </c>
      <c r="X507" s="319">
        <f>IF(ISNUMBER(SEARCH("토1",$H507)),1,"")</f>
        <v/>
      </c>
      <c r="Y507" s="319">
        <f>IF(OR(ISNUMBER(SEARCH("토2",$H507)),ISNUMBER(SEARCH("토1.2",$H507))),1,"")</f>
        <v/>
      </c>
      <c r="Z507" s="319">
        <f>IF(OR(ISNUMBER(SEARCH("토3",$H507)),ISNUMBER(SEARCH("토1.3",$H507)),ISNUMBER(SEARCH("토2.3",$H507)),ISNUMBER(SEARCH("토1.2.3",$H507))),1,"")</f>
        <v/>
      </c>
      <c r="AA507" s="319">
        <f>IF(ISNUMBER(SEARCH("일1",$H507)),1,"")</f>
        <v/>
      </c>
      <c r="AB507" s="319">
        <f>IF(OR(ISNUMBER(SEARCH("일2",$H507)),ISNUMBER(SEARCH("일1.2",$H507))),1,"")</f>
        <v/>
      </c>
      <c r="AC507" s="319">
        <f>IF(OR(ISNUMBER(SEARCH("일3",$H507)),ISNUMBER(SEARCH("일1.3",$H507)),ISNUMBER(SEARCH("일2.3",$H507)),ISNUMBER(SEARCH("일1.2.3",$H507))),1,"")</f>
        <v/>
      </c>
      <c r="AD507" s="319">
        <f>SUM(I507:AC507)</f>
        <v/>
      </c>
      <c r="AE507" s="323" t="n"/>
    </row>
    <row r="508" ht="24" customHeight="1">
      <c r="A508" s="168" t="n"/>
      <c r="B508" s="319" t="n"/>
      <c r="C508" s="319" t="n"/>
      <c r="D508" s="319" t="n"/>
      <c r="E508" s="341" t="n"/>
      <c r="F508" s="341" t="n"/>
      <c r="G508" s="342" t="n"/>
      <c r="H508" s="322" t="n"/>
      <c r="I508" s="319">
        <f>IF(ISNUMBER(SEARCH("월1",$H508)),1,"")</f>
        <v/>
      </c>
      <c r="J508" s="319">
        <f>IF(OR(ISNUMBER(SEARCH("월2",$H508)),ISNUMBER(SEARCH("월1.2",$H508))),1,"")</f>
        <v/>
      </c>
      <c r="K508" s="319">
        <f>IF(OR(ISNUMBER(SEARCH("월3",$H508)),ISNUMBER(SEARCH("월1.3",$H508)),ISNUMBER(SEARCH("월2.3",$H508)),ISNUMBER(SEARCH("월1.2.3",$H508))),1,"")</f>
        <v/>
      </c>
      <c r="L508" s="319">
        <f>IF(ISNUMBER(SEARCH("화1",$H508)),1,"")</f>
        <v/>
      </c>
      <c r="M508" s="319">
        <f>IF(OR(ISNUMBER(SEARCH("화2",$H508)),ISNUMBER(SEARCH("화1.2",$H508))),1,"")</f>
        <v/>
      </c>
      <c r="N508" s="319">
        <f>IF(OR(ISNUMBER(SEARCH("화3",$H508)),ISNUMBER(SEARCH("화1.3",$H508)),ISNUMBER(SEARCH("화2.3",$H508)),ISNUMBER(SEARCH("화1.2.3",$H508))),1,"")</f>
        <v/>
      </c>
      <c r="O508" s="319">
        <f>IF(ISNUMBER(SEARCH("수1",$H508)),1,"")</f>
        <v/>
      </c>
      <c r="P508" s="319">
        <f>IF(OR(ISNUMBER(SEARCH("수2",$H508)),ISNUMBER(SEARCH("수1.2",$H508))),1,"")</f>
        <v/>
      </c>
      <c r="Q508" s="319">
        <f>IF(OR(ISNUMBER(SEARCH("수3",$H508)),ISNUMBER(SEARCH("수1.3",$H508)),ISNUMBER(SEARCH("수2.3",$H508)),ISNUMBER(SEARCH("수1.2.3",$H508))),1,"")</f>
        <v/>
      </c>
      <c r="R508" s="319">
        <f>IF(ISNUMBER(SEARCH("목1",$H508)),1,"")</f>
        <v/>
      </c>
      <c r="S508" s="319">
        <f>IF(OR(ISNUMBER(SEARCH("목2",$H508)),ISNUMBER(SEARCH("목1.2",$H508))),1,"")</f>
        <v/>
      </c>
      <c r="T508" s="319">
        <f>IF(OR(ISNUMBER(SEARCH("목3",$H508)),ISNUMBER(SEARCH("목1.3",$H508)),ISNUMBER(SEARCH("목2.3",$H508)),ISNUMBER(SEARCH("목1.2.3",$H508))),1,"")</f>
        <v/>
      </c>
      <c r="U508" s="319">
        <f>IF(ISNUMBER(SEARCH("금1",$H508)),1,"")</f>
        <v/>
      </c>
      <c r="V508" s="319">
        <f>IF(OR(ISNUMBER(SEARCH("금2",$H508)),ISNUMBER(SEARCH("금1.2",$H508))),1,"")</f>
        <v/>
      </c>
      <c r="W508" s="319">
        <f>IF(OR(ISNUMBER(SEARCH("금3",$H508)),ISNUMBER(SEARCH("금1.3",$H508)),ISNUMBER(SEARCH("금2.3",$H508)),ISNUMBER(SEARCH("금1.2.3",$H508))),1,"")</f>
        <v/>
      </c>
      <c r="X508" s="319">
        <f>IF(ISNUMBER(SEARCH("토1",$H508)),1,"")</f>
        <v/>
      </c>
      <c r="Y508" s="319">
        <f>IF(OR(ISNUMBER(SEARCH("토2",$H508)),ISNUMBER(SEARCH("토1.2",$H508))),1,"")</f>
        <v/>
      </c>
      <c r="Z508" s="319">
        <f>IF(OR(ISNUMBER(SEARCH("토3",$H508)),ISNUMBER(SEARCH("토1.3",$H508)),ISNUMBER(SEARCH("토2.3",$H508)),ISNUMBER(SEARCH("토1.2.3",$H508))),1,"")</f>
        <v/>
      </c>
      <c r="AA508" s="319">
        <f>IF(ISNUMBER(SEARCH("일1",$H508)),1,"")</f>
        <v/>
      </c>
      <c r="AB508" s="319">
        <f>IF(OR(ISNUMBER(SEARCH("일2",$H508)),ISNUMBER(SEARCH("일1.2",$H508))),1,"")</f>
        <v/>
      </c>
      <c r="AC508" s="319">
        <f>IF(OR(ISNUMBER(SEARCH("일3",$H508)),ISNUMBER(SEARCH("일1.3",$H508)),ISNUMBER(SEARCH("일2.3",$H508)),ISNUMBER(SEARCH("일1.2.3",$H508))),1,"")</f>
        <v/>
      </c>
      <c r="AD508" s="319">
        <f>SUM(I508:AC508)</f>
        <v/>
      </c>
      <c r="AE508" s="323" t="n"/>
    </row>
    <row r="509" ht="24" customHeight="1">
      <c r="A509" s="168" t="n"/>
      <c r="B509" s="319" t="n"/>
      <c r="C509" s="319" t="n"/>
      <c r="D509" s="319" t="n"/>
      <c r="E509" s="341" t="n"/>
      <c r="F509" s="341" t="n"/>
      <c r="G509" s="342" t="n"/>
      <c r="H509" s="322" t="n"/>
      <c r="I509" s="319">
        <f>IF(ISNUMBER(SEARCH("월1",$H509)),1,"")</f>
        <v/>
      </c>
      <c r="J509" s="319">
        <f>IF(OR(ISNUMBER(SEARCH("월2",$H509)),ISNUMBER(SEARCH("월1.2",$H509))),1,"")</f>
        <v/>
      </c>
      <c r="K509" s="319">
        <f>IF(OR(ISNUMBER(SEARCH("월3",$H509)),ISNUMBER(SEARCH("월1.3",$H509)),ISNUMBER(SEARCH("월2.3",$H509)),ISNUMBER(SEARCH("월1.2.3",$H509))),1,"")</f>
        <v/>
      </c>
      <c r="L509" s="319">
        <f>IF(ISNUMBER(SEARCH("화1",$H509)),1,"")</f>
        <v/>
      </c>
      <c r="M509" s="319">
        <f>IF(OR(ISNUMBER(SEARCH("화2",$H509)),ISNUMBER(SEARCH("화1.2",$H509))),1,"")</f>
        <v/>
      </c>
      <c r="N509" s="319">
        <f>IF(OR(ISNUMBER(SEARCH("화3",$H509)),ISNUMBER(SEARCH("화1.3",$H509)),ISNUMBER(SEARCH("화2.3",$H509)),ISNUMBER(SEARCH("화1.2.3",$H509))),1,"")</f>
        <v/>
      </c>
      <c r="O509" s="319">
        <f>IF(ISNUMBER(SEARCH("수1",$H509)),1,"")</f>
        <v/>
      </c>
      <c r="P509" s="319">
        <f>IF(OR(ISNUMBER(SEARCH("수2",$H509)),ISNUMBER(SEARCH("수1.2",$H509))),1,"")</f>
        <v/>
      </c>
      <c r="Q509" s="319">
        <f>IF(OR(ISNUMBER(SEARCH("수3",$H509)),ISNUMBER(SEARCH("수1.3",$H509)),ISNUMBER(SEARCH("수2.3",$H509)),ISNUMBER(SEARCH("수1.2.3",$H509))),1,"")</f>
        <v/>
      </c>
      <c r="R509" s="319">
        <f>IF(ISNUMBER(SEARCH("목1",$H509)),1,"")</f>
        <v/>
      </c>
      <c r="S509" s="319">
        <f>IF(OR(ISNUMBER(SEARCH("목2",$H509)),ISNUMBER(SEARCH("목1.2",$H509))),1,"")</f>
        <v/>
      </c>
      <c r="T509" s="319">
        <f>IF(OR(ISNUMBER(SEARCH("목3",$H509)),ISNUMBER(SEARCH("목1.3",$H509)),ISNUMBER(SEARCH("목2.3",$H509)),ISNUMBER(SEARCH("목1.2.3",$H509))),1,"")</f>
        <v/>
      </c>
      <c r="U509" s="319">
        <f>IF(ISNUMBER(SEARCH("금1",$H509)),1,"")</f>
        <v/>
      </c>
      <c r="V509" s="319">
        <f>IF(OR(ISNUMBER(SEARCH("금2",$H509)),ISNUMBER(SEARCH("금1.2",$H509))),1,"")</f>
        <v/>
      </c>
      <c r="W509" s="319">
        <f>IF(OR(ISNUMBER(SEARCH("금3",$H509)),ISNUMBER(SEARCH("금1.3",$H509)),ISNUMBER(SEARCH("금2.3",$H509)),ISNUMBER(SEARCH("금1.2.3",$H509))),1,"")</f>
        <v/>
      </c>
      <c r="X509" s="319">
        <f>IF(ISNUMBER(SEARCH("토1",$H509)),1,"")</f>
        <v/>
      </c>
      <c r="Y509" s="319">
        <f>IF(OR(ISNUMBER(SEARCH("토2",$H509)),ISNUMBER(SEARCH("토1.2",$H509))),1,"")</f>
        <v/>
      </c>
      <c r="Z509" s="319">
        <f>IF(OR(ISNUMBER(SEARCH("토3",$H509)),ISNUMBER(SEARCH("토1.3",$H509)),ISNUMBER(SEARCH("토2.3",$H509)),ISNUMBER(SEARCH("토1.2.3",$H509))),1,"")</f>
        <v/>
      </c>
      <c r="AA509" s="319">
        <f>IF(ISNUMBER(SEARCH("일1",$H509)),1,"")</f>
        <v/>
      </c>
      <c r="AB509" s="319">
        <f>IF(OR(ISNUMBER(SEARCH("일2",$H509)),ISNUMBER(SEARCH("일1.2",$H509))),1,"")</f>
        <v/>
      </c>
      <c r="AC509" s="319">
        <f>IF(OR(ISNUMBER(SEARCH("일3",$H509)),ISNUMBER(SEARCH("일1.3",$H509)),ISNUMBER(SEARCH("일2.3",$H509)),ISNUMBER(SEARCH("일1.2.3",$H509))),1,"")</f>
        <v/>
      </c>
      <c r="AD509" s="319">
        <f>SUM(I509:AC509)</f>
        <v/>
      </c>
      <c r="AE509" s="323" t="n"/>
    </row>
    <row r="510" ht="24" customHeight="1">
      <c r="A510" s="168" t="n"/>
      <c r="B510" s="319" t="n"/>
      <c r="C510" s="319" t="n"/>
      <c r="D510" s="319" t="n"/>
      <c r="E510" s="341" t="n"/>
      <c r="F510" s="341" t="n"/>
      <c r="G510" s="342" t="n"/>
      <c r="H510" s="322" t="n"/>
      <c r="I510" s="319">
        <f>IF(ISNUMBER(SEARCH("월1",$H510)),1,"")</f>
        <v/>
      </c>
      <c r="J510" s="319">
        <f>IF(OR(ISNUMBER(SEARCH("월2",$H510)),ISNUMBER(SEARCH("월1.2",$H510))),1,"")</f>
        <v/>
      </c>
      <c r="K510" s="319">
        <f>IF(OR(ISNUMBER(SEARCH("월3",$H510)),ISNUMBER(SEARCH("월1.3",$H510)),ISNUMBER(SEARCH("월2.3",$H510)),ISNUMBER(SEARCH("월1.2.3",$H510))),1,"")</f>
        <v/>
      </c>
      <c r="L510" s="319">
        <f>IF(ISNUMBER(SEARCH("화1",$H510)),1,"")</f>
        <v/>
      </c>
      <c r="M510" s="319">
        <f>IF(OR(ISNUMBER(SEARCH("화2",$H510)),ISNUMBER(SEARCH("화1.2",$H510))),1,"")</f>
        <v/>
      </c>
      <c r="N510" s="319">
        <f>IF(OR(ISNUMBER(SEARCH("화3",$H510)),ISNUMBER(SEARCH("화1.3",$H510)),ISNUMBER(SEARCH("화2.3",$H510)),ISNUMBER(SEARCH("화1.2.3",$H510))),1,"")</f>
        <v/>
      </c>
      <c r="O510" s="319">
        <f>IF(ISNUMBER(SEARCH("수1",$H510)),1,"")</f>
        <v/>
      </c>
      <c r="P510" s="319">
        <f>IF(OR(ISNUMBER(SEARCH("수2",$H510)),ISNUMBER(SEARCH("수1.2",$H510))),1,"")</f>
        <v/>
      </c>
      <c r="Q510" s="319">
        <f>IF(OR(ISNUMBER(SEARCH("수3",$H510)),ISNUMBER(SEARCH("수1.3",$H510)),ISNUMBER(SEARCH("수2.3",$H510)),ISNUMBER(SEARCH("수1.2.3",$H510))),1,"")</f>
        <v/>
      </c>
      <c r="R510" s="319">
        <f>IF(ISNUMBER(SEARCH("목1",$H510)),1,"")</f>
        <v/>
      </c>
      <c r="S510" s="319">
        <f>IF(OR(ISNUMBER(SEARCH("목2",$H510)),ISNUMBER(SEARCH("목1.2",$H510))),1,"")</f>
        <v/>
      </c>
      <c r="T510" s="319">
        <f>IF(OR(ISNUMBER(SEARCH("목3",$H510)),ISNUMBER(SEARCH("목1.3",$H510)),ISNUMBER(SEARCH("목2.3",$H510)),ISNUMBER(SEARCH("목1.2.3",$H510))),1,"")</f>
        <v/>
      </c>
      <c r="U510" s="319">
        <f>IF(ISNUMBER(SEARCH("금1",$H510)),1,"")</f>
        <v/>
      </c>
      <c r="V510" s="319">
        <f>IF(OR(ISNUMBER(SEARCH("금2",$H510)),ISNUMBER(SEARCH("금1.2",$H510))),1,"")</f>
        <v/>
      </c>
      <c r="W510" s="319">
        <f>IF(OR(ISNUMBER(SEARCH("금3",$H510)),ISNUMBER(SEARCH("금1.3",$H510)),ISNUMBER(SEARCH("금2.3",$H510)),ISNUMBER(SEARCH("금1.2.3",$H510))),1,"")</f>
        <v/>
      </c>
      <c r="X510" s="319">
        <f>IF(ISNUMBER(SEARCH("토1",$H510)),1,"")</f>
        <v/>
      </c>
      <c r="Y510" s="319">
        <f>IF(OR(ISNUMBER(SEARCH("토2",$H510)),ISNUMBER(SEARCH("토1.2",$H510))),1,"")</f>
        <v/>
      </c>
      <c r="Z510" s="319">
        <f>IF(OR(ISNUMBER(SEARCH("토3",$H510)),ISNUMBER(SEARCH("토1.3",$H510)),ISNUMBER(SEARCH("토2.3",$H510)),ISNUMBER(SEARCH("토1.2.3",$H510))),1,"")</f>
        <v/>
      </c>
      <c r="AA510" s="319">
        <f>IF(ISNUMBER(SEARCH("일1",$H510)),1,"")</f>
        <v/>
      </c>
      <c r="AB510" s="319">
        <f>IF(OR(ISNUMBER(SEARCH("일2",$H510)),ISNUMBER(SEARCH("일1.2",$H510))),1,"")</f>
        <v/>
      </c>
      <c r="AC510" s="319">
        <f>IF(OR(ISNUMBER(SEARCH("일3",$H510)),ISNUMBER(SEARCH("일1.3",$H510)),ISNUMBER(SEARCH("일2.3",$H510)),ISNUMBER(SEARCH("일1.2.3",$H510))),1,"")</f>
        <v/>
      </c>
      <c r="AD510" s="319">
        <f>SUM(I510:AC510)</f>
        <v/>
      </c>
      <c r="AE510" s="323" t="n"/>
    </row>
    <row r="511" ht="24" customHeight="1">
      <c r="A511" s="168" t="n"/>
      <c r="B511" s="319" t="n"/>
      <c r="C511" s="319" t="n"/>
      <c r="D511" s="319" t="n"/>
      <c r="E511" s="341" t="n"/>
      <c r="F511" s="341" t="n"/>
      <c r="G511" s="342" t="n"/>
      <c r="H511" s="322" t="n"/>
      <c r="I511" s="319">
        <f>IF(ISNUMBER(SEARCH("월1",$H511)),1,"")</f>
        <v/>
      </c>
      <c r="J511" s="319">
        <f>IF(OR(ISNUMBER(SEARCH("월2",$H511)),ISNUMBER(SEARCH("월1.2",$H511))),1,"")</f>
        <v/>
      </c>
      <c r="K511" s="319">
        <f>IF(OR(ISNUMBER(SEARCH("월3",$H511)),ISNUMBER(SEARCH("월1.3",$H511)),ISNUMBER(SEARCH("월2.3",$H511)),ISNUMBER(SEARCH("월1.2.3",$H511))),1,"")</f>
        <v/>
      </c>
      <c r="L511" s="319">
        <f>IF(ISNUMBER(SEARCH("화1",$H511)),1,"")</f>
        <v/>
      </c>
      <c r="M511" s="319">
        <f>IF(OR(ISNUMBER(SEARCH("화2",$H511)),ISNUMBER(SEARCH("화1.2",$H511))),1,"")</f>
        <v/>
      </c>
      <c r="N511" s="319">
        <f>IF(OR(ISNUMBER(SEARCH("화3",$H511)),ISNUMBER(SEARCH("화1.3",$H511)),ISNUMBER(SEARCH("화2.3",$H511)),ISNUMBER(SEARCH("화1.2.3",$H511))),1,"")</f>
        <v/>
      </c>
      <c r="O511" s="319">
        <f>IF(ISNUMBER(SEARCH("수1",$H511)),1,"")</f>
        <v/>
      </c>
      <c r="P511" s="319">
        <f>IF(OR(ISNUMBER(SEARCH("수2",$H511)),ISNUMBER(SEARCH("수1.2",$H511))),1,"")</f>
        <v/>
      </c>
      <c r="Q511" s="319">
        <f>IF(OR(ISNUMBER(SEARCH("수3",$H511)),ISNUMBER(SEARCH("수1.3",$H511)),ISNUMBER(SEARCH("수2.3",$H511)),ISNUMBER(SEARCH("수1.2.3",$H511))),1,"")</f>
        <v/>
      </c>
      <c r="R511" s="319">
        <f>IF(ISNUMBER(SEARCH("목1",$H511)),1,"")</f>
        <v/>
      </c>
      <c r="S511" s="319">
        <f>IF(OR(ISNUMBER(SEARCH("목2",$H511)),ISNUMBER(SEARCH("목1.2",$H511))),1,"")</f>
        <v/>
      </c>
      <c r="T511" s="319">
        <f>IF(OR(ISNUMBER(SEARCH("목3",$H511)),ISNUMBER(SEARCH("목1.3",$H511)),ISNUMBER(SEARCH("목2.3",$H511)),ISNUMBER(SEARCH("목1.2.3",$H511))),1,"")</f>
        <v/>
      </c>
      <c r="U511" s="319">
        <f>IF(ISNUMBER(SEARCH("금1",$H511)),1,"")</f>
        <v/>
      </c>
      <c r="V511" s="319">
        <f>IF(OR(ISNUMBER(SEARCH("금2",$H511)),ISNUMBER(SEARCH("금1.2",$H511))),1,"")</f>
        <v/>
      </c>
      <c r="W511" s="319">
        <f>IF(OR(ISNUMBER(SEARCH("금3",$H511)),ISNUMBER(SEARCH("금1.3",$H511)),ISNUMBER(SEARCH("금2.3",$H511)),ISNUMBER(SEARCH("금1.2.3",$H511))),1,"")</f>
        <v/>
      </c>
      <c r="X511" s="319">
        <f>IF(ISNUMBER(SEARCH("토1",$H511)),1,"")</f>
        <v/>
      </c>
      <c r="Y511" s="319">
        <f>IF(OR(ISNUMBER(SEARCH("토2",$H511)),ISNUMBER(SEARCH("토1.2",$H511))),1,"")</f>
        <v/>
      </c>
      <c r="Z511" s="319">
        <f>IF(OR(ISNUMBER(SEARCH("토3",$H511)),ISNUMBER(SEARCH("토1.3",$H511)),ISNUMBER(SEARCH("토2.3",$H511)),ISNUMBER(SEARCH("토1.2.3",$H511))),1,"")</f>
        <v/>
      </c>
      <c r="AA511" s="319">
        <f>IF(ISNUMBER(SEARCH("일1",$H511)),1,"")</f>
        <v/>
      </c>
      <c r="AB511" s="319">
        <f>IF(OR(ISNUMBER(SEARCH("일2",$H511)),ISNUMBER(SEARCH("일1.2",$H511))),1,"")</f>
        <v/>
      </c>
      <c r="AC511" s="319">
        <f>IF(OR(ISNUMBER(SEARCH("일3",$H511)),ISNUMBER(SEARCH("일1.3",$H511)),ISNUMBER(SEARCH("일2.3",$H511)),ISNUMBER(SEARCH("일1.2.3",$H511))),1,"")</f>
        <v/>
      </c>
      <c r="AD511" s="319">
        <f>SUM(I511:AC511)</f>
        <v/>
      </c>
      <c r="AE511" s="323" t="n"/>
    </row>
    <row r="512" ht="24" customHeight="1">
      <c r="A512" s="168" t="n"/>
      <c r="B512" s="319" t="n"/>
      <c r="C512" s="319" t="n"/>
      <c r="D512" s="319" t="n"/>
      <c r="E512" s="341" t="n"/>
      <c r="F512" s="341" t="n"/>
      <c r="G512" s="342" t="n"/>
      <c r="H512" s="322" t="n"/>
      <c r="I512" s="319">
        <f>IF(ISNUMBER(SEARCH("월1",$H512)),1,"")</f>
        <v/>
      </c>
      <c r="J512" s="319">
        <f>IF(OR(ISNUMBER(SEARCH("월2",$H512)),ISNUMBER(SEARCH("월1.2",$H512))),1,"")</f>
        <v/>
      </c>
      <c r="K512" s="319">
        <f>IF(OR(ISNUMBER(SEARCH("월3",$H512)),ISNUMBER(SEARCH("월1.3",$H512)),ISNUMBER(SEARCH("월2.3",$H512)),ISNUMBER(SEARCH("월1.2.3",$H512))),1,"")</f>
        <v/>
      </c>
      <c r="L512" s="319">
        <f>IF(ISNUMBER(SEARCH("화1",$H512)),1,"")</f>
        <v/>
      </c>
      <c r="M512" s="319">
        <f>IF(OR(ISNUMBER(SEARCH("화2",$H512)),ISNUMBER(SEARCH("화1.2",$H512))),1,"")</f>
        <v/>
      </c>
      <c r="N512" s="319">
        <f>IF(OR(ISNUMBER(SEARCH("화3",$H512)),ISNUMBER(SEARCH("화1.3",$H512)),ISNUMBER(SEARCH("화2.3",$H512)),ISNUMBER(SEARCH("화1.2.3",$H512))),1,"")</f>
        <v/>
      </c>
      <c r="O512" s="319">
        <f>IF(ISNUMBER(SEARCH("수1",$H512)),1,"")</f>
        <v/>
      </c>
      <c r="P512" s="319">
        <f>IF(OR(ISNUMBER(SEARCH("수2",$H512)),ISNUMBER(SEARCH("수1.2",$H512))),1,"")</f>
        <v/>
      </c>
      <c r="Q512" s="319">
        <f>IF(OR(ISNUMBER(SEARCH("수3",$H512)),ISNUMBER(SEARCH("수1.3",$H512)),ISNUMBER(SEARCH("수2.3",$H512)),ISNUMBER(SEARCH("수1.2.3",$H512))),1,"")</f>
        <v/>
      </c>
      <c r="R512" s="319">
        <f>IF(ISNUMBER(SEARCH("목1",$H512)),1,"")</f>
        <v/>
      </c>
      <c r="S512" s="319">
        <f>IF(OR(ISNUMBER(SEARCH("목2",$H512)),ISNUMBER(SEARCH("목1.2",$H512))),1,"")</f>
        <v/>
      </c>
      <c r="T512" s="319">
        <f>IF(OR(ISNUMBER(SEARCH("목3",$H512)),ISNUMBER(SEARCH("목1.3",$H512)),ISNUMBER(SEARCH("목2.3",$H512)),ISNUMBER(SEARCH("목1.2.3",$H512))),1,"")</f>
        <v/>
      </c>
      <c r="U512" s="319">
        <f>IF(ISNUMBER(SEARCH("금1",$H512)),1,"")</f>
        <v/>
      </c>
      <c r="V512" s="319">
        <f>IF(OR(ISNUMBER(SEARCH("금2",$H512)),ISNUMBER(SEARCH("금1.2",$H512))),1,"")</f>
        <v/>
      </c>
      <c r="W512" s="319">
        <f>IF(OR(ISNUMBER(SEARCH("금3",$H512)),ISNUMBER(SEARCH("금1.3",$H512)),ISNUMBER(SEARCH("금2.3",$H512)),ISNUMBER(SEARCH("금1.2.3",$H512))),1,"")</f>
        <v/>
      </c>
      <c r="X512" s="319">
        <f>IF(ISNUMBER(SEARCH("토1",$H512)),1,"")</f>
        <v/>
      </c>
      <c r="Y512" s="319">
        <f>IF(OR(ISNUMBER(SEARCH("토2",$H512)),ISNUMBER(SEARCH("토1.2",$H512))),1,"")</f>
        <v/>
      </c>
      <c r="Z512" s="319">
        <f>IF(OR(ISNUMBER(SEARCH("토3",$H512)),ISNUMBER(SEARCH("토1.3",$H512)),ISNUMBER(SEARCH("토2.3",$H512)),ISNUMBER(SEARCH("토1.2.3",$H512))),1,"")</f>
        <v/>
      </c>
      <c r="AA512" s="319">
        <f>IF(ISNUMBER(SEARCH("일1",$H512)),1,"")</f>
        <v/>
      </c>
      <c r="AB512" s="319">
        <f>IF(OR(ISNUMBER(SEARCH("일2",$H512)),ISNUMBER(SEARCH("일1.2",$H512))),1,"")</f>
        <v/>
      </c>
      <c r="AC512" s="319">
        <f>IF(OR(ISNUMBER(SEARCH("일3",$H512)),ISNUMBER(SEARCH("일1.3",$H512)),ISNUMBER(SEARCH("일2.3",$H512)),ISNUMBER(SEARCH("일1.2.3",$H512))),1,"")</f>
        <v/>
      </c>
      <c r="AD512" s="319">
        <f>SUM(I512:AC512)</f>
        <v/>
      </c>
      <c r="AE512" s="323" t="n"/>
    </row>
    <row r="513" ht="24" customHeight="1">
      <c r="A513" s="168" t="n"/>
      <c r="B513" s="319" t="n"/>
      <c r="C513" s="319" t="n"/>
      <c r="D513" s="319" t="n"/>
      <c r="E513" s="341" t="n"/>
      <c r="F513" s="341" t="n"/>
      <c r="G513" s="342" t="n"/>
      <c r="H513" s="322" t="n"/>
      <c r="I513" s="319">
        <f>IF(ISNUMBER(SEARCH("월1",$H513)),1,"")</f>
        <v/>
      </c>
      <c r="J513" s="319">
        <f>IF(OR(ISNUMBER(SEARCH("월2",$H513)),ISNUMBER(SEARCH("월1.2",$H513))),1,"")</f>
        <v/>
      </c>
      <c r="K513" s="319">
        <f>IF(OR(ISNUMBER(SEARCH("월3",$H513)),ISNUMBER(SEARCH("월1.3",$H513)),ISNUMBER(SEARCH("월2.3",$H513)),ISNUMBER(SEARCH("월1.2.3",$H513))),1,"")</f>
        <v/>
      </c>
      <c r="L513" s="319">
        <f>IF(ISNUMBER(SEARCH("화1",$H513)),1,"")</f>
        <v/>
      </c>
      <c r="M513" s="319">
        <f>IF(OR(ISNUMBER(SEARCH("화2",$H513)),ISNUMBER(SEARCH("화1.2",$H513))),1,"")</f>
        <v/>
      </c>
      <c r="N513" s="319">
        <f>IF(OR(ISNUMBER(SEARCH("화3",$H513)),ISNUMBER(SEARCH("화1.3",$H513)),ISNUMBER(SEARCH("화2.3",$H513)),ISNUMBER(SEARCH("화1.2.3",$H513))),1,"")</f>
        <v/>
      </c>
      <c r="O513" s="319">
        <f>IF(ISNUMBER(SEARCH("수1",$H513)),1,"")</f>
        <v/>
      </c>
      <c r="P513" s="319">
        <f>IF(OR(ISNUMBER(SEARCH("수2",$H513)),ISNUMBER(SEARCH("수1.2",$H513))),1,"")</f>
        <v/>
      </c>
      <c r="Q513" s="319">
        <f>IF(OR(ISNUMBER(SEARCH("수3",$H513)),ISNUMBER(SEARCH("수1.3",$H513)),ISNUMBER(SEARCH("수2.3",$H513)),ISNUMBER(SEARCH("수1.2.3",$H513))),1,"")</f>
        <v/>
      </c>
      <c r="R513" s="319">
        <f>IF(ISNUMBER(SEARCH("목1",$H513)),1,"")</f>
        <v/>
      </c>
      <c r="S513" s="319">
        <f>IF(OR(ISNUMBER(SEARCH("목2",$H513)),ISNUMBER(SEARCH("목1.2",$H513))),1,"")</f>
        <v/>
      </c>
      <c r="T513" s="319">
        <f>IF(OR(ISNUMBER(SEARCH("목3",$H513)),ISNUMBER(SEARCH("목1.3",$H513)),ISNUMBER(SEARCH("목2.3",$H513)),ISNUMBER(SEARCH("목1.2.3",$H513))),1,"")</f>
        <v/>
      </c>
      <c r="U513" s="319">
        <f>IF(ISNUMBER(SEARCH("금1",$H513)),1,"")</f>
        <v/>
      </c>
      <c r="V513" s="319">
        <f>IF(OR(ISNUMBER(SEARCH("금2",$H513)),ISNUMBER(SEARCH("금1.2",$H513))),1,"")</f>
        <v/>
      </c>
      <c r="W513" s="319">
        <f>IF(OR(ISNUMBER(SEARCH("금3",$H513)),ISNUMBER(SEARCH("금1.3",$H513)),ISNUMBER(SEARCH("금2.3",$H513)),ISNUMBER(SEARCH("금1.2.3",$H513))),1,"")</f>
        <v/>
      </c>
      <c r="X513" s="319">
        <f>IF(ISNUMBER(SEARCH("토1",$H513)),1,"")</f>
        <v/>
      </c>
      <c r="Y513" s="319">
        <f>IF(OR(ISNUMBER(SEARCH("토2",$H513)),ISNUMBER(SEARCH("토1.2",$H513))),1,"")</f>
        <v/>
      </c>
      <c r="Z513" s="319">
        <f>IF(OR(ISNUMBER(SEARCH("토3",$H513)),ISNUMBER(SEARCH("토1.3",$H513)),ISNUMBER(SEARCH("토2.3",$H513)),ISNUMBER(SEARCH("토1.2.3",$H513))),1,"")</f>
        <v/>
      </c>
      <c r="AA513" s="319">
        <f>IF(ISNUMBER(SEARCH("일1",$H513)),1,"")</f>
        <v/>
      </c>
      <c r="AB513" s="319">
        <f>IF(OR(ISNUMBER(SEARCH("일2",$H513)),ISNUMBER(SEARCH("일1.2",$H513))),1,"")</f>
        <v/>
      </c>
      <c r="AC513" s="319">
        <f>IF(OR(ISNUMBER(SEARCH("일3",$H513)),ISNUMBER(SEARCH("일1.3",$H513)),ISNUMBER(SEARCH("일2.3",$H513)),ISNUMBER(SEARCH("일1.2.3",$H513))),1,"")</f>
        <v/>
      </c>
      <c r="AD513" s="319">
        <f>SUM(I513:AC513)</f>
        <v/>
      </c>
      <c r="AE513" s="323" t="n"/>
    </row>
    <row r="514" ht="24" customHeight="1">
      <c r="A514" s="168" t="n"/>
      <c r="B514" s="319" t="n"/>
      <c r="C514" s="319" t="n"/>
      <c r="D514" s="319" t="n"/>
      <c r="E514" s="341" t="n"/>
      <c r="F514" s="341" t="n"/>
      <c r="G514" s="342" t="n"/>
      <c r="H514" s="322" t="n"/>
      <c r="I514" s="319">
        <f>IF(ISNUMBER(SEARCH("월1",$H514)),1,"")</f>
        <v/>
      </c>
      <c r="J514" s="319">
        <f>IF(OR(ISNUMBER(SEARCH("월2",$H514)),ISNUMBER(SEARCH("월1.2",$H514))),1,"")</f>
        <v/>
      </c>
      <c r="K514" s="319">
        <f>IF(OR(ISNUMBER(SEARCH("월3",$H514)),ISNUMBER(SEARCH("월1.3",$H514)),ISNUMBER(SEARCH("월2.3",$H514)),ISNUMBER(SEARCH("월1.2.3",$H514))),1,"")</f>
        <v/>
      </c>
      <c r="L514" s="319">
        <f>IF(ISNUMBER(SEARCH("화1",$H514)),1,"")</f>
        <v/>
      </c>
      <c r="M514" s="319">
        <f>IF(OR(ISNUMBER(SEARCH("화2",$H514)),ISNUMBER(SEARCH("화1.2",$H514))),1,"")</f>
        <v/>
      </c>
      <c r="N514" s="319">
        <f>IF(OR(ISNUMBER(SEARCH("화3",$H514)),ISNUMBER(SEARCH("화1.3",$H514)),ISNUMBER(SEARCH("화2.3",$H514)),ISNUMBER(SEARCH("화1.2.3",$H514))),1,"")</f>
        <v/>
      </c>
      <c r="O514" s="319">
        <f>IF(ISNUMBER(SEARCH("수1",$H514)),1,"")</f>
        <v/>
      </c>
      <c r="P514" s="319">
        <f>IF(OR(ISNUMBER(SEARCH("수2",$H514)),ISNUMBER(SEARCH("수1.2",$H514))),1,"")</f>
        <v/>
      </c>
      <c r="Q514" s="319">
        <f>IF(OR(ISNUMBER(SEARCH("수3",$H514)),ISNUMBER(SEARCH("수1.3",$H514)),ISNUMBER(SEARCH("수2.3",$H514)),ISNUMBER(SEARCH("수1.2.3",$H514))),1,"")</f>
        <v/>
      </c>
      <c r="R514" s="319">
        <f>IF(ISNUMBER(SEARCH("목1",$H514)),1,"")</f>
        <v/>
      </c>
      <c r="S514" s="319">
        <f>IF(OR(ISNUMBER(SEARCH("목2",$H514)),ISNUMBER(SEARCH("목1.2",$H514))),1,"")</f>
        <v/>
      </c>
      <c r="T514" s="319">
        <f>IF(OR(ISNUMBER(SEARCH("목3",$H514)),ISNUMBER(SEARCH("목1.3",$H514)),ISNUMBER(SEARCH("목2.3",$H514)),ISNUMBER(SEARCH("목1.2.3",$H514))),1,"")</f>
        <v/>
      </c>
      <c r="U514" s="319">
        <f>IF(ISNUMBER(SEARCH("금1",$H514)),1,"")</f>
        <v/>
      </c>
      <c r="V514" s="319">
        <f>IF(OR(ISNUMBER(SEARCH("금2",$H514)),ISNUMBER(SEARCH("금1.2",$H514))),1,"")</f>
        <v/>
      </c>
      <c r="W514" s="319">
        <f>IF(OR(ISNUMBER(SEARCH("금3",$H514)),ISNUMBER(SEARCH("금1.3",$H514)),ISNUMBER(SEARCH("금2.3",$H514)),ISNUMBER(SEARCH("금1.2.3",$H514))),1,"")</f>
        <v/>
      </c>
      <c r="X514" s="319">
        <f>IF(ISNUMBER(SEARCH("토1",$H514)),1,"")</f>
        <v/>
      </c>
      <c r="Y514" s="319">
        <f>IF(OR(ISNUMBER(SEARCH("토2",$H514)),ISNUMBER(SEARCH("토1.2",$H514))),1,"")</f>
        <v/>
      </c>
      <c r="Z514" s="319">
        <f>IF(OR(ISNUMBER(SEARCH("토3",$H514)),ISNUMBER(SEARCH("토1.3",$H514)),ISNUMBER(SEARCH("토2.3",$H514)),ISNUMBER(SEARCH("토1.2.3",$H514))),1,"")</f>
        <v/>
      </c>
      <c r="AA514" s="319">
        <f>IF(ISNUMBER(SEARCH("일1",$H514)),1,"")</f>
        <v/>
      </c>
      <c r="AB514" s="319">
        <f>IF(OR(ISNUMBER(SEARCH("일2",$H514)),ISNUMBER(SEARCH("일1.2",$H514))),1,"")</f>
        <v/>
      </c>
      <c r="AC514" s="319">
        <f>IF(OR(ISNUMBER(SEARCH("일3",$H514)),ISNUMBER(SEARCH("일1.3",$H514)),ISNUMBER(SEARCH("일2.3",$H514)),ISNUMBER(SEARCH("일1.2.3",$H514))),1,"")</f>
        <v/>
      </c>
      <c r="AD514" s="319">
        <f>SUM(I514:AC514)</f>
        <v/>
      </c>
      <c r="AE514" s="323" t="n"/>
    </row>
    <row r="515" ht="24" customHeight="1">
      <c r="A515" s="170" t="n"/>
      <c r="B515" s="324" t="n"/>
      <c r="C515" s="324" t="n"/>
      <c r="D515" s="324" t="n"/>
      <c r="E515" s="343" t="n"/>
      <c r="F515" s="343" t="n"/>
      <c r="G515" s="344" t="n"/>
      <c r="H515" s="327" t="n"/>
      <c r="I515" s="324">
        <f>IF(ISNUMBER(SEARCH("월1",$H515)),1,"")</f>
        <v/>
      </c>
      <c r="J515" s="324">
        <f>IF(OR(ISNUMBER(SEARCH("월2",$H515)),ISNUMBER(SEARCH("월1.2",$H515))),1,"")</f>
        <v/>
      </c>
      <c r="K515" s="324">
        <f>IF(OR(ISNUMBER(SEARCH("월3",$H515)),ISNUMBER(SEARCH("월1.3",$H515)),ISNUMBER(SEARCH("월2.3",$H515)),ISNUMBER(SEARCH("월1.2.3",$H515))),1,"")</f>
        <v/>
      </c>
      <c r="L515" s="324">
        <f>IF(ISNUMBER(SEARCH("화1",$H515)),1,"")</f>
        <v/>
      </c>
      <c r="M515" s="324">
        <f>IF(OR(ISNUMBER(SEARCH("화2",$H515)),ISNUMBER(SEARCH("화1.2",$H515))),1,"")</f>
        <v/>
      </c>
      <c r="N515" s="324">
        <f>IF(OR(ISNUMBER(SEARCH("화3",$H515)),ISNUMBER(SEARCH("화1.3",$H515)),ISNUMBER(SEARCH("화2.3",$H515)),ISNUMBER(SEARCH("화1.2.3",$H515))),1,"")</f>
        <v/>
      </c>
      <c r="O515" s="324">
        <f>IF(ISNUMBER(SEARCH("수1",$H515)),1,"")</f>
        <v/>
      </c>
      <c r="P515" s="324">
        <f>IF(OR(ISNUMBER(SEARCH("수2",$H515)),ISNUMBER(SEARCH("수1.2",$H515))),1,"")</f>
        <v/>
      </c>
      <c r="Q515" s="324">
        <f>IF(OR(ISNUMBER(SEARCH("수3",$H515)),ISNUMBER(SEARCH("수1.3",$H515)),ISNUMBER(SEARCH("수2.3",$H515)),ISNUMBER(SEARCH("수1.2.3",$H515))),1,"")</f>
        <v/>
      </c>
      <c r="R515" s="324">
        <f>IF(ISNUMBER(SEARCH("목1",$H515)),1,"")</f>
        <v/>
      </c>
      <c r="S515" s="324">
        <f>IF(OR(ISNUMBER(SEARCH("목2",$H515)),ISNUMBER(SEARCH("목1.2",$H515))),1,"")</f>
        <v/>
      </c>
      <c r="T515" s="324">
        <f>IF(OR(ISNUMBER(SEARCH("목3",$H515)),ISNUMBER(SEARCH("목1.3",$H515)),ISNUMBER(SEARCH("목2.3",$H515)),ISNUMBER(SEARCH("목1.2.3",$H515))),1,"")</f>
        <v/>
      </c>
      <c r="U515" s="324">
        <f>IF(ISNUMBER(SEARCH("금1",$H515)),1,"")</f>
        <v/>
      </c>
      <c r="V515" s="324">
        <f>IF(OR(ISNUMBER(SEARCH("금2",$H515)),ISNUMBER(SEARCH("금1.2",$H515))),1,"")</f>
        <v/>
      </c>
      <c r="W515" s="324">
        <f>IF(OR(ISNUMBER(SEARCH("금3",$H515)),ISNUMBER(SEARCH("금1.3",$H515)),ISNUMBER(SEARCH("금2.3",$H515)),ISNUMBER(SEARCH("금1.2.3",$H515))),1,"")</f>
        <v/>
      </c>
      <c r="X515" s="324">
        <f>IF(ISNUMBER(SEARCH("토1",$H515)),1,"")</f>
        <v/>
      </c>
      <c r="Y515" s="324">
        <f>IF(OR(ISNUMBER(SEARCH("토2",$H515)),ISNUMBER(SEARCH("토1.2",$H515))),1,"")</f>
        <v/>
      </c>
      <c r="Z515" s="324">
        <f>IF(OR(ISNUMBER(SEARCH("토3",$H515)),ISNUMBER(SEARCH("토1.3",$H515)),ISNUMBER(SEARCH("토2.3",$H515)),ISNUMBER(SEARCH("토1.2.3",$H515))),1,"")</f>
        <v/>
      </c>
      <c r="AA515" s="324">
        <f>IF(ISNUMBER(SEARCH("일1",$H515)),1,"")</f>
        <v/>
      </c>
      <c r="AB515" s="324">
        <f>IF(OR(ISNUMBER(SEARCH("일2",$H515)),ISNUMBER(SEARCH("일1.2",$H515))),1,"")</f>
        <v/>
      </c>
      <c r="AC515" s="324">
        <f>IF(OR(ISNUMBER(SEARCH("일3",$H515)),ISNUMBER(SEARCH("일1.3",$H515)),ISNUMBER(SEARCH("일2.3",$H515)),ISNUMBER(SEARCH("일1.2.3",$H515))),1,"")</f>
        <v/>
      </c>
      <c r="AD515" s="324">
        <f>SUM(I515:AC515)</f>
        <v/>
      </c>
      <c r="AE515" s="328" t="n"/>
    </row>
  </sheetData>
  <mergeCells count="30">
    <mergeCell ref="A57:AE57"/>
    <mergeCell ref="A210:AE210"/>
    <mergeCell ref="C4:C5"/>
    <mergeCell ref="O4:Q4"/>
    <mergeCell ref="E4:E5"/>
    <mergeCell ref="A414:AE414"/>
    <mergeCell ref="AA4:AC4"/>
    <mergeCell ref="A159:AE159"/>
    <mergeCell ref="A312:AE312"/>
    <mergeCell ref="L4:N4"/>
    <mergeCell ref="D4:D5"/>
    <mergeCell ref="K2:AE2"/>
    <mergeCell ref="X4:Z4"/>
    <mergeCell ref="I4:K4"/>
    <mergeCell ref="A261:AE261"/>
    <mergeCell ref="A4:A5"/>
    <mergeCell ref="G4:G5"/>
    <mergeCell ref="A1:AE1"/>
    <mergeCell ref="U4:W4"/>
    <mergeCell ref="AD4:AD5"/>
    <mergeCell ref="A6:AE6"/>
    <mergeCell ref="A363:AE363"/>
    <mergeCell ref="B4:B5"/>
    <mergeCell ref="F4:F5"/>
    <mergeCell ref="A108:AE108"/>
    <mergeCell ref="H4:H5"/>
    <mergeCell ref="R4:T4"/>
    <mergeCell ref="AE4:AE5"/>
    <mergeCell ref="A2:J2"/>
    <mergeCell ref="A465:AE465"/>
  </mergeCells>
  <conditionalFormatting sqref="I7:AC515">
    <cfRule type="expression" priority="1" dxfId="0">
      <formula>I7=1</formula>
    </cfRule>
  </conditionalFormatting>
  <dataValidations count="10">
    <dataValidation sqref="D7:D56" showDropDown="0" showInputMessage="0" showErrorMessage="0" allowBlank="0" type="list">
      <formula1>"1,2,3,4,5,6,검정고시,졸업생,기타"</formula1>
    </dataValidation>
    <dataValidation sqref="D58:D107" showDropDown="0" showInputMessage="0" showErrorMessage="0" allowBlank="0" type="list">
      <formula1>"1,2,3,4,5,6,검정고시,졸업생,기타"</formula1>
    </dataValidation>
    <dataValidation sqref="D109:D158" showDropDown="0" showInputMessage="0" showErrorMessage="0" allowBlank="0" type="list">
      <formula1>"1,2,3,4,5,6,검정고시,졸업생,기타"</formula1>
    </dataValidation>
    <dataValidation sqref="D160:D209" showDropDown="0" showInputMessage="0" showErrorMessage="0" allowBlank="0" type="list">
      <formula1>"1,2,3,4,5,6,검정고시,졸업생,기타"</formula1>
    </dataValidation>
    <dataValidation sqref="D211:D260" showDropDown="0" showInputMessage="0" showErrorMessage="0" allowBlank="0" type="list">
      <formula1>"1,2,3,4,5,6,검정고시,졸업생,기타"</formula1>
    </dataValidation>
    <dataValidation sqref="D262:D311" showDropDown="0" showInputMessage="0" showErrorMessage="0" allowBlank="0" type="list">
      <formula1>"1,2,3,4,5,6,검정고시,졸업생,기타"</formula1>
    </dataValidation>
    <dataValidation sqref="D313:D362" showDropDown="0" showInputMessage="0" showErrorMessage="0" allowBlank="0" type="list">
      <formula1>"1,2,3,4,5,6,검정고시,졸업생,기타"</formula1>
    </dataValidation>
    <dataValidation sqref="D364:D413" showDropDown="0" showInputMessage="0" showErrorMessage="0" allowBlank="0" type="list">
      <formula1>"1,2,3,4,5,6,검정고시,졸업생,기타"</formula1>
    </dataValidation>
    <dataValidation sqref="D415:D464" showDropDown="0" showInputMessage="0" showErrorMessage="0" allowBlank="0" type="list">
      <formula1>"1,2,3,4,5,6,검정고시,졸업생,기타"</formula1>
    </dataValidation>
    <dataValidation sqref="D466:D515" showDropDown="0" showInputMessage="0" showErrorMessage="0" allowBlank="0" type="list">
      <formula1>"1,2,3,4,5,6,검정고시,졸업생,기타"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5" customWidth="1" min="3" max="3"/>
    <col width="8" customWidth="1" min="4" max="4"/>
    <col width="16" customWidth="1" min="5" max="5"/>
    <col width="19" customWidth="1" min="6" max="6"/>
    <col width="11" customWidth="1" min="7" max="7"/>
    <col width="28" customWidth="1" min="8" max="8"/>
    <col width="5.199999809265137" customWidth="1" min="9" max="9"/>
    <col width="5.199999809265137" customWidth="1" min="10" max="10"/>
    <col width="5.199999809265137" customWidth="1" min="11" max="11"/>
    <col width="5.199999809265137" customWidth="1" min="12" max="12"/>
    <col width="5.199999809265137" customWidth="1" min="13" max="13"/>
    <col width="5.199999809265137" customWidth="1" min="14" max="14"/>
    <col width="5.199999809265137" customWidth="1" min="15" max="15"/>
    <col width="5.199999809265137" customWidth="1" min="16" max="16"/>
    <col width="5.199999809265137" customWidth="1" min="17" max="17"/>
    <col width="5.199999809265137" customWidth="1" min="18" max="18"/>
    <col width="5.199999809265137" customWidth="1" min="19" max="19"/>
    <col width="5.199999809265137" customWidth="1" min="20" max="20"/>
    <col width="5.199999809265137" customWidth="1" min="21" max="21"/>
    <col width="5.199999809265137" customWidth="1" min="22" max="22"/>
    <col width="5.199999809265137" customWidth="1" min="23" max="23"/>
    <col width="5.199999809265137" customWidth="1" min="24" max="24"/>
    <col width="5.199999809265137" customWidth="1" min="25" max="25"/>
    <col width="5.199999809265137" customWidth="1" min="26" max="26"/>
    <col width="5.199999809265137" customWidth="1" min="27" max="27"/>
    <col width="5.199999809265137" customWidth="1" min="28" max="28"/>
    <col width="5.199999809265137" customWidth="1" min="29" max="29"/>
    <col width="8" customWidth="1" min="30" max="30"/>
    <col width="20" customWidth="1" min="31" max="31"/>
  </cols>
  <sheetData>
    <row r="1">
      <c r="A1" s="213" t="inlineStr">
        <is>
          <t>종합입력 작성 예시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>
      <c r="A2" s="14" t="inlineStr">
        <is>
          <t>캠퍼스: 여기에 입력하세요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4" t="inlineStr">
        <is>
          <t>수업요일 입력 예: 화1 목1 토1.2</t>
        </is>
      </c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</row>
    <row r="4">
      <c r="A4" s="345" t="inlineStr">
        <is>
          <t>No</t>
        </is>
      </c>
      <c r="B4" s="346" t="inlineStr">
        <is>
          <t>이름</t>
        </is>
      </c>
      <c r="C4" s="346" t="inlineStr">
        <is>
          <t>학교</t>
        </is>
      </c>
      <c r="D4" s="346" t="inlineStr">
        <is>
          <t>학년</t>
        </is>
      </c>
      <c r="E4" s="346" t="inlineStr">
        <is>
          <t>학생 전화번호</t>
        </is>
      </c>
      <c r="F4" s="346" t="inlineStr">
        <is>
          <t>학부모 전화번호</t>
        </is>
      </c>
      <c r="G4" s="346" t="inlineStr">
        <is>
          <t>등록일</t>
        </is>
      </c>
      <c r="H4" s="347" t="inlineStr">
        <is>
          <t>수업요일</t>
        </is>
      </c>
      <c r="I4" s="233" t="inlineStr">
        <is>
          <t>월</t>
        </is>
      </c>
      <c r="J4" s="332" t="n"/>
      <c r="K4" s="332" t="n"/>
      <c r="L4" s="233" t="inlineStr">
        <is>
          <t>화</t>
        </is>
      </c>
      <c r="M4" s="332" t="n"/>
      <c r="N4" s="332" t="n"/>
      <c r="O4" s="233" t="inlineStr">
        <is>
          <t>수</t>
        </is>
      </c>
      <c r="P4" s="332" t="n"/>
      <c r="Q4" s="332" t="n"/>
      <c r="R4" s="233" t="inlineStr">
        <is>
          <t>목</t>
        </is>
      </c>
      <c r="S4" s="332" t="n"/>
      <c r="T4" s="332" t="n"/>
      <c r="U4" s="233" t="inlineStr">
        <is>
          <t>금</t>
        </is>
      </c>
      <c r="V4" s="332" t="n"/>
      <c r="W4" s="332" t="n"/>
      <c r="X4" s="233" t="inlineStr">
        <is>
          <t>토</t>
        </is>
      </c>
      <c r="Y4" s="332" t="n"/>
      <c r="Z4" s="332" t="n"/>
      <c r="AA4" s="233" t="inlineStr">
        <is>
          <t>일</t>
        </is>
      </c>
      <c r="AB4" s="332" t="n"/>
      <c r="AC4" s="332" t="n"/>
      <c r="AD4" s="345" t="inlineStr">
        <is>
          <t>총횟수</t>
        </is>
      </c>
      <c r="AE4" s="347" t="inlineStr">
        <is>
          <t>비고</t>
        </is>
      </c>
    </row>
    <row r="5">
      <c r="A5" s="333" t="n"/>
      <c r="B5" s="334" t="n"/>
      <c r="C5" s="334" t="n"/>
      <c r="D5" s="334" t="n"/>
      <c r="E5" s="334" t="n"/>
      <c r="F5" s="334" t="n"/>
      <c r="G5" s="334" t="n"/>
      <c r="H5" s="335" t="n"/>
      <c r="I5" s="224" t="n">
        <v>1</v>
      </c>
      <c r="J5" s="224" t="n">
        <v>2</v>
      </c>
      <c r="K5" s="224" t="n">
        <v>3</v>
      </c>
      <c r="L5" s="224" t="n">
        <v>1</v>
      </c>
      <c r="M5" s="224" t="n">
        <v>2</v>
      </c>
      <c r="N5" s="224" t="n">
        <v>3</v>
      </c>
      <c r="O5" s="224" t="n">
        <v>1</v>
      </c>
      <c r="P5" s="224" t="n">
        <v>2</v>
      </c>
      <c r="Q5" s="224" t="n">
        <v>3</v>
      </c>
      <c r="R5" s="224" t="n">
        <v>1</v>
      </c>
      <c r="S5" s="224" t="n">
        <v>2</v>
      </c>
      <c r="T5" s="224" t="n">
        <v>3</v>
      </c>
      <c r="U5" s="224" t="n">
        <v>1</v>
      </c>
      <c r="V5" s="224" t="n">
        <v>2</v>
      </c>
      <c r="W5" s="224" t="n">
        <v>3</v>
      </c>
      <c r="X5" s="224" t="n">
        <v>1</v>
      </c>
      <c r="Y5" s="224" t="n">
        <v>2</v>
      </c>
      <c r="Z5" s="224" t="n">
        <v>3</v>
      </c>
      <c r="AA5" s="224" t="n">
        <v>1</v>
      </c>
      <c r="AB5" s="224" t="n">
        <v>2</v>
      </c>
      <c r="AC5" s="224" t="n">
        <v>3</v>
      </c>
      <c r="AD5" s="333" t="n"/>
      <c r="AE5" s="335" t="n"/>
    </row>
    <row r="6">
      <c r="A6" s="348" t="n"/>
      <c r="B6" s="337" t="n"/>
      <c r="C6" s="337" t="n"/>
      <c r="D6" s="337" t="n"/>
      <c r="E6" s="337" t="n"/>
      <c r="F6" s="337" t="n"/>
      <c r="G6" s="337" t="n"/>
      <c r="H6" s="337" t="n"/>
      <c r="I6" s="337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  <c r="AC6" s="337" t="n"/>
      <c r="AD6" s="337" t="n"/>
      <c r="AE6" s="338" t="n"/>
    </row>
    <row r="7">
      <c r="A7" s="274" t="n"/>
      <c r="B7" s="275" t="n"/>
      <c r="C7" s="275" t="n"/>
      <c r="D7" s="275" t="n"/>
      <c r="E7" s="349" t="n"/>
      <c r="F7" s="349" t="n"/>
      <c r="G7" s="350" t="n"/>
      <c r="H7" s="284" t="n"/>
      <c r="I7" s="275">
        <f>IF(ISNUMBER(SEARCH("월1",$H7)),1,"")</f>
        <v/>
      </c>
      <c r="J7" s="275">
        <f>IF(OR(ISNUMBER(SEARCH("월2",$H7)),ISNUMBER(SEARCH("월1.2",$H7))),1,"")</f>
        <v/>
      </c>
      <c r="K7" s="275">
        <f>IF(OR(ISNUMBER(SEARCH("월3",$H7)),ISNUMBER(SEARCH("월1.3",$H7)),ISNUMBER(SEARCH("월2.3",$H7)),ISNUMBER(SEARCH("월1.2.3",$H7))),1,"")</f>
        <v/>
      </c>
      <c r="L7" s="275">
        <f>IF(ISNUMBER(SEARCH("화1",$H7)),1,"")</f>
        <v/>
      </c>
      <c r="M7" s="275">
        <f>IF(OR(ISNUMBER(SEARCH("화2",$H7)),ISNUMBER(SEARCH("화1.2",$H7))),1,"")</f>
        <v/>
      </c>
      <c r="N7" s="275">
        <f>IF(OR(ISNUMBER(SEARCH("화3",$H7)),ISNUMBER(SEARCH("화1.3",$H7)),ISNUMBER(SEARCH("화2.3",$H7)),ISNUMBER(SEARCH("화1.2.3",$H7))),1,"")</f>
        <v/>
      </c>
      <c r="O7" s="275">
        <f>IF(ISNUMBER(SEARCH("수1",$H7)),1,"")</f>
        <v/>
      </c>
      <c r="P7" s="275">
        <f>IF(OR(ISNUMBER(SEARCH("수2",$H7)),ISNUMBER(SEARCH("수1.2",$H7))),1,"")</f>
        <v/>
      </c>
      <c r="Q7" s="275">
        <f>IF(OR(ISNUMBER(SEARCH("수3",$H7)),ISNUMBER(SEARCH("수1.3",$H7)),ISNUMBER(SEARCH("수2.3",$H7)),ISNUMBER(SEARCH("수1.2.3",$H7))),1,"")</f>
        <v/>
      </c>
      <c r="R7" s="275">
        <f>IF(ISNUMBER(SEARCH("목1",$H7)),1,"")</f>
        <v/>
      </c>
      <c r="S7" s="275">
        <f>IF(OR(ISNUMBER(SEARCH("목2",$H7)),ISNUMBER(SEARCH("목1.2",$H7))),1,"")</f>
        <v/>
      </c>
      <c r="T7" s="275">
        <f>IF(OR(ISNUMBER(SEARCH("목3",$H7)),ISNUMBER(SEARCH("목1.3",$H7)),ISNUMBER(SEARCH("목2.3",$H7)),ISNUMBER(SEARCH("목1.2.3",$H7))),1,"")</f>
        <v/>
      </c>
      <c r="U7" s="275">
        <f>IF(ISNUMBER(SEARCH("금1",$H7)),1,"")</f>
        <v/>
      </c>
      <c r="V7" s="275">
        <f>IF(OR(ISNUMBER(SEARCH("금2",$H7)),ISNUMBER(SEARCH("금1.2",$H7))),1,"")</f>
        <v/>
      </c>
      <c r="W7" s="275">
        <f>IF(OR(ISNUMBER(SEARCH("금3",$H7)),ISNUMBER(SEARCH("금1.3",$H7)),ISNUMBER(SEARCH("금2.3",$H7)),ISNUMBER(SEARCH("금1.2.3",$H7))),1,"")</f>
        <v/>
      </c>
      <c r="X7" s="275">
        <f>IF(ISNUMBER(SEARCH("토1",$H7)),1,"")</f>
        <v/>
      </c>
      <c r="Y7" s="275">
        <f>IF(OR(ISNUMBER(SEARCH("토2",$H7)),ISNUMBER(SEARCH("토1.2",$H7))),1,"")</f>
        <v/>
      </c>
      <c r="Z7" s="275">
        <f>IF(OR(ISNUMBER(SEARCH("토3",$H7)),ISNUMBER(SEARCH("토1.3",$H7)),ISNUMBER(SEARCH("토2.3",$H7)),ISNUMBER(SEARCH("토1.2.3",$H7))),1,"")</f>
        <v/>
      </c>
      <c r="AA7" s="275">
        <f>IF(ISNUMBER(SEARCH("일1",$H7)),1,"")</f>
        <v/>
      </c>
      <c r="AB7" s="275">
        <f>IF(OR(ISNUMBER(SEARCH("일2",$H7)),ISNUMBER(SEARCH("일1.2",$H7))),1,"")</f>
        <v/>
      </c>
      <c r="AC7" s="275">
        <f>IF(OR(ISNUMBER(SEARCH("일3",$H7)),ISNUMBER(SEARCH("일1.3",$H7)),ISNUMBER(SEARCH("일2.3",$H7)),ISNUMBER(SEARCH("일1.2.3",$H7))),1,"")</f>
        <v/>
      </c>
      <c r="AD7" s="275">
        <f>SUM(I7:AC7)</f>
        <v/>
      </c>
      <c r="AE7" s="276" t="n"/>
    </row>
    <row r="8">
      <c r="A8" s="274" t="n"/>
      <c r="B8" s="275" t="n"/>
      <c r="C8" s="275" t="n"/>
      <c r="D8" s="275" t="n"/>
      <c r="E8" s="349" t="n"/>
      <c r="F8" s="349" t="n"/>
      <c r="G8" s="350" t="n"/>
      <c r="H8" s="284" t="n"/>
      <c r="I8" s="275">
        <f>IF(ISNUMBER(SEARCH("월1",$H8)),1,"")</f>
        <v/>
      </c>
      <c r="J8" s="275">
        <f>IF(OR(ISNUMBER(SEARCH("월2",$H8)),ISNUMBER(SEARCH("월1.2",$H8))),1,"")</f>
        <v/>
      </c>
      <c r="K8" s="275">
        <f>IF(OR(ISNUMBER(SEARCH("월3",$H8)),ISNUMBER(SEARCH("월1.3",$H8)),ISNUMBER(SEARCH("월2.3",$H8)),ISNUMBER(SEARCH("월1.2.3",$H8))),1,"")</f>
        <v/>
      </c>
      <c r="L8" s="275">
        <f>IF(ISNUMBER(SEARCH("화1",$H8)),1,"")</f>
        <v/>
      </c>
      <c r="M8" s="275">
        <f>IF(OR(ISNUMBER(SEARCH("화2",$H8)),ISNUMBER(SEARCH("화1.2",$H8))),1,"")</f>
        <v/>
      </c>
      <c r="N8" s="275">
        <f>IF(OR(ISNUMBER(SEARCH("화3",$H8)),ISNUMBER(SEARCH("화1.3",$H8)),ISNUMBER(SEARCH("화2.3",$H8)),ISNUMBER(SEARCH("화1.2.3",$H8))),1,"")</f>
        <v/>
      </c>
      <c r="O8" s="275">
        <f>IF(ISNUMBER(SEARCH("수1",$H8)),1,"")</f>
        <v/>
      </c>
      <c r="P8" s="275">
        <f>IF(OR(ISNUMBER(SEARCH("수2",$H8)),ISNUMBER(SEARCH("수1.2",$H8))),1,"")</f>
        <v/>
      </c>
      <c r="Q8" s="275">
        <f>IF(OR(ISNUMBER(SEARCH("수3",$H8)),ISNUMBER(SEARCH("수1.3",$H8)),ISNUMBER(SEARCH("수2.3",$H8)),ISNUMBER(SEARCH("수1.2.3",$H8))),1,"")</f>
        <v/>
      </c>
      <c r="R8" s="275">
        <f>IF(ISNUMBER(SEARCH("목1",$H8)),1,"")</f>
        <v/>
      </c>
      <c r="S8" s="275">
        <f>IF(OR(ISNUMBER(SEARCH("목2",$H8)),ISNUMBER(SEARCH("목1.2",$H8))),1,"")</f>
        <v/>
      </c>
      <c r="T8" s="275">
        <f>IF(OR(ISNUMBER(SEARCH("목3",$H8)),ISNUMBER(SEARCH("목1.3",$H8)),ISNUMBER(SEARCH("목2.3",$H8)),ISNUMBER(SEARCH("목1.2.3",$H8))),1,"")</f>
        <v/>
      </c>
      <c r="U8" s="275">
        <f>IF(ISNUMBER(SEARCH("금1",$H8)),1,"")</f>
        <v/>
      </c>
      <c r="V8" s="275">
        <f>IF(OR(ISNUMBER(SEARCH("금2",$H8)),ISNUMBER(SEARCH("금1.2",$H8))),1,"")</f>
        <v/>
      </c>
      <c r="W8" s="275">
        <f>IF(OR(ISNUMBER(SEARCH("금3",$H8)),ISNUMBER(SEARCH("금1.3",$H8)),ISNUMBER(SEARCH("금2.3",$H8)),ISNUMBER(SEARCH("금1.2.3",$H8))),1,"")</f>
        <v/>
      </c>
      <c r="X8" s="275">
        <f>IF(ISNUMBER(SEARCH("토1",$H8)),1,"")</f>
        <v/>
      </c>
      <c r="Y8" s="275">
        <f>IF(OR(ISNUMBER(SEARCH("토2",$H8)),ISNUMBER(SEARCH("토1.2",$H8))),1,"")</f>
        <v/>
      </c>
      <c r="Z8" s="275">
        <f>IF(OR(ISNUMBER(SEARCH("토3",$H8)),ISNUMBER(SEARCH("토1.3",$H8)),ISNUMBER(SEARCH("토2.3",$H8)),ISNUMBER(SEARCH("토1.2.3",$H8))),1,"")</f>
        <v/>
      </c>
      <c r="AA8" s="275">
        <f>IF(ISNUMBER(SEARCH("일1",$H8)),1,"")</f>
        <v/>
      </c>
      <c r="AB8" s="275">
        <f>IF(OR(ISNUMBER(SEARCH("일2",$H8)),ISNUMBER(SEARCH("일1.2",$H8))),1,"")</f>
        <v/>
      </c>
      <c r="AC8" s="275">
        <f>IF(OR(ISNUMBER(SEARCH("일3",$H8)),ISNUMBER(SEARCH("일1.3",$H8)),ISNUMBER(SEARCH("일2.3",$H8)),ISNUMBER(SEARCH("일1.2.3",$H8))),1,"")</f>
        <v/>
      </c>
      <c r="AD8" s="275">
        <f>SUM(I8:AC8)</f>
        <v/>
      </c>
      <c r="AE8" s="276" t="n"/>
    </row>
    <row r="9">
      <c r="A9" s="348" t="n"/>
      <c r="B9" s="337" t="n"/>
      <c r="C9" s="337" t="n"/>
      <c r="D9" s="337" t="n"/>
      <c r="E9" s="337" t="n"/>
      <c r="F9" s="337" t="n"/>
      <c r="G9" s="337" t="n"/>
      <c r="H9" s="337" t="n"/>
      <c r="I9" s="337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  <c r="AC9" s="337" t="n"/>
      <c r="AD9" s="337" t="n"/>
      <c r="AE9" s="338" t="n"/>
    </row>
    <row r="10">
      <c r="A10" s="274" t="n"/>
      <c r="B10" s="275" t="n"/>
      <c r="C10" s="275" t="n"/>
      <c r="D10" s="275" t="n"/>
      <c r="E10" s="349" t="n"/>
      <c r="F10" s="349" t="n"/>
      <c r="G10" s="350" t="n"/>
      <c r="H10" s="284" t="n"/>
      <c r="I10" s="275">
        <f>IF(ISNUMBER(SEARCH("월1",$H10)),1,"")</f>
        <v/>
      </c>
      <c r="J10" s="275">
        <f>IF(OR(ISNUMBER(SEARCH("월2",$H10)),ISNUMBER(SEARCH("월1.2",$H10))),1,"")</f>
        <v/>
      </c>
      <c r="K10" s="275">
        <f>IF(OR(ISNUMBER(SEARCH("월3",$H10)),ISNUMBER(SEARCH("월1.3",$H10)),ISNUMBER(SEARCH("월2.3",$H10)),ISNUMBER(SEARCH("월1.2.3",$H10))),1,"")</f>
        <v/>
      </c>
      <c r="L10" s="275">
        <f>IF(ISNUMBER(SEARCH("화1",$H10)),1,"")</f>
        <v/>
      </c>
      <c r="M10" s="275">
        <f>IF(OR(ISNUMBER(SEARCH("화2",$H10)),ISNUMBER(SEARCH("화1.2",$H10))),1,"")</f>
        <v/>
      </c>
      <c r="N10" s="275">
        <f>IF(OR(ISNUMBER(SEARCH("화3",$H10)),ISNUMBER(SEARCH("화1.3",$H10)),ISNUMBER(SEARCH("화2.3",$H10)),ISNUMBER(SEARCH("화1.2.3",$H10))),1,"")</f>
        <v/>
      </c>
      <c r="O10" s="275">
        <f>IF(ISNUMBER(SEARCH("수1",$H10)),1,"")</f>
        <v/>
      </c>
      <c r="P10" s="275">
        <f>IF(OR(ISNUMBER(SEARCH("수2",$H10)),ISNUMBER(SEARCH("수1.2",$H10))),1,"")</f>
        <v/>
      </c>
      <c r="Q10" s="275">
        <f>IF(OR(ISNUMBER(SEARCH("수3",$H10)),ISNUMBER(SEARCH("수1.3",$H10)),ISNUMBER(SEARCH("수2.3",$H10)),ISNUMBER(SEARCH("수1.2.3",$H10))),1,"")</f>
        <v/>
      </c>
      <c r="R10" s="275">
        <f>IF(ISNUMBER(SEARCH("목1",$H10)),1,"")</f>
        <v/>
      </c>
      <c r="S10" s="275">
        <f>IF(OR(ISNUMBER(SEARCH("목2",$H10)),ISNUMBER(SEARCH("목1.2",$H10))),1,"")</f>
        <v/>
      </c>
      <c r="T10" s="275">
        <f>IF(OR(ISNUMBER(SEARCH("목3",$H10)),ISNUMBER(SEARCH("목1.3",$H10)),ISNUMBER(SEARCH("목2.3",$H10)),ISNUMBER(SEARCH("목1.2.3",$H10))),1,"")</f>
        <v/>
      </c>
      <c r="U10" s="275">
        <f>IF(ISNUMBER(SEARCH("금1",$H10)),1,"")</f>
        <v/>
      </c>
      <c r="V10" s="275">
        <f>IF(OR(ISNUMBER(SEARCH("금2",$H10)),ISNUMBER(SEARCH("금1.2",$H10))),1,"")</f>
        <v/>
      </c>
      <c r="W10" s="275">
        <f>IF(OR(ISNUMBER(SEARCH("금3",$H10)),ISNUMBER(SEARCH("금1.3",$H10)),ISNUMBER(SEARCH("금2.3",$H10)),ISNUMBER(SEARCH("금1.2.3",$H10))),1,"")</f>
        <v/>
      </c>
      <c r="X10" s="275">
        <f>IF(ISNUMBER(SEARCH("토1",$H10)),1,"")</f>
        <v/>
      </c>
      <c r="Y10" s="275">
        <f>IF(OR(ISNUMBER(SEARCH("토2",$H10)),ISNUMBER(SEARCH("토1.2",$H10))),1,"")</f>
        <v/>
      </c>
      <c r="Z10" s="275">
        <f>IF(OR(ISNUMBER(SEARCH("토3",$H10)),ISNUMBER(SEARCH("토1.3",$H10)),ISNUMBER(SEARCH("토2.3",$H10)),ISNUMBER(SEARCH("토1.2.3",$H10))),1,"")</f>
        <v/>
      </c>
      <c r="AA10" s="275">
        <f>IF(ISNUMBER(SEARCH("일1",$H10)),1,"")</f>
        <v/>
      </c>
      <c r="AB10" s="275">
        <f>IF(OR(ISNUMBER(SEARCH("일2",$H10)),ISNUMBER(SEARCH("일1.2",$H10))),1,"")</f>
        <v/>
      </c>
      <c r="AC10" s="275">
        <f>IF(OR(ISNUMBER(SEARCH("일3",$H10)),ISNUMBER(SEARCH("일1.3",$H10)),ISNUMBER(SEARCH("일2.3",$H10)),ISNUMBER(SEARCH("일1.2.3",$H10))),1,"")</f>
        <v/>
      </c>
      <c r="AD10" s="275">
        <f>SUM(I10:AC10)</f>
        <v/>
      </c>
      <c r="AE10" s="276" t="n"/>
    </row>
    <row r="11">
      <c r="A11" s="274" t="n"/>
      <c r="B11" s="275" t="n"/>
      <c r="C11" s="275" t="n"/>
      <c r="D11" s="275" t="n"/>
      <c r="E11" s="349" t="n"/>
      <c r="F11" s="349" t="n"/>
      <c r="G11" s="350" t="n"/>
      <c r="H11" s="284" t="n"/>
      <c r="I11" s="275">
        <f>IF(ISNUMBER(SEARCH("월1",$H11)),1,"")</f>
        <v/>
      </c>
      <c r="J11" s="275">
        <f>IF(OR(ISNUMBER(SEARCH("월2",$H11)),ISNUMBER(SEARCH("월1.2",$H11))),1,"")</f>
        <v/>
      </c>
      <c r="K11" s="275">
        <f>IF(OR(ISNUMBER(SEARCH("월3",$H11)),ISNUMBER(SEARCH("월1.3",$H11)),ISNUMBER(SEARCH("월2.3",$H11)),ISNUMBER(SEARCH("월1.2.3",$H11))),1,"")</f>
        <v/>
      </c>
      <c r="L11" s="275">
        <f>IF(ISNUMBER(SEARCH("화1",$H11)),1,"")</f>
        <v/>
      </c>
      <c r="M11" s="275">
        <f>IF(OR(ISNUMBER(SEARCH("화2",$H11)),ISNUMBER(SEARCH("화1.2",$H11))),1,"")</f>
        <v/>
      </c>
      <c r="N11" s="275">
        <f>IF(OR(ISNUMBER(SEARCH("화3",$H11)),ISNUMBER(SEARCH("화1.3",$H11)),ISNUMBER(SEARCH("화2.3",$H11)),ISNUMBER(SEARCH("화1.2.3",$H11))),1,"")</f>
        <v/>
      </c>
      <c r="O11" s="275">
        <f>IF(ISNUMBER(SEARCH("수1",$H11)),1,"")</f>
        <v/>
      </c>
      <c r="P11" s="275">
        <f>IF(OR(ISNUMBER(SEARCH("수2",$H11)),ISNUMBER(SEARCH("수1.2",$H11))),1,"")</f>
        <v/>
      </c>
      <c r="Q11" s="275">
        <f>IF(OR(ISNUMBER(SEARCH("수3",$H11)),ISNUMBER(SEARCH("수1.3",$H11)),ISNUMBER(SEARCH("수2.3",$H11)),ISNUMBER(SEARCH("수1.2.3",$H11))),1,"")</f>
        <v/>
      </c>
      <c r="R11" s="275">
        <f>IF(ISNUMBER(SEARCH("목1",$H11)),1,"")</f>
        <v/>
      </c>
      <c r="S11" s="275">
        <f>IF(OR(ISNUMBER(SEARCH("목2",$H11)),ISNUMBER(SEARCH("목1.2",$H11))),1,"")</f>
        <v/>
      </c>
      <c r="T11" s="275">
        <f>IF(OR(ISNUMBER(SEARCH("목3",$H11)),ISNUMBER(SEARCH("목1.3",$H11)),ISNUMBER(SEARCH("목2.3",$H11)),ISNUMBER(SEARCH("목1.2.3",$H11))),1,"")</f>
        <v/>
      </c>
      <c r="U11" s="275">
        <f>IF(ISNUMBER(SEARCH("금1",$H11)),1,"")</f>
        <v/>
      </c>
      <c r="V11" s="275">
        <f>IF(OR(ISNUMBER(SEARCH("금2",$H11)),ISNUMBER(SEARCH("금1.2",$H11))),1,"")</f>
        <v/>
      </c>
      <c r="W11" s="275">
        <f>IF(OR(ISNUMBER(SEARCH("금3",$H11)),ISNUMBER(SEARCH("금1.3",$H11)),ISNUMBER(SEARCH("금2.3",$H11)),ISNUMBER(SEARCH("금1.2.3",$H11))),1,"")</f>
        <v/>
      </c>
      <c r="X11" s="275">
        <f>IF(ISNUMBER(SEARCH("토1",$H11)),1,"")</f>
        <v/>
      </c>
      <c r="Y11" s="275">
        <f>IF(OR(ISNUMBER(SEARCH("토2",$H11)),ISNUMBER(SEARCH("토1.2",$H11))),1,"")</f>
        <v/>
      </c>
      <c r="Z11" s="275">
        <f>IF(OR(ISNUMBER(SEARCH("토3",$H11)),ISNUMBER(SEARCH("토1.3",$H11)),ISNUMBER(SEARCH("토2.3",$H11)),ISNUMBER(SEARCH("토1.2.3",$H11))),1,"")</f>
        <v/>
      </c>
      <c r="AA11" s="275">
        <f>IF(ISNUMBER(SEARCH("일1",$H11)),1,"")</f>
        <v/>
      </c>
      <c r="AB11" s="275">
        <f>IF(OR(ISNUMBER(SEARCH("일2",$H11)),ISNUMBER(SEARCH("일1.2",$H11))),1,"")</f>
        <v/>
      </c>
      <c r="AC11" s="275">
        <f>IF(OR(ISNUMBER(SEARCH("일3",$H11)),ISNUMBER(SEARCH("일1.3",$H11)),ISNUMBER(SEARCH("일2.3",$H11)),ISNUMBER(SEARCH("일1.2.3",$H11))),1,"")</f>
        <v/>
      </c>
      <c r="AD11" s="275">
        <f>SUM(I11:AC11)</f>
        <v/>
      </c>
      <c r="AE11" s="276" t="n"/>
    </row>
  </sheetData>
  <mergeCells count="22">
    <mergeCell ref="C4:C5"/>
    <mergeCell ref="E4:E5"/>
    <mergeCell ref="O4:Q4"/>
    <mergeCell ref="AA4:AC4"/>
    <mergeCell ref="L4:N4"/>
    <mergeCell ref="D4:D5"/>
    <mergeCell ref="K2:AE2"/>
    <mergeCell ref="X4:Z4"/>
    <mergeCell ref="I4:K4"/>
    <mergeCell ref="A9:AE9"/>
    <mergeCell ref="A4:A5"/>
    <mergeCell ref="G4:G5"/>
    <mergeCell ref="A1:AE1"/>
    <mergeCell ref="U4:W4"/>
    <mergeCell ref="AD4:AD5"/>
    <mergeCell ref="A6:AE6"/>
    <mergeCell ref="B4:B5"/>
    <mergeCell ref="F4:F5"/>
    <mergeCell ref="H4:H5"/>
    <mergeCell ref="R4:T4"/>
    <mergeCell ref="AE4:AE5"/>
    <mergeCell ref="A2:J2"/>
  </mergeCells>
  <conditionalFormatting sqref="I7:AC12">
    <cfRule type="expression" priority="1" dxfId="1">
      <formula>I7=1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1" customWidth="1" min="1" max="1"/>
    <col width="98" customWidth="1" min="2" max="2"/>
  </cols>
  <sheetData>
    <row r="1">
      <c r="A1" s="212" t="inlineStr">
        <is>
          <t>출석부 종합입력 최종 통합 배포용 — 사용안내 및 주의사항</t>
        </is>
      </c>
      <c r="B1" s="1" t="n"/>
      <c r="C1" s="1" t="n"/>
      <c r="D1" s="1" t="n"/>
      <c r="E1" s="1" t="n"/>
      <c r="F1" s="1" t="n"/>
    </row>
    <row r="3" ht="30" customHeight="1">
      <c r="A3" s="290" t="inlineStr">
        <is>
          <t>구분</t>
        </is>
      </c>
      <c r="B3" s="291" t="inlineStr">
        <is>
          <t>내용</t>
        </is>
      </c>
    </row>
    <row r="4" ht="30" customHeight="1">
      <c r="A4" s="304" t="inlineStr">
        <is>
          <t>반영 내용</t>
        </is>
      </c>
      <c r="B4" s="305" t="inlineStr">
        <is>
          <t>2026.09 기존 출석부의 메인 학생 명단을 반별로 통합 양식에 이관했습니다.</t>
        </is>
      </c>
    </row>
    <row r="5" ht="30" customHeight="1">
      <c r="A5" s="306" t="inlineStr">
        <is>
          <t>반 구성</t>
        </is>
      </c>
      <c r="B5" s="307" t="inlineStr">
        <is>
          <t>기초A반 / 기초심화반 / 기초심화 3학년 / 심화반 / 입시기초반 / 칸만화 / 상황표현</t>
        </is>
      </c>
    </row>
    <row r="6" ht="30" customHeight="1">
      <c r="A6" s="306" t="inlineStr">
        <is>
          <t>용량</t>
        </is>
      </c>
      <c r="B6" s="307" t="inlineStr">
        <is>
          <t>실제 반 인원을 반영해 반별 최대 50명까지 입력 가능하도록 확장했습니다.</t>
        </is>
      </c>
    </row>
    <row r="7" ht="30" customHeight="1">
      <c r="A7" s="306" t="inlineStr">
        <is>
          <t>통합 원칙</t>
        </is>
      </c>
      <c r="B7" s="307" t="inlineStr">
        <is>
          <t>일반반·입시반·특강 모두 하나의 '종합입력' 시트를 사용합니다.</t>
        </is>
      </c>
    </row>
    <row r="8" ht="30" customHeight="1">
      <c r="A8" s="306" t="inlineStr">
        <is>
          <t>타임 구조</t>
        </is>
      </c>
      <c r="B8" s="307" t="inlineStr">
        <is>
          <t>월~일까지 각 1·2·3타임, 총 21개 타임을 지원합니다.</t>
        </is>
      </c>
    </row>
    <row r="9" ht="30" customHeight="1">
      <c r="A9" s="306" t="inlineStr">
        <is>
          <t>일반반 작성</t>
        </is>
      </c>
      <c r="B9" s="307" t="inlineStr">
        <is>
          <t>예: 화1 목1 토2 / 수1 금1 토1.2</t>
        </is>
      </c>
    </row>
    <row r="10" ht="30" customHeight="1">
      <c r="A10" s="306" t="inlineStr">
        <is>
          <t>다중타임 작성</t>
        </is>
      </c>
      <c r="B10" s="307" t="inlineStr">
        <is>
          <t>예: 월2.3 화1.2.3 금1 토1.3</t>
        </is>
      </c>
    </row>
    <row r="11" ht="30" customHeight="1">
      <c r="A11" s="306" t="inlineStr">
        <is>
          <t>학생정보</t>
        </is>
      </c>
      <c r="B11" s="307" t="inlineStr">
        <is>
          <t>이름·학교·학년·학생 전화번호·학부모 전화번호·등록일·수업요일·비고만 수정합니다.</t>
        </is>
      </c>
    </row>
    <row r="12" ht="30" customHeight="1">
      <c r="A12" s="306" t="inlineStr">
        <is>
          <t>학부모 연락처</t>
        </is>
      </c>
      <c r="B12" s="307" t="inlineStr">
        <is>
          <t>원본의 관계를 보존해 '모:010-...' / '부:010-...' / '조모:010-...' 형태로 이관했습니다.</t>
        </is>
      </c>
    </row>
    <row r="13" ht="30" customHeight="1">
      <c r="A13" s="306" t="inlineStr">
        <is>
          <t>고3 일정 변환</t>
        </is>
      </c>
      <c r="B13" s="307" t="inlineStr">
        <is>
          <t>칸만화·상황표현 등 다중타임 시트는 2026년 9월 출석기록의 실제 사용 타임을 읽어 수업요일로 변환했습니다.</t>
        </is>
      </c>
    </row>
    <row r="14" ht="30" customHeight="1">
      <c r="A14" s="306" t="inlineStr">
        <is>
          <t>자동 체크</t>
        </is>
      </c>
      <c r="B14" s="307" t="inlineStr">
        <is>
          <t>I:AC는 H열 수업요일을 기준으로 자동 체크됩니다. 직접 수정하지 마세요.</t>
        </is>
      </c>
    </row>
    <row r="15" ht="30" customHeight="1">
      <c r="A15" s="306" t="inlineStr">
        <is>
          <t>총횟수</t>
        </is>
      </c>
      <c r="B15" s="307" t="inlineStr">
        <is>
          <t>AD열은 21개 타임 체크 수를 자동 합산합니다.</t>
        </is>
      </c>
    </row>
    <row r="16" ht="30" customHeight="1">
      <c r="A16" s="306" t="inlineStr">
        <is>
          <t>빈 행</t>
        </is>
      </c>
      <c r="B16" s="307" t="inlineStr">
        <is>
          <t>이름이 비어 있는 행은 CORE에서 학생으로 인식하지 않도록 사용합니다.</t>
        </is>
      </c>
    </row>
    <row r="17" ht="30" customHeight="1">
      <c r="A17" s="306" t="inlineStr">
        <is>
          <t>파일 형식</t>
        </is>
      </c>
      <c r="B17" s="307" t="inlineStr">
        <is>
          <t>반드시 .xlsx로 저장하세요.</t>
        </is>
      </c>
    </row>
    <row r="18" ht="30" customHeight="1">
      <c r="A18" s="306" t="inlineStr">
        <is>
          <t>금지사항</t>
        </is>
      </c>
      <c r="B18" s="307" t="inlineStr">
        <is>
          <t>열/헤더/시트명 변경, 행열 삽입삭제, 반 구분 바 병합 해제, 수식 수정 금지.</t>
        </is>
      </c>
    </row>
    <row r="19" ht="30" customHeight="1">
      <c r="A19" s="306" t="inlineStr">
        <is>
          <t>CORE 업로드</t>
        </is>
      </c>
      <c r="B19" s="307" t="inlineStr">
        <is>
          <t>CORE는 '종합입력' 시트 하나만 읽도록 구현하면 됩니다.</t>
        </is>
      </c>
    </row>
    <row r="20" ht="30" customHeight="1">
      <c r="A20" s="308" t="inlineStr">
        <is>
          <t>보호</t>
        </is>
      </c>
      <c r="B20" s="309" t="inlineStr">
        <is>
          <t>입력칸 이외의 수식·서식·워크북 구조는 보호합니다. 보호해제 비밀번호: ANiHi2026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출석부 종합입력 기본 양식</dc:title>
  <dcterms:created xmlns:dcterms="http://purl.org/dc/terms/" xmlns:xsi="http://www.w3.org/2001/XMLSchema-instance" xsi:type="dcterms:W3CDTF">2026-09-28T08:50:55Z</dcterms:created>
  <dcterms:modified xmlns:dcterms="http://purl.org/dc/terms/" xmlns:xsi="http://www.w3.org/2001/XMLSchema-instance" xsi:type="dcterms:W3CDTF">2026-09-28T08:50:55Z</dcterms:modified>
  <cp:lastModifiedBy/>
</cp:coreProperties>
</file>