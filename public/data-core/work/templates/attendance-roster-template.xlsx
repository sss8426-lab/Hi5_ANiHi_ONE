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169823b3f204fec" /></Relationships>
</file>

<file path=xl/workbook.xml><?xml version="1.0" encoding="utf-8"?>
<workbook xmlns="http://schemas.openxmlformats.org/spreadsheetml/2006/main" xmlns:r="http://schemas.openxmlformats.org/officeDocument/2006/relationships">
  <workbookProtection workbookPassword="8F90" lockStructure="1"/>
  <sheets>
    <sheet name="종합입력" sheetId="1" r:id="R934545ab54674982"/>
    <sheet name="작성예시" sheetId="2" r:id="R7c501434dedc453c"/>
    <sheet name="사용안내_주의사항" sheetId="3" r:id="Rfaa563bb03b549c0"/>
  </sheets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2">
    <numFmt numFmtId="200" formatCode="@"/>
    <numFmt numFmtId="201" formatCode="yy-mm-dd"/>
  </numFmts>
  <fonts count="8">
    <font>
      <sz val="11"/>
      <name val="Carlito"/>
    </font>
    <font>
      <b/>
      <sz val="18"/>
      <name val="Carlito"/>
    </font>
    <font>
      <b/>
      <sz val="10"/>
      <name val="Carlito"/>
    </font>
    <font>
      <b/>
      <sz val="12"/>
      <name val="Carlito"/>
    </font>
    <font>
      <sz val="10"/>
      <name val="Carlito"/>
    </font>
    <font>
      <b/>
      <sz val="16"/>
      <color rgb="FFFFFFFF"/>
      <name val="Carlito"/>
    </font>
    <font>
      <b/>
      <sz val="10"/>
      <color rgb="FF17365D"/>
      <name val="Carlito"/>
    </font>
    <font>
      <b/>
      <sz val="11"/>
      <name val="Carlito"/>
    </font>
  </fonts>
  <fills count="9">
    <fill>
      <patternFill patternType="none"/>
    </fill>
    <fill>
      <patternFill patternType="gray125"/>
    </fill>
    <fill>
      <patternFill patternType="solid">
        <fgColor rgb="FFF4B183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8CBAD"/>
      </patternFill>
    </fill>
    <fill>
      <patternFill patternType="solid">
        <fgColor rgb="FFFFF2CC"/>
      </patternFill>
    </fill>
    <fill>
      <patternFill patternType="solid">
        <fgColor rgb="FF4472C4"/>
      </patternFill>
    </fill>
    <fill>
      <patternFill patternType="solid">
        <fgColor rgb="FFD9EAF7"/>
      </patternFill>
    </fill>
  </fills>
  <borders count="26">
    <border/>
    <border/>
    <border>
      <left style="thin">
        <color rgb="FFA6A6A6"/>
      </left>
      <top style="thin">
        <color rgb="FFA6A6A6"/>
      </top>
      <bottom style="thin">
        <color rgb="FFA6A6A6"/>
      </bottom>
    </border>
    <border>
      <top style="thin">
        <color rgb="FFA6A6A6"/>
      </top>
      <bottom style="thin">
        <color rgb="FFA6A6A6"/>
      </bottom>
    </border>
    <border>
      <right style="thin">
        <color rgb="FFA6A6A6"/>
      </right>
      <top style="thin">
        <color rgb="FFA6A6A6"/>
      </top>
      <bottom style="thin">
        <color rgb="FFA6A6A6"/>
      </bottom>
    </border>
    <border>
      <left style="thin">
        <color rgb="FFA6A6A6"/>
      </left>
      <top style="thin">
        <color rgb="FFA6A6A6"/>
      </top>
      <bottom style="thin">
        <color rgb="FFA6A6A6"/>
      </bottom>
    </border>
    <border>
      <top style="thin">
        <color rgb="FFA6A6A6"/>
      </top>
      <bottom style="thin">
        <color rgb="FFA6A6A6"/>
      </bottom>
    </border>
    <border>
      <right style="thin">
        <color rgb="FFA6A6A6"/>
      </right>
      <top style="thin">
        <color rgb="FFA6A6A6"/>
      </top>
      <bottom style="thin">
        <color rgb="FFA6A6A6"/>
      </bottom>
    </border>
    <border>
      <left style="thin">
        <color rgb="FFD9D9D9"/>
      </left>
      <top style="thin">
        <color rgb="FFD9D9D9"/>
      </top>
      <bottom style="thin">
        <color rgb="FFD9D9D9"/>
      </bottom>
    </border>
    <border>
      <top style="thin">
        <color rgb="FFD9D9D9"/>
      </top>
      <bottom style="thin">
        <color rgb="FFD9D9D9"/>
      </bottom>
    </border>
    <border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top style="thin">
        <color rgb="FFD9D9D9"/>
      </top>
      <bottom style="thin">
        <color rgb="FFD9D9D9"/>
      </bottom>
    </border>
    <border>
      <top style="thin">
        <color rgb="FFD9D9D9"/>
      </top>
      <bottom style="thin">
        <color rgb="FFD9D9D9"/>
      </bottom>
    </border>
    <border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top style="thin">
        <color rgb="FFD9D9D9"/>
      </top>
    </border>
    <border>
      <right style="thin">
        <color rgb="FFD9D9D9"/>
      </right>
      <top style="thin">
        <color rgb="FFD9D9D9"/>
      </top>
    </border>
    <border>
      <left style="thin">
        <color rgb="FFD9D9D9"/>
      </left>
    </border>
    <border>
      <right style="thin">
        <color rgb="FFD9D9D9"/>
      </right>
    </border>
    <border>
      <left style="thin">
        <color rgb="FFD9D9D9"/>
      </left>
      <bottom style="thin">
        <color rgb="FFD9D9D9"/>
      </bottom>
    </border>
    <border>
      <right style="thin">
        <color rgb="FFD9D9D9"/>
      </right>
      <bottom style="thin">
        <color rgb="FFD9D9D9"/>
      </bottom>
    </border>
    <border>
      <left style="thin">
        <color rgb="FFD9D9D9"/>
      </left>
      <top style="thin">
        <color rgb="FFD9D9D9"/>
      </top>
    </border>
    <border>
      <right style="thin">
        <color rgb="FFD9D9D9"/>
      </right>
      <top style="thin">
        <color rgb="FFD9D9D9"/>
      </top>
    </border>
    <border>
      <left style="thin">
        <color rgb="FFD9D9D9"/>
      </left>
    </border>
    <border>
      <right style="thin">
        <color rgb="FFD9D9D9"/>
      </right>
    </border>
    <border>
      <left style="thin">
        <color rgb="FFD9D9D9"/>
      </left>
      <bottom style="thin">
        <color rgb="FFD9D9D9"/>
      </bottom>
    </border>
    <border>
      <right style="thin">
        <color rgb="FFD9D9D9"/>
      </right>
      <bottom style="thin">
        <color rgb="FFD9D9D9"/>
      </bottom>
    </border>
  </borders>
  <cellStyleXfs count="1">
    <xf numFmtId="0" fontId="0" fillId="0" borderId="0"/>
  </cellStyleXfs>
  <cellXfs count="176">
    <xf numFmtId="0" fontId="0" fillId="0" borderId="0" xfId="0"/>
    <xf numFmtId="0" fontId="0" fillId="0" borderId="1" xfId="0" applyNumberFormat="1" applyFont="1" applyFill="1" applyBorder="1"/>
    <xf numFmtId="0" fontId="0" fillId="2" borderId="0" xfId="0" applyNumberFormat="1" applyFont="1" applyFill="1" applyBorder="1"/>
    <xf numFmtId="0" fontId="1" fillId="2" borderId="0" xfId="0" applyNumberFormat="1" applyFont="1" applyFill="1" applyBorder="1"/>
    <xf numFmtId="0" fontId="1" fillId="2" borderId="0" xfId="0" applyNumberFormat="1" applyFont="1" applyFill="1" applyBorder="1" applyAlignment="1">
      <alignment horizontal="center"/>
    </xf>
    <xf numFmtId="0" fontId="1" fillId="2" borderId="0" xfId="0" applyNumberFormat="1" applyFont="1" applyFill="1" applyBorder="1" applyAlignment="1">
      <alignment horizontal="center" vertical="center"/>
    </xf>
    <xf numFmtId="0" fontId="0" fillId="2" borderId="1" xfId="0" applyNumberFormat="1" applyFont="1" applyFill="1" applyBorder="1"/>
    <xf numFmtId="0" fontId="1" fillId="2" borderId="1" xfId="0" applyNumberFormat="1" applyFont="1" applyFill="1" applyBorder="1"/>
    <xf numFmtId="0" fontId="1" fillId="2" borderId="1" xfId="0" applyNumberFormat="1" applyFont="1" applyFill="1" applyBorder="1" applyAlignment="1">
      <alignment horizontal="center"/>
    </xf>
    <xf numFmtId="0" fontId="1" fillId="2" borderId="1" xfId="0" applyNumberFormat="1" applyFont="1" applyFill="1" applyBorder="1" applyAlignment="1">
      <alignment horizontal="center" vertical="center"/>
    </xf>
    <xf numFmtId="0" fontId="0" fillId="3" borderId="0" xfId="0" applyNumberFormat="1" applyFont="1" applyFill="1" applyBorder="1"/>
    <xf numFmtId="0" fontId="2" fillId="3" borderId="0" xfId="0" applyNumberFormat="1" applyFont="1" applyFill="1" applyBorder="1"/>
    <xf numFmtId="0" fontId="2" fillId="3" borderId="0" xfId="0" applyNumberFormat="1" applyFont="1" applyFill="1" applyBorder="1" applyAlignment="1">
      <alignment vertical="center"/>
    </xf>
    <xf numFmtId="0" fontId="0" fillId="3" borderId="1" xfId="0" applyNumberFormat="1" applyFont="1" applyFill="1" applyBorder="1"/>
    <xf numFmtId="0" fontId="2" fillId="3" borderId="1" xfId="0" applyNumberFormat="1" applyFont="1" applyFill="1" applyBorder="1"/>
    <xf numFmtId="0" fontId="2" fillId="3" borderId="1" xfId="0" applyNumberFormat="1" applyFont="1" applyFill="1" applyBorder="1" applyAlignment="1">
      <alignment vertical="center"/>
    </xf>
    <xf numFmtId="0" fontId="2" fillId="3" borderId="0" xfId="0" applyNumberFormat="1" applyFont="1" applyFill="1" applyBorder="1" applyAlignment="1">
      <alignment horizontal="left" vertical="center"/>
    </xf>
    <xf numFmtId="0" fontId="2" fillId="3" borderId="1" xfId="0" applyNumberFormat="1" applyFont="1" applyFill="1" applyBorder="1" applyAlignment="1">
      <alignment horizontal="left" vertical="center"/>
    </xf>
    <xf numFmtId="0" fontId="2" fillId="3" borderId="0" xfId="0" applyNumberFormat="1" applyFont="1" applyFill="1" applyBorder="1" applyAlignment="1">
      <alignment horizontal="right" vertical="center"/>
    </xf>
    <xf numFmtId="0" fontId="2" fillId="3" borderId="1" xfId="0" applyNumberFormat="1" applyFont="1" applyFill="1" applyBorder="1" applyAlignment="1">
      <alignment horizontal="right" vertical="center"/>
    </xf>
    <xf numFmtId="0" fontId="0" fillId="4" borderId="0" xfId="0" applyNumberFormat="1" applyFont="1" applyFill="1" applyBorder="1"/>
    <xf numFmtId="0" fontId="2" fillId="4" borderId="0" xfId="0" applyNumberFormat="1" applyFont="1" applyFill="1" applyBorder="1"/>
    <xf numFmtId="0" fontId="2" fillId="4" borderId="2" xfId="0" applyNumberFormat="1" applyFont="1" applyFill="1" applyBorder="1"/>
    <xf numFmtId="0" fontId="2" fillId="4" borderId="3" xfId="0" applyNumberFormat="1" applyFont="1" applyFill="1" applyBorder="1"/>
    <xf numFmtId="0" fontId="2" fillId="4" borderId="4" xfId="0" applyNumberFormat="1" applyFont="1" applyFill="1" applyBorder="1"/>
    <xf numFmtId="0" fontId="2" fillId="4" borderId="2" xfId="0" applyNumberFormat="1" applyFont="1" applyFill="1" applyBorder="1" applyAlignment="1">
      <alignment wrapText="1"/>
    </xf>
    <xf numFmtId="0" fontId="2" fillId="4" borderId="3" xfId="0" applyNumberFormat="1" applyFont="1" applyFill="1" applyBorder="1" applyAlignment="1">
      <alignment wrapText="1"/>
    </xf>
    <xf numFmtId="0" fontId="2" fillId="4" borderId="4" xfId="0" applyNumberFormat="1" applyFont="1" applyFill="1" applyBorder="1" applyAlignment="1">
      <alignment wrapText="1"/>
    </xf>
    <xf numFmtId="0" fontId="2" fillId="4" borderId="2" xfId="0" applyNumberFormat="1" applyFont="1" applyFill="1" applyBorder="1" applyAlignment="1">
      <alignment horizontal="center" wrapText="1"/>
    </xf>
    <xf numFmtId="0" fontId="2" fillId="4" borderId="3" xfId="0" applyNumberFormat="1" applyFont="1" applyFill="1" applyBorder="1" applyAlignment="1">
      <alignment horizontal="center" wrapText="1"/>
    </xf>
    <xf numFmtId="0" fontId="2" fillId="4" borderId="4" xfId="0" applyNumberFormat="1" applyFont="1" applyFill="1" applyBorder="1" applyAlignment="1">
      <alignment horizontal="center" wrapText="1"/>
    </xf>
    <xf numFmtId="0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NumberFormat="1" applyFont="1" applyFill="1" applyBorder="1" applyAlignment="1">
      <alignment horizontal="center" vertical="center" wrapText="1"/>
    </xf>
    <xf numFmtId="0" fontId="2" fillId="4" borderId="4" xfId="0" applyNumberFormat="1" applyFont="1" applyFill="1" applyBorder="1" applyAlignment="1">
      <alignment horizontal="center" vertical="center" wrapText="1"/>
    </xf>
    <xf numFmtId="0" fontId="0" fillId="4" borderId="1" xfId="0" applyNumberFormat="1" applyFont="1" applyFill="1" applyBorder="1"/>
    <xf numFmtId="0" fontId="2" fillId="4" borderId="1" xfId="0" applyNumberFormat="1" applyFont="1" applyFill="1" applyBorder="1"/>
    <xf numFmtId="0" fontId="2" fillId="4" borderId="5" xfId="0" applyNumberFormat="1" applyFont="1" applyFill="1" applyBorder="1"/>
    <xf numFmtId="0" fontId="2" fillId="4" borderId="6" xfId="0" applyNumberFormat="1" applyFont="1" applyFill="1" applyBorder="1"/>
    <xf numFmtId="0" fontId="2" fillId="4" borderId="7" xfId="0" applyNumberFormat="1" applyFont="1" applyFill="1" applyBorder="1"/>
    <xf numFmtId="0" fontId="2" fillId="4" borderId="5" xfId="0" applyNumberFormat="1" applyFont="1" applyFill="1" applyBorder="1" applyAlignment="1">
      <alignment wrapText="1"/>
    </xf>
    <xf numFmtId="0" fontId="2" fillId="4" borderId="6" xfId="0" applyNumberFormat="1" applyFont="1" applyFill="1" applyBorder="1" applyAlignment="1">
      <alignment wrapText="1"/>
    </xf>
    <xf numFmtId="0" fontId="2" fillId="4" borderId="7" xfId="0" applyNumberFormat="1" applyFont="1" applyFill="1" applyBorder="1" applyAlignment="1">
      <alignment wrapText="1"/>
    </xf>
    <xf numFmtId="0" fontId="2" fillId="4" borderId="5" xfId="0" applyNumberFormat="1" applyFont="1" applyFill="1" applyBorder="1" applyAlignment="1">
      <alignment horizontal="center" wrapText="1"/>
    </xf>
    <xf numFmtId="0" fontId="2" fillId="4" borderId="6" xfId="0" applyNumberFormat="1" applyFont="1" applyFill="1" applyBorder="1" applyAlignment="1">
      <alignment horizontal="center" wrapText="1"/>
    </xf>
    <xf numFmtId="0" fontId="2" fillId="4" borderId="7" xfId="0" applyNumberFormat="1" applyFont="1" applyFill="1" applyBorder="1" applyAlignment="1">
      <alignment horizontal="center" wrapText="1"/>
    </xf>
    <xf numFmtId="0" fontId="2" fillId="4" borderId="5" xfId="0" applyNumberFormat="1" applyFont="1" applyFill="1" applyBorder="1" applyAlignment="1">
      <alignment horizontal="center" vertical="center" wrapText="1"/>
    </xf>
    <xf numFmtId="0" fontId="2" fillId="4" borderId="6" xfId="0" applyNumberFormat="1" applyFont="1" applyFill="1" applyBorder="1" applyAlignment="1">
      <alignment horizontal="center" vertical="center" wrapText="1"/>
    </xf>
    <xf numFmtId="0" fontId="2" fillId="4" borderId="7" xfId="0" applyNumberFormat="1" applyFont="1" applyFill="1" applyBorder="1" applyAlignment="1">
      <alignment horizontal="center" vertical="center" wrapText="1"/>
    </xf>
    <xf numFmtId="0" fontId="0" fillId="5" borderId="0" xfId="0" applyNumberFormat="1" applyFont="1" applyFill="1" applyBorder="1"/>
    <xf numFmtId="0" fontId="3" fillId="5" borderId="0" xfId="0" applyNumberFormat="1" applyFont="1" applyFill="1" applyBorder="1"/>
    <xf numFmtId="0" fontId="3" fillId="5" borderId="2" xfId="0" applyNumberFormat="1" applyFont="1" applyFill="1" applyBorder="1"/>
    <xf numFmtId="0" fontId="3" fillId="5" borderId="3" xfId="0" applyNumberFormat="1" applyFont="1" applyFill="1" applyBorder="1"/>
    <xf numFmtId="0" fontId="3" fillId="5" borderId="4" xfId="0" applyNumberFormat="1" applyFont="1" applyFill="1" applyBorder="1"/>
    <xf numFmtId="0" fontId="3" fillId="5" borderId="2" xfId="0" applyNumberFormat="1" applyFont="1" applyFill="1" applyBorder="1" applyAlignment="1">
      <alignment horizontal="center"/>
    </xf>
    <xf numFmtId="0" fontId="3" fillId="5" borderId="3" xfId="0" applyNumberFormat="1" applyFont="1" applyFill="1" applyBorder="1" applyAlignment="1">
      <alignment horizontal="center"/>
    </xf>
    <xf numFmtId="0" fontId="3" fillId="5" borderId="4" xfId="0" applyNumberFormat="1" applyFont="1" applyFill="1" applyBorder="1" applyAlignment="1">
      <alignment horizontal="center"/>
    </xf>
    <xf numFmtId="0" fontId="3" fillId="5" borderId="2" xfId="0" applyNumberFormat="1" applyFont="1" applyFill="1" applyBorder="1" applyAlignment="1">
      <alignment horizontal="center" vertical="center"/>
    </xf>
    <xf numFmtId="0" fontId="3" fillId="5" borderId="3" xfId="0" applyNumberFormat="1" applyFont="1" applyFill="1" applyBorder="1" applyAlignment="1">
      <alignment horizontal="center" vertical="center"/>
    </xf>
    <xf numFmtId="0" fontId="3" fillId="5" borderId="4" xfId="0" applyNumberFormat="1" applyFont="1" applyFill="1" applyBorder="1" applyAlignment="1">
      <alignment horizontal="center" vertical="center"/>
    </xf>
    <xf numFmtId="0" fontId="0" fillId="5" borderId="1" xfId="0" applyNumberFormat="1" applyFont="1" applyFill="1" applyBorder="1"/>
    <xf numFmtId="0" fontId="3" fillId="5" borderId="1" xfId="0" applyNumberFormat="1" applyFont="1" applyFill="1" applyBorder="1"/>
    <xf numFmtId="0" fontId="3" fillId="5" borderId="5" xfId="0" applyNumberFormat="1" applyFont="1" applyFill="1" applyBorder="1"/>
    <xf numFmtId="0" fontId="3" fillId="5" borderId="6" xfId="0" applyNumberFormat="1" applyFont="1" applyFill="1" applyBorder="1"/>
    <xf numFmtId="0" fontId="3" fillId="5" borderId="7" xfId="0" applyNumberFormat="1" applyFont="1" applyFill="1" applyBorder="1"/>
    <xf numFmtId="0" fontId="3" fillId="5" borderId="5" xfId="0" applyNumberFormat="1" applyFont="1" applyFill="1" applyBorder="1" applyAlignment="1">
      <alignment horizontal="center"/>
    </xf>
    <xf numFmtId="0" fontId="3" fillId="5" borderId="6" xfId="0" applyNumberFormat="1" applyFont="1" applyFill="1" applyBorder="1" applyAlignment="1">
      <alignment horizontal="center"/>
    </xf>
    <xf numFmtId="0" fontId="3" fillId="5" borderId="7" xfId="0" applyNumberFormat="1" applyFont="1" applyFill="1" applyBorder="1" applyAlignment="1">
      <alignment horizontal="center"/>
    </xf>
    <xf numFmtId="0" fontId="3" fillId="5" borderId="5" xfId="0" applyNumberFormat="1" applyFont="1" applyFill="1" applyBorder="1" applyAlignment="1">
      <alignment horizontal="center" vertical="center"/>
    </xf>
    <xf numFmtId="0" fontId="3" fillId="5" borderId="6" xfId="0" applyNumberFormat="1" applyFont="1" applyFill="1" applyBorder="1" applyAlignment="1">
      <alignment horizontal="center" vertical="center"/>
    </xf>
    <xf numFmtId="0" fontId="3" fillId="5" borderId="7" xfId="0" applyNumberFormat="1" applyFont="1" applyFill="1" applyBorder="1" applyAlignment="1">
      <alignment horizontal="center" vertical="center"/>
    </xf>
    <xf numFmtId="0" fontId="4" fillId="0" borderId="0" xfId="0" applyNumberFormat="1" applyFont="1" applyFill="1" applyBorder="1"/>
    <xf numFmtId="0" fontId="4" fillId="0" borderId="8" xfId="0" applyNumberFormat="1" applyFont="1" applyFill="1" applyBorder="1"/>
    <xf numFmtId="0" fontId="4" fillId="0" borderId="9" xfId="0" applyNumberFormat="1" applyFont="1" applyFill="1" applyBorder="1"/>
    <xf numFmtId="0" fontId="4" fillId="0" borderId="10" xfId="0" applyNumberFormat="1" applyFont="1" applyFill="1" applyBorder="1"/>
    <xf numFmtId="0" fontId="4" fillId="0" borderId="8" xfId="0" applyNumberFormat="1" applyFont="1" applyFill="1" applyBorder="1" applyAlignment="1">
      <alignment vertical="center"/>
    </xf>
    <xf numFmtId="0" fontId="4" fillId="0" borderId="9" xfId="0" applyNumberFormat="1" applyFont="1" applyFill="1" applyBorder="1" applyAlignment="1">
      <alignment vertical="center"/>
    </xf>
    <xf numFmtId="0" fontId="4" fillId="0" borderId="10" xfId="0" applyNumberFormat="1" applyFont="1" applyFill="1" applyBorder="1" applyAlignment="1">
      <alignment vertical="center"/>
    </xf>
    <xf numFmtId="0" fontId="4" fillId="0" borderId="1" xfId="0" applyNumberFormat="1" applyFont="1" applyFill="1" applyBorder="1"/>
    <xf numFmtId="0" fontId="4" fillId="0" borderId="11" xfId="0" applyNumberFormat="1" applyFont="1" applyFill="1" applyBorder="1"/>
    <xf numFmtId="0" fontId="4" fillId="0" borderId="12" xfId="0" applyNumberFormat="1" applyFont="1" applyFill="1" applyBorder="1"/>
    <xf numFmtId="0" fontId="4" fillId="0" borderId="13" xfId="0" applyNumberFormat="1" applyFont="1" applyFill="1" applyBorder="1"/>
    <xf numFmtId="0" fontId="4" fillId="0" borderId="11" xfId="0" applyNumberFormat="1" applyFont="1" applyFill="1" applyBorder="1" applyAlignment="1">
      <alignment vertical="center"/>
    </xf>
    <xf numFmtId="0" fontId="4" fillId="0" borderId="12" xfId="0" applyNumberFormat="1" applyFont="1" applyFill="1" applyBorder="1" applyAlignment="1">
      <alignment vertical="center"/>
    </xf>
    <xf numFmtId="0" fontId="4" fillId="0" borderId="13" xfId="0" applyNumberFormat="1" applyFont="1" applyFill="1" applyBorder="1" applyAlignment="1">
      <alignment vertical="center"/>
    </xf>
    <xf numFmtId="0" fontId="4" fillId="0" borderId="8" xfId="0" applyNumberFormat="1" applyFont="1" applyFill="1" applyBorder="1" applyAlignment="1">
      <alignment horizontal="center" vertical="center"/>
    </xf>
    <xf numFmtId="0" fontId="4" fillId="0" borderId="9" xfId="0" applyNumberFormat="1" applyFont="1" applyFill="1" applyBorder="1" applyAlignment="1">
      <alignment horizontal="center" vertical="center"/>
    </xf>
    <xf numFmtId="0" fontId="4" fillId="0" borderId="11" xfId="0" applyNumberFormat="1" applyFont="1" applyFill="1" applyBorder="1" applyAlignment="1">
      <alignment horizontal="center" vertical="center"/>
    </xf>
    <xf numFmtId="0" fontId="4" fillId="0" borderId="12" xfId="0" applyNumberFormat="1" applyFont="1" applyFill="1" applyBorder="1" applyAlignment="1">
      <alignment horizontal="center" vertical="center"/>
    </xf>
    <xf numFmtId="0" fontId="4" fillId="0" borderId="10" xfId="0" applyNumberFormat="1" applyFont="1" applyFill="1" applyBorder="1" applyAlignment="1">
      <alignment horizontal="left" vertical="center"/>
    </xf>
    <xf numFmtId="0" fontId="4" fillId="0" borderId="13" xfId="0" applyNumberFormat="1" applyFont="1" applyFill="1" applyBorder="1" applyAlignment="1">
      <alignment horizontal="left" vertical="center"/>
    </xf>
    <xf numFmtId="200" fontId="4" fillId="0" borderId="9" xfId="0" applyNumberFormat="1" applyFont="1" applyFill="1" applyBorder="1" applyAlignment="1">
      <alignment horizontal="center" vertical="center"/>
    </xf>
    <xf numFmtId="200" fontId="4" fillId="0" borderId="12" xfId="0" applyNumberFormat="1" applyFont="1" applyFill="1" applyBorder="1" applyAlignment="1">
      <alignment horizontal="center" vertical="center"/>
    </xf>
    <xf numFmtId="201" fontId="4" fillId="0" borderId="9" xfId="0" applyNumberFormat="1" applyFont="1" applyFill="1" applyBorder="1" applyAlignment="1">
      <alignment horizontal="center" vertical="center"/>
    </xf>
    <xf numFmtId="201" fontId="4" fillId="0" borderId="12" xfId="0" applyNumberFormat="1" applyFont="1" applyFill="1" applyBorder="1" applyAlignment="1">
      <alignment horizontal="center" vertical="center"/>
    </xf>
    <xf numFmtId="0" fontId="4" fillId="6" borderId="9" xfId="0" applyNumberFormat="1" applyFont="1" applyFill="1" applyBorder="1" applyAlignment="1">
      <alignment horizontal="center" vertical="center"/>
    </xf>
    <xf numFmtId="0" fontId="4" fillId="6" borderId="12" xfId="0" applyNumberFormat="1" applyFont="1" applyFill="1" applyBorder="1" applyAlignment="1">
      <alignment horizontal="center" vertical="center"/>
    </xf>
    <xf numFmtId="0" fontId="0" fillId="7" borderId="0" xfId="0" applyNumberFormat="1" applyFont="1" applyFill="1" applyBorder="1"/>
    <xf numFmtId="0" fontId="5" fillId="7" borderId="0" xfId="0" applyNumberFormat="1" applyFont="1" applyFill="1" applyBorder="1"/>
    <xf numFmtId="0" fontId="5" fillId="7" borderId="0" xfId="0" applyNumberFormat="1" applyFont="1" applyFill="1" applyBorder="1" applyAlignment="1">
      <alignment horizontal="center"/>
    </xf>
    <xf numFmtId="0" fontId="5" fillId="7" borderId="0" xfId="0" applyNumberFormat="1" applyFont="1" applyFill="1" applyBorder="1" applyAlignment="1">
      <alignment horizontal="center" vertical="center"/>
    </xf>
    <xf numFmtId="0" fontId="0" fillId="7" borderId="1" xfId="0" applyNumberFormat="1" applyFont="1" applyFill="1" applyBorder="1"/>
    <xf numFmtId="0" fontId="5" fillId="7" borderId="1" xfId="0" applyNumberFormat="1" applyFont="1" applyFill="1" applyBorder="1"/>
    <xf numFmtId="0" fontId="5" fillId="7" borderId="1" xfId="0" applyNumberFormat="1" applyFont="1" applyFill="1" applyBorder="1" applyAlignment="1">
      <alignment horizontal="center"/>
    </xf>
    <xf numFmtId="0" fontId="5" fillId="7" borderId="1" xfId="0" applyNumberFormat="1" applyFont="1" applyFill="1" applyBorder="1" applyAlignment="1">
      <alignment horizontal="center" vertical="center"/>
    </xf>
    <xf numFmtId="0" fontId="0" fillId="8" borderId="0" xfId="0" applyNumberFormat="1" applyFont="1" applyFill="1" applyBorder="1"/>
    <xf numFmtId="0" fontId="6" fillId="8" borderId="0" xfId="0" applyNumberFormat="1" applyFont="1" applyFill="1" applyBorder="1"/>
    <xf numFmtId="0" fontId="6" fillId="8" borderId="0" xfId="0" applyNumberFormat="1" applyFont="1" applyFill="1" applyBorder="1" applyAlignment="1">
      <alignment vertical="center"/>
    </xf>
    <xf numFmtId="0" fontId="0" fillId="8" borderId="1" xfId="0" applyNumberFormat="1" applyFont="1" applyFill="1" applyBorder="1"/>
    <xf numFmtId="0" fontId="6" fillId="8" borderId="1" xfId="0" applyNumberFormat="1" applyFont="1" applyFill="1" applyBorder="1"/>
    <xf numFmtId="0" fontId="6" fillId="8" borderId="1" xfId="0" applyNumberFormat="1" applyFont="1" applyFill="1" applyBorder="1" applyAlignment="1">
      <alignment vertical="center"/>
    </xf>
    <xf numFmtId="0" fontId="6" fillId="8" borderId="0" xfId="0" applyNumberFormat="1" applyFont="1" applyFill="1" applyBorder="1" applyAlignment="1">
      <alignment horizontal="left" vertical="center"/>
    </xf>
    <xf numFmtId="0" fontId="6" fillId="8" borderId="1" xfId="0" applyNumberFormat="1" applyFont="1" applyFill="1" applyBorder="1" applyAlignment="1">
      <alignment horizontal="left" vertical="center"/>
    </xf>
    <xf numFmtId="0" fontId="6" fillId="8" borderId="0" xfId="0" applyNumberFormat="1" applyFont="1" applyFill="1" applyBorder="1" applyAlignment="1">
      <alignment horizontal="right" vertical="center"/>
    </xf>
    <xf numFmtId="0" fontId="6" fillId="8" borderId="1" xfId="0" applyNumberFormat="1" applyFont="1" applyFill="1" applyBorder="1" applyAlignment="1">
      <alignment horizontal="right" vertical="center"/>
    </xf>
    <xf numFmtId="0" fontId="2" fillId="3" borderId="0" xfId="0" applyNumberFormat="1" applyFont="1" applyFill="1" applyBorder="1" applyAlignment="1">
      <alignment horizontal="center"/>
    </xf>
    <xf numFmtId="0" fontId="2" fillId="3" borderId="0" xfId="0" applyNumberFormat="1" applyFont="1" applyFill="1" applyBorder="1" applyAlignment="1">
      <alignment horizontal="center" vertical="center"/>
    </xf>
    <xf numFmtId="0" fontId="2" fillId="3" borderId="1" xfId="0" applyNumberFormat="1" applyFont="1" applyFill="1" applyBorder="1" applyAlignment="1">
      <alignment horizontal="center"/>
    </xf>
    <xf numFmtId="0" fontId="2" fillId="3" borderId="1" xfId="0" applyNumberFormat="1" applyFont="1" applyFill="1" applyBorder="1" applyAlignment="1">
      <alignment horizontal="center" vertical="center"/>
    </xf>
    <xf numFmtId="0" fontId="7" fillId="4" borderId="0" xfId="0" applyNumberFormat="1" applyFont="1" applyFill="1" applyBorder="1"/>
    <xf numFmtId="0" fontId="7" fillId="4" borderId="2" xfId="0" applyNumberFormat="1" applyFont="1" applyFill="1" applyBorder="1"/>
    <xf numFmtId="0" fontId="7" fillId="4" borderId="4" xfId="0" applyNumberFormat="1" applyFont="1" applyFill="1" applyBorder="1"/>
    <xf numFmtId="0" fontId="7" fillId="4" borderId="2" xfId="0" applyNumberFormat="1" applyFont="1" applyFill="1" applyBorder="1" applyAlignment="1">
      <alignment horizontal="center"/>
    </xf>
    <xf numFmtId="0" fontId="7" fillId="4" borderId="4" xfId="0" applyNumberFormat="1" applyFont="1" applyFill="1" applyBorder="1" applyAlignment="1">
      <alignment horizontal="center"/>
    </xf>
    <xf numFmtId="0" fontId="7" fillId="4" borderId="1" xfId="0" applyNumberFormat="1" applyFont="1" applyFill="1" applyBorder="1"/>
    <xf numFmtId="0" fontId="7" fillId="4" borderId="5" xfId="0" applyNumberFormat="1" applyFont="1" applyFill="1" applyBorder="1"/>
    <xf numFmtId="0" fontId="7" fillId="4" borderId="7" xfId="0" applyNumberFormat="1" applyFont="1" applyFill="1" applyBorder="1"/>
    <xf numFmtId="0" fontId="7" fillId="4" borderId="5" xfId="0" applyNumberFormat="1" applyFont="1" applyFill="1" applyBorder="1" applyAlignment="1">
      <alignment horizontal="center"/>
    </xf>
    <xf numFmtId="0" fontId="7" fillId="4" borderId="7" xfId="0" applyNumberFormat="1" applyFont="1" applyFill="1" applyBorder="1" applyAlignment="1">
      <alignment horizontal="center"/>
    </xf>
    <xf numFmtId="0" fontId="4" fillId="0" borderId="14" xfId="0" applyNumberFormat="1" applyFont="1" applyFill="1" applyBorder="1"/>
    <xf numFmtId="0" fontId="4" fillId="0" borderId="15" xfId="0" applyNumberFormat="1" applyFont="1" applyFill="1" applyBorder="1"/>
    <xf numFmtId="0" fontId="4" fillId="0" borderId="16" xfId="0" applyNumberFormat="1" applyFont="1" applyFill="1" applyBorder="1"/>
    <xf numFmtId="0" fontId="4" fillId="0" borderId="17" xfId="0" applyNumberFormat="1" applyFont="1" applyFill="1" applyBorder="1"/>
    <xf numFmtId="0" fontId="4" fillId="0" borderId="18" xfId="0" applyNumberFormat="1" applyFont="1" applyFill="1" applyBorder="1"/>
    <xf numFmtId="0" fontId="4" fillId="0" borderId="19" xfId="0" applyNumberFormat="1" applyFont="1" applyFill="1" applyBorder="1"/>
    <xf numFmtId="0" fontId="4" fillId="0" borderId="14" xfId="0" applyNumberFormat="1" applyFont="1" applyFill="1" applyBorder="1" applyAlignment="1">
      <alignment wrapText="1"/>
    </xf>
    <xf numFmtId="0" fontId="4" fillId="0" borderId="15" xfId="0" applyNumberFormat="1" applyFont="1" applyFill="1" applyBorder="1" applyAlignment="1">
      <alignment wrapText="1"/>
    </xf>
    <xf numFmtId="0" fontId="4" fillId="0" borderId="16" xfId="0" applyNumberFormat="1" applyFont="1" applyFill="1" applyBorder="1" applyAlignment="1">
      <alignment wrapText="1"/>
    </xf>
    <xf numFmtId="0" fontId="4" fillId="0" borderId="17" xfId="0" applyNumberFormat="1" applyFont="1" applyFill="1" applyBorder="1" applyAlignment="1">
      <alignment wrapText="1"/>
    </xf>
    <xf numFmtId="0" fontId="4" fillId="0" borderId="18" xfId="0" applyNumberFormat="1" applyFont="1" applyFill="1" applyBorder="1" applyAlignment="1">
      <alignment wrapText="1"/>
    </xf>
    <xf numFmtId="0" fontId="4" fillId="0" borderId="19" xfId="0" applyNumberFormat="1" applyFont="1" applyFill="1" applyBorder="1" applyAlignment="1">
      <alignment wrapText="1"/>
    </xf>
    <xf numFmtId="0" fontId="4" fillId="0" borderId="14" xfId="0" applyNumberFormat="1" applyFont="1" applyFill="1" applyBorder="1" applyAlignment="1">
      <alignment vertical="center" wrapText="1"/>
    </xf>
    <xf numFmtId="0" fontId="4" fillId="0" borderId="15" xfId="0" applyNumberFormat="1" applyFont="1" applyFill="1" applyBorder="1" applyAlignment="1">
      <alignment vertical="center" wrapText="1"/>
    </xf>
    <xf numFmtId="0" fontId="4" fillId="0" borderId="16" xfId="0" applyNumberFormat="1" applyFont="1" applyFill="1" applyBorder="1" applyAlignment="1">
      <alignment vertical="center" wrapText="1"/>
    </xf>
    <xf numFmtId="0" fontId="4" fillId="0" borderId="17" xfId="0" applyNumberFormat="1" applyFont="1" applyFill="1" applyBorder="1" applyAlignment="1">
      <alignment vertical="center" wrapText="1"/>
    </xf>
    <xf numFmtId="0" fontId="4" fillId="0" borderId="18" xfId="0" applyNumberFormat="1" applyFont="1" applyFill="1" applyBorder="1" applyAlignment="1">
      <alignment vertical="center" wrapText="1"/>
    </xf>
    <xf numFmtId="0" fontId="4" fillId="0" borderId="19" xfId="0" applyNumberFormat="1" applyFont="1" applyFill="1" applyBorder="1" applyAlignment="1">
      <alignment vertical="center" wrapText="1"/>
    </xf>
    <xf numFmtId="0" fontId="4" fillId="0" borderId="20" xfId="0" applyNumberFormat="1" applyFont="1" applyFill="1" applyBorder="1"/>
    <xf numFmtId="0" fontId="4" fillId="0" borderId="21" xfId="0" applyNumberFormat="1" applyFont="1" applyFill="1" applyBorder="1"/>
    <xf numFmtId="0" fontId="4" fillId="0" borderId="22" xfId="0" applyNumberFormat="1" applyFont="1" applyFill="1" applyBorder="1"/>
    <xf numFmtId="0" fontId="4" fillId="0" borderId="23" xfId="0" applyNumberFormat="1" applyFont="1" applyFill="1" applyBorder="1"/>
    <xf numFmtId="0" fontId="4" fillId="0" borderId="24" xfId="0" applyNumberFormat="1" applyFont="1" applyFill="1" applyBorder="1"/>
    <xf numFmtId="0" fontId="4" fillId="0" borderId="25" xfId="0" applyNumberFormat="1" applyFont="1" applyFill="1" applyBorder="1"/>
    <xf numFmtId="0" fontId="4" fillId="0" borderId="20" xfId="0" applyNumberFormat="1" applyFont="1" applyFill="1" applyBorder="1" applyAlignment="1">
      <alignment wrapText="1"/>
    </xf>
    <xf numFmtId="0" fontId="4" fillId="0" borderId="21" xfId="0" applyNumberFormat="1" applyFont="1" applyFill="1" applyBorder="1" applyAlignment="1">
      <alignment wrapText="1"/>
    </xf>
    <xf numFmtId="0" fontId="4" fillId="0" borderId="22" xfId="0" applyNumberFormat="1" applyFont="1" applyFill="1" applyBorder="1" applyAlignment="1">
      <alignment wrapText="1"/>
    </xf>
    <xf numFmtId="0" fontId="4" fillId="0" borderId="23" xfId="0" applyNumberFormat="1" applyFont="1" applyFill="1" applyBorder="1" applyAlignment="1">
      <alignment wrapText="1"/>
    </xf>
    <xf numFmtId="0" fontId="4" fillId="0" borderId="24" xfId="0" applyNumberFormat="1" applyFont="1" applyFill="1" applyBorder="1" applyAlignment="1">
      <alignment wrapText="1"/>
    </xf>
    <xf numFmtId="0" fontId="4" fillId="0" borderId="25" xfId="0" applyNumberFormat="1" applyFont="1" applyFill="1" applyBorder="1" applyAlignment="1">
      <alignment wrapText="1"/>
    </xf>
    <xf numFmtId="0" fontId="4" fillId="0" borderId="20" xfId="0" applyNumberFormat="1" applyFont="1" applyFill="1" applyBorder="1" applyAlignment="1">
      <alignment vertical="center" wrapText="1"/>
    </xf>
    <xf numFmtId="0" fontId="4" fillId="0" borderId="21" xfId="0" applyNumberFormat="1" applyFont="1" applyFill="1" applyBorder="1" applyAlignment="1">
      <alignment vertical="center" wrapText="1"/>
    </xf>
    <xf numFmtId="0" fontId="4" fillId="0" borderId="22" xfId="0" applyNumberFormat="1" applyFont="1" applyFill="1" applyBorder="1" applyAlignment="1">
      <alignment vertical="center" wrapText="1"/>
    </xf>
    <xf numFmtId="0" fontId="4" fillId="0" borderId="23" xfId="0" applyNumberFormat="1" applyFont="1" applyFill="1" applyBorder="1" applyAlignment="1">
      <alignment vertical="center" wrapText="1"/>
    </xf>
    <xf numFmtId="0" fontId="4" fillId="0" borderId="24" xfId="0" applyNumberFormat="1" applyFont="1" applyFill="1" applyBorder="1" applyAlignment="1">
      <alignment vertical="center" wrapText="1"/>
    </xf>
    <xf numFmtId="0" fontId="4" fillId="0" borderId="25" xfId="0" applyNumberFormat="1" applyFont="1" applyFill="1" applyBorder="1" applyAlignment="1">
      <alignment vertical="center" wrapText="1"/>
    </xf>
    <xf numFmtId="0" fontId="7" fillId="4" borderId="0" xfId="0" applyNumberFormat="1" applyFont="1" applyFill="1" applyBorder="1" applyAlignment="1">
      <alignment wrapText="1"/>
    </xf>
    <xf numFmtId="0" fontId="7" fillId="4" borderId="0" xfId="0" applyNumberFormat="1" applyFont="1" applyFill="1" applyBorder="1" applyAlignment="1">
      <alignment horizontal="center" wrapText="1"/>
    </xf>
    <xf numFmtId="0" fontId="7" fillId="4" borderId="0" xfId="0" applyNumberFormat="1" applyFont="1" applyFill="1" applyBorder="1" applyAlignment="1">
      <alignment horizontal="center" vertical="center" wrapText="1"/>
    </xf>
    <xf numFmtId="0" fontId="2" fillId="3" borderId="0" xfId="0" applyNumberFormat="1" applyFont="1" applyFill="1" applyBorder="1" applyAlignment="1" applyProtection="1">
      <alignment horizontal="left" vertical="center"/>
      <protection locked="0"/>
    </xf>
    <xf numFmtId="0" fontId="3" fillId="5" borderId="2" xfId="0" applyNumberFormat="1" applyFont="1" applyFill="1" applyBorder="1" applyAlignment="1" applyProtection="1">
      <alignment horizontal="center" vertical="center"/>
      <protection locked="0"/>
    </xf>
    <xf numFmtId="0" fontId="3" fillId="5" borderId="3" xfId="0" applyNumberFormat="1" applyFont="1" applyFill="1" applyBorder="1" applyAlignment="1" applyProtection="1">
      <alignment horizontal="center" vertical="center"/>
      <protection locked="0"/>
    </xf>
    <xf numFmtId="0" fontId="3" fillId="5" borderId="4" xfId="0" applyNumberFormat="1" applyFont="1" applyFill="1" applyBorder="1" applyAlignment="1" applyProtection="1">
      <alignment horizontal="center" vertical="center"/>
      <protection locked="0"/>
    </xf>
    <xf numFmtId="0" fontId="4" fillId="0" borderId="9" xfId="0" applyNumberFormat="1" applyFont="1" applyFill="1" applyBorder="1" applyAlignment="1" applyProtection="1">
      <alignment horizontal="center" vertical="center"/>
      <protection locked="0"/>
    </xf>
    <xf numFmtId="200" fontId="4" fillId="0" borderId="9" xfId="0" applyNumberFormat="1" applyFont="1" applyFill="1" applyBorder="1" applyAlignment="1" applyProtection="1">
      <alignment horizontal="center" vertical="center"/>
      <protection locked="0"/>
    </xf>
    <xf numFmtId="201" fontId="4" fillId="0" borderId="9" xfId="0" applyNumberFormat="1" applyFont="1" applyFill="1" applyBorder="1" applyAlignment="1" applyProtection="1">
      <alignment horizontal="center" vertical="center"/>
      <protection locked="0"/>
    </xf>
    <xf numFmtId="0" fontId="4" fillId="6" borderId="9" xfId="0" applyNumberFormat="1" applyFont="1" applyFill="1" applyBorder="1" applyAlignment="1" applyProtection="1">
      <alignment horizontal="center" vertical="center"/>
      <protection locked="0"/>
    </xf>
    <xf numFmtId="0" fontId="4" fillId="0" borderId="10" xfId="0" applyNumberFormat="1" applyFont="1" applyFill="1" applyBorder="1" applyAlignment="1" applyProtection="1">
      <alignment horizontal="left" vertical="center"/>
      <protection locked="0"/>
    </xf>
  </cellXfs>
  <cellStyles count="1">
    <cellStyle name="Normal" xfId="0"/>
  </cellStyles>
  <dxfs count="2">
    <dxf>
      <font>
        <b/>
      </font>
      <fill>
        <patternFill patternType="solid">
          <bgColor rgb="FFA9D565"/>
        </patternFill>
      </fill>
    </dxf>
    <dxf>
      <font>
        <b/>
      </font>
      <fill>
        <patternFill patternType="solid">
          <bgColor rgb="FFA9D565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e67ff99a6404acf" /><Relationship Type="http://schemas.openxmlformats.org/officeDocument/2006/relationships/theme" Target="/xl/theme/theme1.xml" Id="Rf4eb3929f4ec4a71" /><Relationship Type="http://schemas.openxmlformats.org/officeDocument/2006/relationships/sharedStrings" Target="/xl/sharedStrings.xml" Id="Rfbb1c48b14ce4354" /><Relationship Type="http://schemas.openxmlformats.org/officeDocument/2006/relationships/worksheet" Target="/xl/worksheets/sheet1.xml" Id="R934545ab54674982" /><Relationship Type="http://schemas.openxmlformats.org/officeDocument/2006/relationships/worksheet" Target="/xl/worksheets/sheet2.xml" Id="R7c501434dedc453c" /><Relationship Type="http://schemas.openxmlformats.org/officeDocument/2006/relationships/worksheet" Target="/xl/worksheets/sheet3.xml" Id="Rfaa563bb03b549c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FormatPr defaultRowHeight="15"/>
  <cols>
    <col min="1" max="1" width="5" hidden="0" customWidth="1"/>
    <col min="2" max="2" width="10" hidden="0" customWidth="1"/>
    <col min="3" max="3" width="15" hidden="0" customWidth="1"/>
    <col min="4" max="4" width="8" hidden="0" customWidth="1"/>
    <col min="5" max="5" width="16" hidden="0" customWidth="1"/>
    <col min="6" max="6" width="19" hidden="0" customWidth="1"/>
    <col min="7" max="7" width="11" hidden="0" customWidth="1"/>
    <col min="8" max="8" width="20" hidden="0" customWidth="1"/>
    <col min="9" max="9" width="5.5" hidden="0" customWidth="1"/>
    <col min="10" max="10" width="5.5" hidden="0" customWidth="1"/>
    <col min="11" max="11" width="5.5" hidden="0" customWidth="1"/>
    <col min="12" max="12" width="5.5" hidden="0" customWidth="1"/>
    <col min="13" max="13" width="5.5" hidden="0" customWidth="1"/>
    <col min="14" max="14" width="6.5" hidden="0" customWidth="1"/>
    <col min="15" max="15" width="6.5" hidden="0" customWidth="1"/>
    <col min="16" max="16" width="6.5" hidden="0" customWidth="1"/>
    <col min="17" max="17" width="6.5" hidden="0" customWidth="1"/>
    <col min="18" max="18" width="6.5" hidden="0" customWidth="1"/>
    <col min="19" max="19" width="6.5" hidden="0" customWidth="1"/>
    <col min="20" max="20" width="8" hidden="0" customWidth="1"/>
    <col min="21" max="21" width="20" hidden="0" customWidth="1"/>
  </cols>
  <sheetData>
    <row r="1" ht="32" customHeight="1">
      <c r="A1" s="5" t="str">
        <v>CORE 출석부 종합입력 배포용 양식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</row>
    <row r="2" ht="25" customHeight="1">
      <c r="A2" s="167" t="str">
        <v>캠퍼스: 여기에 캠퍼스명을 입력하세요</v>
      </c>
      <c r="B2" s="167"/>
      <c r="C2" s="167"/>
      <c r="D2" s="167"/>
      <c r="E2" s="167"/>
      <c r="F2" s="167"/>
      <c r="G2" s="167"/>
      <c r="H2" s="167"/>
      <c r="I2" s="167"/>
      <c r="J2" s="18" t="str">
        <v>수업요일 예: 화목토2일1 → 화·목·토(2)·일(1) 자동 체크</v>
      </c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</row>
    <row r="4" ht="30" customHeight="1">
      <c r="A4" s="31" t="str">
        <v>No</v>
      </c>
      <c r="B4" s="32" t="str">
        <v>이름</v>
      </c>
      <c r="C4" s="32" t="str">
        <v>학교</v>
      </c>
      <c r="D4" s="32" t="str">
        <v>학년</v>
      </c>
      <c r="E4" s="32" t="str">
        <v>학생 전화번호</v>
      </c>
      <c r="F4" s="32" t="str">
        <v>학부모 전화번호</v>
      </c>
      <c r="G4" s="32" t="str">
        <v>등록일</v>
      </c>
      <c r="H4" s="32" t="str">
        <v>수업요일</v>
      </c>
      <c r="I4" s="32" t="str">
        <v>월</v>
      </c>
      <c r="J4" s="32" t="str">
        <v>화</v>
      </c>
      <c r="K4" s="32" t="str">
        <v>수</v>
      </c>
      <c r="L4" s="32" t="str">
        <v>목</v>
      </c>
      <c r="M4" s="32" t="str">
        <v>금</v>
      </c>
      <c r="N4" s="32" t="str">
        <v>토(1)</v>
      </c>
      <c r="O4" s="32" t="str">
        <v>토(2)</v>
      </c>
      <c r="P4" s="32" t="str">
        <v>토(3)</v>
      </c>
      <c r="Q4" s="32" t="str">
        <v>일(1)</v>
      </c>
      <c r="R4" s="32" t="str">
        <v>일(2)</v>
      </c>
      <c r="S4" s="32" t="str">
        <v>일(3)</v>
      </c>
      <c r="T4" s="32" t="str">
        <v>총횟수</v>
      </c>
      <c r="U4" s="33" t="str">
        <v>비고</v>
      </c>
    </row>
    <row r="5" ht="27" customHeight="1">
      <c r="A5" s="168" t="str"/>
      <c r="B5" s="169"/>
      <c r="C5" s="169"/>
      <c r="D5" s="169"/>
      <c r="E5" s="169"/>
      <c r="F5" s="169"/>
      <c r="G5" s="169"/>
      <c r="H5" s="169"/>
      <c r="I5" s="169"/>
      <c r="J5" s="169"/>
      <c r="K5" s="169"/>
      <c r="L5" s="169"/>
      <c r="M5" s="169"/>
      <c r="N5" s="169"/>
      <c r="O5" s="169"/>
      <c r="P5" s="169"/>
      <c r="Q5" s="169"/>
      <c r="R5" s="169"/>
      <c r="S5" s="169"/>
      <c r="T5" s="169"/>
      <c r="U5" s="170"/>
    </row>
    <row r="6" ht="23" customHeight="1">
      <c r="A6" s="84" t="n">
        <v>1</v>
      </c>
      <c r="B6" s="171" t="str"/>
      <c r="C6" s="171" t="str"/>
      <c r="D6" s="171" t="str"/>
      <c r="E6" s="172" t="str"/>
      <c r="F6" s="172" t="str"/>
      <c r="G6" s="173" t="str"/>
      <c r="H6" s="174" t="str"/>
      <c r="I6" s="85" t="str">
        <f>IF(ISNUMBER(SEARCH("월",$H6)),1,"")</f>
      </c>
      <c r="J6" s="85" t="str">
        <f>IF(ISNUMBER(SEARCH("화",$H6)),1,"")</f>
      </c>
      <c r="K6" s="85" t="str">
        <f>IF(ISNUMBER(SEARCH("수",$H6)),1,"")</f>
      </c>
      <c r="L6" s="85" t="str">
        <f>IF(ISNUMBER(SEARCH("목",$H6)),1,"")</f>
      </c>
      <c r="M6" s="85" t="str">
        <f>IF(ISNUMBER(SEARCH("금",$H6)),1,"")</f>
      </c>
      <c r="N6" s="85" t="str">
        <f>IF(ISNUMBER(SEARCH("토1",$H6)),1,"")</f>
      </c>
      <c r="O6" s="85" t="str">
        <f>IF(ISNUMBER(SEARCH("토2",$H6)),1,"")</f>
      </c>
      <c r="P6" s="85" t="str">
        <f>IF(ISNUMBER(SEARCH("토3",$H6)),1,"")</f>
      </c>
      <c r="Q6" s="85" t="str">
        <f>IF(ISNUMBER(SEARCH("일1",$H6)),1,"")</f>
      </c>
      <c r="R6" s="85" t="str">
        <f>IF(ISNUMBER(SEARCH("일2",$H6)),1,"")</f>
      </c>
      <c r="S6" s="85" t="str">
        <f>IF(ISNUMBER(SEARCH("일3",$H6)),1,"")</f>
      </c>
      <c r="T6" s="85" t="n">
        <f>SUM(I6:S6)</f>
        <v>0</v>
      </c>
      <c r="U6" s="175" t="str"/>
    </row>
    <row r="7" ht="23" customHeight="1">
      <c r="A7" s="84" t="n">
        <v>2</v>
      </c>
      <c r="B7" s="171" t="str"/>
      <c r="C7" s="171" t="str"/>
      <c r="D7" s="171" t="str"/>
      <c r="E7" s="172" t="str"/>
      <c r="F7" s="172" t="str"/>
      <c r="G7" s="173" t="str"/>
      <c r="H7" s="174" t="str"/>
      <c r="I7" s="85" t="str">
        <f>IF(ISNUMBER(SEARCH("월",$H7)),1,"")</f>
      </c>
      <c r="J7" s="85" t="str">
        <f>IF(ISNUMBER(SEARCH("화",$H7)),1,"")</f>
      </c>
      <c r="K7" s="85" t="str">
        <f>IF(ISNUMBER(SEARCH("수",$H7)),1,"")</f>
      </c>
      <c r="L7" s="85" t="str">
        <f>IF(ISNUMBER(SEARCH("목",$H7)),1,"")</f>
      </c>
      <c r="M7" s="85" t="str">
        <f>IF(ISNUMBER(SEARCH("금",$H7)),1,"")</f>
      </c>
      <c r="N7" s="85" t="str">
        <f>IF(ISNUMBER(SEARCH("토1",$H7)),1,"")</f>
      </c>
      <c r="O7" s="85" t="str">
        <f>IF(ISNUMBER(SEARCH("토2",$H7)),1,"")</f>
      </c>
      <c r="P7" s="85" t="str">
        <f>IF(ISNUMBER(SEARCH("토3",$H7)),1,"")</f>
      </c>
      <c r="Q7" s="85" t="str">
        <f>IF(ISNUMBER(SEARCH("일1",$H7)),1,"")</f>
      </c>
      <c r="R7" s="85" t="str">
        <f>IF(ISNUMBER(SEARCH("일2",$H7)),1,"")</f>
      </c>
      <c r="S7" s="85" t="str">
        <f>IF(ISNUMBER(SEARCH("일3",$H7)),1,"")</f>
      </c>
      <c r="T7" s="85" t="n">
        <f>SUM(I7:S7)</f>
        <v>0</v>
      </c>
      <c r="U7" s="175" t="str"/>
    </row>
    <row r="8" ht="23" customHeight="1">
      <c r="A8" s="84" t="n">
        <v>3</v>
      </c>
      <c r="B8" s="171" t="str"/>
      <c r="C8" s="171" t="str"/>
      <c r="D8" s="171" t="str"/>
      <c r="E8" s="172" t="str"/>
      <c r="F8" s="172" t="str"/>
      <c r="G8" s="173" t="str"/>
      <c r="H8" s="174" t="str"/>
      <c r="I8" s="85" t="str">
        <f>IF(ISNUMBER(SEARCH("월",$H8)),1,"")</f>
      </c>
      <c r="J8" s="85" t="str">
        <f>IF(ISNUMBER(SEARCH("화",$H8)),1,"")</f>
      </c>
      <c r="K8" s="85" t="str">
        <f>IF(ISNUMBER(SEARCH("수",$H8)),1,"")</f>
      </c>
      <c r="L8" s="85" t="str">
        <f>IF(ISNUMBER(SEARCH("목",$H8)),1,"")</f>
      </c>
      <c r="M8" s="85" t="str">
        <f>IF(ISNUMBER(SEARCH("금",$H8)),1,"")</f>
      </c>
      <c r="N8" s="85" t="str">
        <f>IF(ISNUMBER(SEARCH("토1",$H8)),1,"")</f>
      </c>
      <c r="O8" s="85" t="str">
        <f>IF(ISNUMBER(SEARCH("토2",$H8)),1,"")</f>
      </c>
      <c r="P8" s="85" t="str">
        <f>IF(ISNUMBER(SEARCH("토3",$H8)),1,"")</f>
      </c>
      <c r="Q8" s="85" t="str">
        <f>IF(ISNUMBER(SEARCH("일1",$H8)),1,"")</f>
      </c>
      <c r="R8" s="85" t="str">
        <f>IF(ISNUMBER(SEARCH("일2",$H8)),1,"")</f>
      </c>
      <c r="S8" s="85" t="str">
        <f>IF(ISNUMBER(SEARCH("일3",$H8)),1,"")</f>
      </c>
      <c r="T8" s="85" t="n">
        <f>SUM(I8:S8)</f>
        <v>0</v>
      </c>
      <c r="U8" s="175" t="str"/>
    </row>
    <row r="9" ht="23" customHeight="1">
      <c r="A9" s="84" t="n">
        <v>4</v>
      </c>
      <c r="B9" s="171" t="str"/>
      <c r="C9" s="171" t="str"/>
      <c r="D9" s="171" t="str"/>
      <c r="E9" s="172" t="str"/>
      <c r="F9" s="172" t="str"/>
      <c r="G9" s="173" t="str"/>
      <c r="H9" s="174" t="str"/>
      <c r="I9" s="85" t="str">
        <f>IF(ISNUMBER(SEARCH("월",$H9)),1,"")</f>
      </c>
      <c r="J9" s="85" t="str">
        <f>IF(ISNUMBER(SEARCH("화",$H9)),1,"")</f>
      </c>
      <c r="K9" s="85" t="str">
        <f>IF(ISNUMBER(SEARCH("수",$H9)),1,"")</f>
      </c>
      <c r="L9" s="85" t="str">
        <f>IF(ISNUMBER(SEARCH("목",$H9)),1,"")</f>
      </c>
      <c r="M9" s="85" t="str">
        <f>IF(ISNUMBER(SEARCH("금",$H9)),1,"")</f>
      </c>
      <c r="N9" s="85" t="str">
        <f>IF(ISNUMBER(SEARCH("토1",$H9)),1,"")</f>
      </c>
      <c r="O9" s="85" t="str">
        <f>IF(ISNUMBER(SEARCH("토2",$H9)),1,"")</f>
      </c>
      <c r="P9" s="85" t="str">
        <f>IF(ISNUMBER(SEARCH("토3",$H9)),1,"")</f>
      </c>
      <c r="Q9" s="85" t="str">
        <f>IF(ISNUMBER(SEARCH("일1",$H9)),1,"")</f>
      </c>
      <c r="R9" s="85" t="str">
        <f>IF(ISNUMBER(SEARCH("일2",$H9)),1,"")</f>
      </c>
      <c r="S9" s="85" t="str">
        <f>IF(ISNUMBER(SEARCH("일3",$H9)),1,"")</f>
      </c>
      <c r="T9" s="85" t="n">
        <f>SUM(I9:S9)</f>
        <v>0</v>
      </c>
      <c r="U9" s="175" t="str"/>
    </row>
    <row r="10" ht="23" customHeight="1">
      <c r="A10" s="84" t="n">
        <v>5</v>
      </c>
      <c r="B10" s="171" t="str"/>
      <c r="C10" s="171" t="str"/>
      <c r="D10" s="171" t="str"/>
      <c r="E10" s="172" t="str"/>
      <c r="F10" s="172" t="str"/>
      <c r="G10" s="173" t="str"/>
      <c r="H10" s="174" t="str"/>
      <c r="I10" s="85" t="str">
        <f>IF(ISNUMBER(SEARCH("월",$H10)),1,"")</f>
      </c>
      <c r="J10" s="85" t="str">
        <f>IF(ISNUMBER(SEARCH("화",$H10)),1,"")</f>
      </c>
      <c r="K10" s="85" t="str">
        <f>IF(ISNUMBER(SEARCH("수",$H10)),1,"")</f>
      </c>
      <c r="L10" s="85" t="str">
        <f>IF(ISNUMBER(SEARCH("목",$H10)),1,"")</f>
      </c>
      <c r="M10" s="85" t="str">
        <f>IF(ISNUMBER(SEARCH("금",$H10)),1,"")</f>
      </c>
      <c r="N10" s="85" t="str">
        <f>IF(ISNUMBER(SEARCH("토1",$H10)),1,"")</f>
      </c>
      <c r="O10" s="85" t="str">
        <f>IF(ISNUMBER(SEARCH("토2",$H10)),1,"")</f>
      </c>
      <c r="P10" s="85" t="str">
        <f>IF(ISNUMBER(SEARCH("토3",$H10)),1,"")</f>
      </c>
      <c r="Q10" s="85" t="str">
        <f>IF(ISNUMBER(SEARCH("일1",$H10)),1,"")</f>
      </c>
      <c r="R10" s="85" t="str">
        <f>IF(ISNUMBER(SEARCH("일2",$H10)),1,"")</f>
      </c>
      <c r="S10" s="85" t="str">
        <f>IF(ISNUMBER(SEARCH("일3",$H10)),1,"")</f>
      </c>
      <c r="T10" s="85" t="n">
        <f>SUM(I10:S10)</f>
        <v>0</v>
      </c>
      <c r="U10" s="175" t="str"/>
    </row>
    <row r="11" ht="23" customHeight="1">
      <c r="A11" s="84" t="n">
        <v>6</v>
      </c>
      <c r="B11" s="171" t="str"/>
      <c r="C11" s="171" t="str"/>
      <c r="D11" s="171" t="str"/>
      <c r="E11" s="172" t="str"/>
      <c r="F11" s="172" t="str"/>
      <c r="G11" s="173" t="str"/>
      <c r="H11" s="174" t="str"/>
      <c r="I11" s="85" t="str">
        <f>IF(ISNUMBER(SEARCH("월",$H11)),1,"")</f>
      </c>
      <c r="J11" s="85" t="str">
        <f>IF(ISNUMBER(SEARCH("화",$H11)),1,"")</f>
      </c>
      <c r="K11" s="85" t="str">
        <f>IF(ISNUMBER(SEARCH("수",$H11)),1,"")</f>
      </c>
      <c r="L11" s="85" t="str">
        <f>IF(ISNUMBER(SEARCH("목",$H11)),1,"")</f>
      </c>
      <c r="M11" s="85" t="str">
        <f>IF(ISNUMBER(SEARCH("금",$H11)),1,"")</f>
      </c>
      <c r="N11" s="85" t="str">
        <f>IF(ISNUMBER(SEARCH("토1",$H11)),1,"")</f>
      </c>
      <c r="O11" s="85" t="str">
        <f>IF(ISNUMBER(SEARCH("토2",$H11)),1,"")</f>
      </c>
      <c r="P11" s="85" t="str">
        <f>IF(ISNUMBER(SEARCH("토3",$H11)),1,"")</f>
      </c>
      <c r="Q11" s="85" t="str">
        <f>IF(ISNUMBER(SEARCH("일1",$H11)),1,"")</f>
      </c>
      <c r="R11" s="85" t="str">
        <f>IF(ISNUMBER(SEARCH("일2",$H11)),1,"")</f>
      </c>
      <c r="S11" s="85" t="str">
        <f>IF(ISNUMBER(SEARCH("일3",$H11)),1,"")</f>
      </c>
      <c r="T11" s="85" t="n">
        <f>SUM(I11:S11)</f>
        <v>0</v>
      </c>
      <c r="U11" s="175" t="str"/>
    </row>
    <row r="12" ht="23" customHeight="1">
      <c r="A12" s="84" t="n">
        <v>7</v>
      </c>
      <c r="B12" s="171" t="str"/>
      <c r="C12" s="171" t="str"/>
      <c r="D12" s="171" t="str"/>
      <c r="E12" s="172" t="str"/>
      <c r="F12" s="172" t="str"/>
      <c r="G12" s="173" t="str"/>
      <c r="H12" s="174" t="str"/>
      <c r="I12" s="85" t="str">
        <f>IF(ISNUMBER(SEARCH("월",$H12)),1,"")</f>
      </c>
      <c r="J12" s="85" t="str">
        <f>IF(ISNUMBER(SEARCH("화",$H12)),1,"")</f>
      </c>
      <c r="K12" s="85" t="str">
        <f>IF(ISNUMBER(SEARCH("수",$H12)),1,"")</f>
      </c>
      <c r="L12" s="85" t="str">
        <f>IF(ISNUMBER(SEARCH("목",$H12)),1,"")</f>
      </c>
      <c r="M12" s="85" t="str">
        <f>IF(ISNUMBER(SEARCH("금",$H12)),1,"")</f>
      </c>
      <c r="N12" s="85" t="str">
        <f>IF(ISNUMBER(SEARCH("토1",$H12)),1,"")</f>
      </c>
      <c r="O12" s="85" t="str">
        <f>IF(ISNUMBER(SEARCH("토2",$H12)),1,"")</f>
      </c>
      <c r="P12" s="85" t="str">
        <f>IF(ISNUMBER(SEARCH("토3",$H12)),1,"")</f>
      </c>
      <c r="Q12" s="85" t="str">
        <f>IF(ISNUMBER(SEARCH("일1",$H12)),1,"")</f>
      </c>
      <c r="R12" s="85" t="str">
        <f>IF(ISNUMBER(SEARCH("일2",$H12)),1,"")</f>
      </c>
      <c r="S12" s="85" t="str">
        <f>IF(ISNUMBER(SEARCH("일3",$H12)),1,"")</f>
      </c>
      <c r="T12" s="85" t="n">
        <f>SUM(I12:S12)</f>
        <v>0</v>
      </c>
      <c r="U12" s="175" t="str"/>
    </row>
    <row r="13" ht="23" customHeight="1">
      <c r="A13" s="84" t="n">
        <v>8</v>
      </c>
      <c r="B13" s="171" t="str"/>
      <c r="C13" s="171" t="str"/>
      <c r="D13" s="171" t="str"/>
      <c r="E13" s="172" t="str"/>
      <c r="F13" s="172" t="str"/>
      <c r="G13" s="173" t="str"/>
      <c r="H13" s="174" t="str"/>
      <c r="I13" s="85" t="str">
        <f>IF(ISNUMBER(SEARCH("월",$H13)),1,"")</f>
      </c>
      <c r="J13" s="85" t="str">
        <f>IF(ISNUMBER(SEARCH("화",$H13)),1,"")</f>
      </c>
      <c r="K13" s="85" t="str">
        <f>IF(ISNUMBER(SEARCH("수",$H13)),1,"")</f>
      </c>
      <c r="L13" s="85" t="str">
        <f>IF(ISNUMBER(SEARCH("목",$H13)),1,"")</f>
      </c>
      <c r="M13" s="85" t="str">
        <f>IF(ISNUMBER(SEARCH("금",$H13)),1,"")</f>
      </c>
      <c r="N13" s="85" t="str">
        <f>IF(ISNUMBER(SEARCH("토1",$H13)),1,"")</f>
      </c>
      <c r="O13" s="85" t="str">
        <f>IF(ISNUMBER(SEARCH("토2",$H13)),1,"")</f>
      </c>
      <c r="P13" s="85" t="str">
        <f>IF(ISNUMBER(SEARCH("토3",$H13)),1,"")</f>
      </c>
      <c r="Q13" s="85" t="str">
        <f>IF(ISNUMBER(SEARCH("일1",$H13)),1,"")</f>
      </c>
      <c r="R13" s="85" t="str">
        <f>IF(ISNUMBER(SEARCH("일2",$H13)),1,"")</f>
      </c>
      <c r="S13" s="85" t="str">
        <f>IF(ISNUMBER(SEARCH("일3",$H13)),1,"")</f>
      </c>
      <c r="T13" s="85" t="n">
        <f>SUM(I13:S13)</f>
        <v>0</v>
      </c>
      <c r="U13" s="175" t="str"/>
    </row>
    <row r="14" ht="23" customHeight="1">
      <c r="A14" s="84" t="n">
        <v>9</v>
      </c>
      <c r="B14" s="171" t="str"/>
      <c r="C14" s="171" t="str"/>
      <c r="D14" s="171" t="str"/>
      <c r="E14" s="172" t="str"/>
      <c r="F14" s="172" t="str"/>
      <c r="G14" s="173" t="str"/>
      <c r="H14" s="174" t="str"/>
      <c r="I14" s="85" t="str">
        <f>IF(ISNUMBER(SEARCH("월",$H14)),1,"")</f>
      </c>
      <c r="J14" s="85" t="str">
        <f>IF(ISNUMBER(SEARCH("화",$H14)),1,"")</f>
      </c>
      <c r="K14" s="85" t="str">
        <f>IF(ISNUMBER(SEARCH("수",$H14)),1,"")</f>
      </c>
      <c r="L14" s="85" t="str">
        <f>IF(ISNUMBER(SEARCH("목",$H14)),1,"")</f>
      </c>
      <c r="M14" s="85" t="str">
        <f>IF(ISNUMBER(SEARCH("금",$H14)),1,"")</f>
      </c>
      <c r="N14" s="85" t="str">
        <f>IF(ISNUMBER(SEARCH("토1",$H14)),1,"")</f>
      </c>
      <c r="O14" s="85" t="str">
        <f>IF(ISNUMBER(SEARCH("토2",$H14)),1,"")</f>
      </c>
      <c r="P14" s="85" t="str">
        <f>IF(ISNUMBER(SEARCH("토3",$H14)),1,"")</f>
      </c>
      <c r="Q14" s="85" t="str">
        <f>IF(ISNUMBER(SEARCH("일1",$H14)),1,"")</f>
      </c>
      <c r="R14" s="85" t="str">
        <f>IF(ISNUMBER(SEARCH("일2",$H14)),1,"")</f>
      </c>
      <c r="S14" s="85" t="str">
        <f>IF(ISNUMBER(SEARCH("일3",$H14)),1,"")</f>
      </c>
      <c r="T14" s="85" t="n">
        <f>SUM(I14:S14)</f>
        <v>0</v>
      </c>
      <c r="U14" s="175" t="str"/>
    </row>
    <row r="15" ht="23" customHeight="1">
      <c r="A15" s="84" t="n">
        <v>10</v>
      </c>
      <c r="B15" s="171" t="str"/>
      <c r="C15" s="171" t="str"/>
      <c r="D15" s="171" t="str"/>
      <c r="E15" s="172" t="str"/>
      <c r="F15" s="172" t="str"/>
      <c r="G15" s="173" t="str"/>
      <c r="H15" s="174" t="str"/>
      <c r="I15" s="85" t="str">
        <f>IF(ISNUMBER(SEARCH("월",$H15)),1,"")</f>
      </c>
      <c r="J15" s="85" t="str">
        <f>IF(ISNUMBER(SEARCH("화",$H15)),1,"")</f>
      </c>
      <c r="K15" s="85" t="str">
        <f>IF(ISNUMBER(SEARCH("수",$H15)),1,"")</f>
      </c>
      <c r="L15" s="85" t="str">
        <f>IF(ISNUMBER(SEARCH("목",$H15)),1,"")</f>
      </c>
      <c r="M15" s="85" t="str">
        <f>IF(ISNUMBER(SEARCH("금",$H15)),1,"")</f>
      </c>
      <c r="N15" s="85" t="str">
        <f>IF(ISNUMBER(SEARCH("토1",$H15)),1,"")</f>
      </c>
      <c r="O15" s="85" t="str">
        <f>IF(ISNUMBER(SEARCH("토2",$H15)),1,"")</f>
      </c>
      <c r="P15" s="85" t="str">
        <f>IF(ISNUMBER(SEARCH("토3",$H15)),1,"")</f>
      </c>
      <c r="Q15" s="85" t="str">
        <f>IF(ISNUMBER(SEARCH("일1",$H15)),1,"")</f>
      </c>
      <c r="R15" s="85" t="str">
        <f>IF(ISNUMBER(SEARCH("일2",$H15)),1,"")</f>
      </c>
      <c r="S15" s="85" t="str">
        <f>IF(ISNUMBER(SEARCH("일3",$H15)),1,"")</f>
      </c>
      <c r="T15" s="85" t="n">
        <f>SUM(I15:S15)</f>
        <v>0</v>
      </c>
      <c r="U15" s="175" t="str"/>
    </row>
    <row r="16" ht="23" customHeight="1">
      <c r="A16" s="84" t="n">
        <v>11</v>
      </c>
      <c r="B16" s="171" t="str"/>
      <c r="C16" s="171" t="str"/>
      <c r="D16" s="171" t="str"/>
      <c r="E16" s="172" t="str"/>
      <c r="F16" s="172" t="str"/>
      <c r="G16" s="173" t="str"/>
      <c r="H16" s="174" t="str"/>
      <c r="I16" s="85" t="str">
        <f>IF(ISNUMBER(SEARCH("월",$H16)),1,"")</f>
      </c>
      <c r="J16" s="85" t="str">
        <f>IF(ISNUMBER(SEARCH("화",$H16)),1,"")</f>
      </c>
      <c r="K16" s="85" t="str">
        <f>IF(ISNUMBER(SEARCH("수",$H16)),1,"")</f>
      </c>
      <c r="L16" s="85" t="str">
        <f>IF(ISNUMBER(SEARCH("목",$H16)),1,"")</f>
      </c>
      <c r="M16" s="85" t="str">
        <f>IF(ISNUMBER(SEARCH("금",$H16)),1,"")</f>
      </c>
      <c r="N16" s="85" t="str">
        <f>IF(ISNUMBER(SEARCH("토1",$H16)),1,"")</f>
      </c>
      <c r="O16" s="85" t="str">
        <f>IF(ISNUMBER(SEARCH("토2",$H16)),1,"")</f>
      </c>
      <c r="P16" s="85" t="str">
        <f>IF(ISNUMBER(SEARCH("토3",$H16)),1,"")</f>
      </c>
      <c r="Q16" s="85" t="str">
        <f>IF(ISNUMBER(SEARCH("일1",$H16)),1,"")</f>
      </c>
      <c r="R16" s="85" t="str">
        <f>IF(ISNUMBER(SEARCH("일2",$H16)),1,"")</f>
      </c>
      <c r="S16" s="85" t="str">
        <f>IF(ISNUMBER(SEARCH("일3",$H16)),1,"")</f>
      </c>
      <c r="T16" s="85" t="n">
        <f>SUM(I16:S16)</f>
        <v>0</v>
      </c>
      <c r="U16" s="175" t="str"/>
    </row>
    <row r="17" ht="23" customHeight="1">
      <c r="A17" s="84" t="n">
        <v>12</v>
      </c>
      <c r="B17" s="171" t="str"/>
      <c r="C17" s="171" t="str"/>
      <c r="D17" s="171" t="str"/>
      <c r="E17" s="172" t="str"/>
      <c r="F17" s="172" t="str"/>
      <c r="G17" s="173" t="str"/>
      <c r="H17" s="174" t="str"/>
      <c r="I17" s="85" t="str">
        <f>IF(ISNUMBER(SEARCH("월",$H17)),1,"")</f>
      </c>
      <c r="J17" s="85" t="str">
        <f>IF(ISNUMBER(SEARCH("화",$H17)),1,"")</f>
      </c>
      <c r="K17" s="85" t="str">
        <f>IF(ISNUMBER(SEARCH("수",$H17)),1,"")</f>
      </c>
      <c r="L17" s="85" t="str">
        <f>IF(ISNUMBER(SEARCH("목",$H17)),1,"")</f>
      </c>
      <c r="M17" s="85" t="str">
        <f>IF(ISNUMBER(SEARCH("금",$H17)),1,"")</f>
      </c>
      <c r="N17" s="85" t="str">
        <f>IF(ISNUMBER(SEARCH("토1",$H17)),1,"")</f>
      </c>
      <c r="O17" s="85" t="str">
        <f>IF(ISNUMBER(SEARCH("토2",$H17)),1,"")</f>
      </c>
      <c r="P17" s="85" t="str">
        <f>IF(ISNUMBER(SEARCH("토3",$H17)),1,"")</f>
      </c>
      <c r="Q17" s="85" t="str">
        <f>IF(ISNUMBER(SEARCH("일1",$H17)),1,"")</f>
      </c>
      <c r="R17" s="85" t="str">
        <f>IF(ISNUMBER(SEARCH("일2",$H17)),1,"")</f>
      </c>
      <c r="S17" s="85" t="str">
        <f>IF(ISNUMBER(SEARCH("일3",$H17)),1,"")</f>
      </c>
      <c r="T17" s="85" t="n">
        <f>SUM(I17:S17)</f>
        <v>0</v>
      </c>
      <c r="U17" s="175" t="str"/>
    </row>
    <row r="18" ht="23" customHeight="1">
      <c r="A18" s="84" t="n">
        <v>13</v>
      </c>
      <c r="B18" s="171" t="str"/>
      <c r="C18" s="171" t="str"/>
      <c r="D18" s="171" t="str"/>
      <c r="E18" s="172" t="str"/>
      <c r="F18" s="172" t="str"/>
      <c r="G18" s="173" t="str"/>
      <c r="H18" s="174" t="str"/>
      <c r="I18" s="85" t="str">
        <f>IF(ISNUMBER(SEARCH("월",$H18)),1,"")</f>
      </c>
      <c r="J18" s="85" t="str">
        <f>IF(ISNUMBER(SEARCH("화",$H18)),1,"")</f>
      </c>
      <c r="K18" s="85" t="str">
        <f>IF(ISNUMBER(SEARCH("수",$H18)),1,"")</f>
      </c>
      <c r="L18" s="85" t="str">
        <f>IF(ISNUMBER(SEARCH("목",$H18)),1,"")</f>
      </c>
      <c r="M18" s="85" t="str">
        <f>IF(ISNUMBER(SEARCH("금",$H18)),1,"")</f>
      </c>
      <c r="N18" s="85" t="str">
        <f>IF(ISNUMBER(SEARCH("토1",$H18)),1,"")</f>
      </c>
      <c r="O18" s="85" t="str">
        <f>IF(ISNUMBER(SEARCH("토2",$H18)),1,"")</f>
      </c>
      <c r="P18" s="85" t="str">
        <f>IF(ISNUMBER(SEARCH("토3",$H18)),1,"")</f>
      </c>
      <c r="Q18" s="85" t="str">
        <f>IF(ISNUMBER(SEARCH("일1",$H18)),1,"")</f>
      </c>
      <c r="R18" s="85" t="str">
        <f>IF(ISNUMBER(SEARCH("일2",$H18)),1,"")</f>
      </c>
      <c r="S18" s="85" t="str">
        <f>IF(ISNUMBER(SEARCH("일3",$H18)),1,"")</f>
      </c>
      <c r="T18" s="85" t="n">
        <f>SUM(I18:S18)</f>
        <v>0</v>
      </c>
      <c r="U18" s="175" t="str"/>
    </row>
    <row r="19" ht="23" customHeight="1">
      <c r="A19" s="84" t="n">
        <v>14</v>
      </c>
      <c r="B19" s="171" t="str"/>
      <c r="C19" s="171" t="str"/>
      <c r="D19" s="171" t="str"/>
      <c r="E19" s="172" t="str"/>
      <c r="F19" s="172" t="str"/>
      <c r="G19" s="173" t="str"/>
      <c r="H19" s="174" t="str"/>
      <c r="I19" s="85" t="str">
        <f>IF(ISNUMBER(SEARCH("월",$H19)),1,"")</f>
      </c>
      <c r="J19" s="85" t="str">
        <f>IF(ISNUMBER(SEARCH("화",$H19)),1,"")</f>
      </c>
      <c r="K19" s="85" t="str">
        <f>IF(ISNUMBER(SEARCH("수",$H19)),1,"")</f>
      </c>
      <c r="L19" s="85" t="str">
        <f>IF(ISNUMBER(SEARCH("목",$H19)),1,"")</f>
      </c>
      <c r="M19" s="85" t="str">
        <f>IF(ISNUMBER(SEARCH("금",$H19)),1,"")</f>
      </c>
      <c r="N19" s="85" t="str">
        <f>IF(ISNUMBER(SEARCH("토1",$H19)),1,"")</f>
      </c>
      <c r="O19" s="85" t="str">
        <f>IF(ISNUMBER(SEARCH("토2",$H19)),1,"")</f>
      </c>
      <c r="P19" s="85" t="str">
        <f>IF(ISNUMBER(SEARCH("토3",$H19)),1,"")</f>
      </c>
      <c r="Q19" s="85" t="str">
        <f>IF(ISNUMBER(SEARCH("일1",$H19)),1,"")</f>
      </c>
      <c r="R19" s="85" t="str">
        <f>IF(ISNUMBER(SEARCH("일2",$H19)),1,"")</f>
      </c>
      <c r="S19" s="85" t="str">
        <f>IF(ISNUMBER(SEARCH("일3",$H19)),1,"")</f>
      </c>
      <c r="T19" s="85" t="n">
        <f>SUM(I19:S19)</f>
        <v>0</v>
      </c>
      <c r="U19" s="175" t="str"/>
    </row>
    <row r="20" ht="23" customHeight="1">
      <c r="A20" s="84" t="n">
        <v>15</v>
      </c>
      <c r="B20" s="171" t="str"/>
      <c r="C20" s="171" t="str"/>
      <c r="D20" s="171" t="str"/>
      <c r="E20" s="172" t="str"/>
      <c r="F20" s="172" t="str"/>
      <c r="G20" s="173" t="str"/>
      <c r="H20" s="174" t="str"/>
      <c r="I20" s="85" t="str">
        <f>IF(ISNUMBER(SEARCH("월",$H20)),1,"")</f>
      </c>
      <c r="J20" s="85" t="str">
        <f>IF(ISNUMBER(SEARCH("화",$H20)),1,"")</f>
      </c>
      <c r="K20" s="85" t="str">
        <f>IF(ISNUMBER(SEARCH("수",$H20)),1,"")</f>
      </c>
      <c r="L20" s="85" t="str">
        <f>IF(ISNUMBER(SEARCH("목",$H20)),1,"")</f>
      </c>
      <c r="M20" s="85" t="str">
        <f>IF(ISNUMBER(SEARCH("금",$H20)),1,"")</f>
      </c>
      <c r="N20" s="85" t="str">
        <f>IF(ISNUMBER(SEARCH("토1",$H20)),1,"")</f>
      </c>
      <c r="O20" s="85" t="str">
        <f>IF(ISNUMBER(SEARCH("토2",$H20)),1,"")</f>
      </c>
      <c r="P20" s="85" t="str">
        <f>IF(ISNUMBER(SEARCH("토3",$H20)),1,"")</f>
      </c>
      <c r="Q20" s="85" t="str">
        <f>IF(ISNUMBER(SEARCH("일1",$H20)),1,"")</f>
      </c>
      <c r="R20" s="85" t="str">
        <f>IF(ISNUMBER(SEARCH("일2",$H20)),1,"")</f>
      </c>
      <c r="S20" s="85" t="str">
        <f>IF(ISNUMBER(SEARCH("일3",$H20)),1,"")</f>
      </c>
      <c r="T20" s="85" t="n">
        <f>SUM(I20:S20)</f>
        <v>0</v>
      </c>
      <c r="U20" s="175" t="str"/>
    </row>
    <row r="21" ht="23" customHeight="1">
      <c r="A21" s="84" t="n">
        <v>16</v>
      </c>
      <c r="B21" s="171" t="str"/>
      <c r="C21" s="171" t="str"/>
      <c r="D21" s="171" t="str"/>
      <c r="E21" s="172" t="str"/>
      <c r="F21" s="172" t="str"/>
      <c r="G21" s="173" t="str"/>
      <c r="H21" s="174" t="str"/>
      <c r="I21" s="85" t="str">
        <f>IF(ISNUMBER(SEARCH("월",$H21)),1,"")</f>
      </c>
      <c r="J21" s="85" t="str">
        <f>IF(ISNUMBER(SEARCH("화",$H21)),1,"")</f>
      </c>
      <c r="K21" s="85" t="str">
        <f>IF(ISNUMBER(SEARCH("수",$H21)),1,"")</f>
      </c>
      <c r="L21" s="85" t="str">
        <f>IF(ISNUMBER(SEARCH("목",$H21)),1,"")</f>
      </c>
      <c r="M21" s="85" t="str">
        <f>IF(ISNUMBER(SEARCH("금",$H21)),1,"")</f>
      </c>
      <c r="N21" s="85" t="str">
        <f>IF(ISNUMBER(SEARCH("토1",$H21)),1,"")</f>
      </c>
      <c r="O21" s="85" t="str">
        <f>IF(ISNUMBER(SEARCH("토2",$H21)),1,"")</f>
      </c>
      <c r="P21" s="85" t="str">
        <f>IF(ISNUMBER(SEARCH("토3",$H21)),1,"")</f>
      </c>
      <c r="Q21" s="85" t="str">
        <f>IF(ISNUMBER(SEARCH("일1",$H21)),1,"")</f>
      </c>
      <c r="R21" s="85" t="str">
        <f>IF(ISNUMBER(SEARCH("일2",$H21)),1,"")</f>
      </c>
      <c r="S21" s="85" t="str">
        <f>IF(ISNUMBER(SEARCH("일3",$H21)),1,"")</f>
      </c>
      <c r="T21" s="85" t="n">
        <f>SUM(I21:S21)</f>
        <v>0</v>
      </c>
      <c r="U21" s="175" t="str"/>
    </row>
    <row r="22" ht="23" customHeight="1">
      <c r="A22" s="84" t="n">
        <v>17</v>
      </c>
      <c r="B22" s="171" t="str"/>
      <c r="C22" s="171" t="str"/>
      <c r="D22" s="171" t="str"/>
      <c r="E22" s="172" t="str"/>
      <c r="F22" s="172" t="str"/>
      <c r="G22" s="173" t="str"/>
      <c r="H22" s="174" t="str"/>
      <c r="I22" s="85" t="str">
        <f>IF(ISNUMBER(SEARCH("월",$H22)),1,"")</f>
      </c>
      <c r="J22" s="85" t="str">
        <f>IF(ISNUMBER(SEARCH("화",$H22)),1,"")</f>
      </c>
      <c r="K22" s="85" t="str">
        <f>IF(ISNUMBER(SEARCH("수",$H22)),1,"")</f>
      </c>
      <c r="L22" s="85" t="str">
        <f>IF(ISNUMBER(SEARCH("목",$H22)),1,"")</f>
      </c>
      <c r="M22" s="85" t="str">
        <f>IF(ISNUMBER(SEARCH("금",$H22)),1,"")</f>
      </c>
      <c r="N22" s="85" t="str">
        <f>IF(ISNUMBER(SEARCH("토1",$H22)),1,"")</f>
      </c>
      <c r="O22" s="85" t="str">
        <f>IF(ISNUMBER(SEARCH("토2",$H22)),1,"")</f>
      </c>
      <c r="P22" s="85" t="str">
        <f>IF(ISNUMBER(SEARCH("토3",$H22)),1,"")</f>
      </c>
      <c r="Q22" s="85" t="str">
        <f>IF(ISNUMBER(SEARCH("일1",$H22)),1,"")</f>
      </c>
      <c r="R22" s="85" t="str">
        <f>IF(ISNUMBER(SEARCH("일2",$H22)),1,"")</f>
      </c>
      <c r="S22" s="85" t="str">
        <f>IF(ISNUMBER(SEARCH("일3",$H22)),1,"")</f>
      </c>
      <c r="T22" s="85" t="n">
        <f>SUM(I22:S22)</f>
        <v>0</v>
      </c>
      <c r="U22" s="175" t="str"/>
    </row>
    <row r="23" ht="23" customHeight="1">
      <c r="A23" s="84" t="n">
        <v>18</v>
      </c>
      <c r="B23" s="171" t="str"/>
      <c r="C23" s="171" t="str"/>
      <c r="D23" s="171" t="str"/>
      <c r="E23" s="172" t="str"/>
      <c r="F23" s="172" t="str"/>
      <c r="G23" s="173" t="str"/>
      <c r="H23" s="174" t="str"/>
      <c r="I23" s="85" t="str">
        <f>IF(ISNUMBER(SEARCH("월",$H23)),1,"")</f>
      </c>
      <c r="J23" s="85" t="str">
        <f>IF(ISNUMBER(SEARCH("화",$H23)),1,"")</f>
      </c>
      <c r="K23" s="85" t="str">
        <f>IF(ISNUMBER(SEARCH("수",$H23)),1,"")</f>
      </c>
      <c r="L23" s="85" t="str">
        <f>IF(ISNUMBER(SEARCH("목",$H23)),1,"")</f>
      </c>
      <c r="M23" s="85" t="str">
        <f>IF(ISNUMBER(SEARCH("금",$H23)),1,"")</f>
      </c>
      <c r="N23" s="85" t="str">
        <f>IF(ISNUMBER(SEARCH("토1",$H23)),1,"")</f>
      </c>
      <c r="O23" s="85" t="str">
        <f>IF(ISNUMBER(SEARCH("토2",$H23)),1,"")</f>
      </c>
      <c r="P23" s="85" t="str">
        <f>IF(ISNUMBER(SEARCH("토3",$H23)),1,"")</f>
      </c>
      <c r="Q23" s="85" t="str">
        <f>IF(ISNUMBER(SEARCH("일1",$H23)),1,"")</f>
      </c>
      <c r="R23" s="85" t="str">
        <f>IF(ISNUMBER(SEARCH("일2",$H23)),1,"")</f>
      </c>
      <c r="S23" s="85" t="str">
        <f>IF(ISNUMBER(SEARCH("일3",$H23)),1,"")</f>
      </c>
      <c r="T23" s="85" t="n">
        <f>SUM(I23:S23)</f>
        <v>0</v>
      </c>
      <c r="U23" s="175" t="str"/>
    </row>
    <row r="24" ht="23" customHeight="1">
      <c r="A24" s="84" t="n">
        <v>19</v>
      </c>
      <c r="B24" s="171" t="str"/>
      <c r="C24" s="171" t="str"/>
      <c r="D24" s="171" t="str"/>
      <c r="E24" s="172" t="str"/>
      <c r="F24" s="172" t="str"/>
      <c r="G24" s="173" t="str"/>
      <c r="H24" s="174" t="str"/>
      <c r="I24" s="85" t="str">
        <f>IF(ISNUMBER(SEARCH("월",$H24)),1,"")</f>
      </c>
      <c r="J24" s="85" t="str">
        <f>IF(ISNUMBER(SEARCH("화",$H24)),1,"")</f>
      </c>
      <c r="K24" s="85" t="str">
        <f>IF(ISNUMBER(SEARCH("수",$H24)),1,"")</f>
      </c>
      <c r="L24" s="85" t="str">
        <f>IF(ISNUMBER(SEARCH("목",$H24)),1,"")</f>
      </c>
      <c r="M24" s="85" t="str">
        <f>IF(ISNUMBER(SEARCH("금",$H24)),1,"")</f>
      </c>
      <c r="N24" s="85" t="str">
        <f>IF(ISNUMBER(SEARCH("토1",$H24)),1,"")</f>
      </c>
      <c r="O24" s="85" t="str">
        <f>IF(ISNUMBER(SEARCH("토2",$H24)),1,"")</f>
      </c>
      <c r="P24" s="85" t="str">
        <f>IF(ISNUMBER(SEARCH("토3",$H24)),1,"")</f>
      </c>
      <c r="Q24" s="85" t="str">
        <f>IF(ISNUMBER(SEARCH("일1",$H24)),1,"")</f>
      </c>
      <c r="R24" s="85" t="str">
        <f>IF(ISNUMBER(SEARCH("일2",$H24)),1,"")</f>
      </c>
      <c r="S24" s="85" t="str">
        <f>IF(ISNUMBER(SEARCH("일3",$H24)),1,"")</f>
      </c>
      <c r="T24" s="85" t="n">
        <f>SUM(I24:S24)</f>
        <v>0</v>
      </c>
      <c r="U24" s="175" t="str"/>
    </row>
    <row r="25" ht="23" customHeight="1">
      <c r="A25" s="84" t="n">
        <v>20</v>
      </c>
      <c r="B25" s="171" t="str"/>
      <c r="C25" s="171" t="str"/>
      <c r="D25" s="171" t="str"/>
      <c r="E25" s="172" t="str"/>
      <c r="F25" s="172" t="str"/>
      <c r="G25" s="173" t="str"/>
      <c r="H25" s="174" t="str"/>
      <c r="I25" s="85" t="str">
        <f>IF(ISNUMBER(SEARCH("월",$H25)),1,"")</f>
      </c>
      <c r="J25" s="85" t="str">
        <f>IF(ISNUMBER(SEARCH("화",$H25)),1,"")</f>
      </c>
      <c r="K25" s="85" t="str">
        <f>IF(ISNUMBER(SEARCH("수",$H25)),1,"")</f>
      </c>
      <c r="L25" s="85" t="str">
        <f>IF(ISNUMBER(SEARCH("목",$H25)),1,"")</f>
      </c>
      <c r="M25" s="85" t="str">
        <f>IF(ISNUMBER(SEARCH("금",$H25)),1,"")</f>
      </c>
      <c r="N25" s="85" t="str">
        <f>IF(ISNUMBER(SEARCH("토1",$H25)),1,"")</f>
      </c>
      <c r="O25" s="85" t="str">
        <f>IF(ISNUMBER(SEARCH("토2",$H25)),1,"")</f>
      </c>
      <c r="P25" s="85" t="str">
        <f>IF(ISNUMBER(SEARCH("토3",$H25)),1,"")</f>
      </c>
      <c r="Q25" s="85" t="str">
        <f>IF(ISNUMBER(SEARCH("일1",$H25)),1,"")</f>
      </c>
      <c r="R25" s="85" t="str">
        <f>IF(ISNUMBER(SEARCH("일2",$H25)),1,"")</f>
      </c>
      <c r="S25" s="85" t="str">
        <f>IF(ISNUMBER(SEARCH("일3",$H25)),1,"")</f>
      </c>
      <c r="T25" s="85" t="n">
        <f>SUM(I25:S25)</f>
        <v>0</v>
      </c>
      <c r="U25" s="175" t="str"/>
    </row>
    <row r="26" ht="27" customHeight="1">
      <c r="A26" s="168" t="str"/>
      <c r="B26" s="169"/>
      <c r="C26" s="169"/>
      <c r="D26" s="169"/>
      <c r="E26" s="169"/>
      <c r="F26" s="169"/>
      <c r="G26" s="169"/>
      <c r="H26" s="169"/>
      <c r="I26" s="169"/>
      <c r="J26" s="169"/>
      <c r="K26" s="169"/>
      <c r="L26" s="169"/>
      <c r="M26" s="169"/>
      <c r="N26" s="169"/>
      <c r="O26" s="169"/>
      <c r="P26" s="169"/>
      <c r="Q26" s="169"/>
      <c r="R26" s="169"/>
      <c r="S26" s="169"/>
      <c r="T26" s="169"/>
      <c r="U26" s="170"/>
    </row>
    <row r="27" ht="23" customHeight="1">
      <c r="A27" s="84" t="n">
        <v>1</v>
      </c>
      <c r="B27" s="171" t="str"/>
      <c r="C27" s="171" t="str"/>
      <c r="D27" s="171" t="str"/>
      <c r="E27" s="172" t="str"/>
      <c r="F27" s="172" t="str"/>
      <c r="G27" s="173" t="str"/>
      <c r="H27" s="174" t="str"/>
      <c r="I27" s="85" t="str">
        <f>IF(ISNUMBER(SEARCH("월",$H27)),1,"")</f>
      </c>
      <c r="J27" s="85" t="str">
        <f>IF(ISNUMBER(SEARCH("화",$H27)),1,"")</f>
      </c>
      <c r="K27" s="85" t="str">
        <f>IF(ISNUMBER(SEARCH("수",$H27)),1,"")</f>
      </c>
      <c r="L27" s="85" t="str">
        <f>IF(ISNUMBER(SEARCH("목",$H27)),1,"")</f>
      </c>
      <c r="M27" s="85" t="str">
        <f>IF(ISNUMBER(SEARCH("금",$H27)),1,"")</f>
      </c>
      <c r="N27" s="85" t="str">
        <f>IF(ISNUMBER(SEARCH("토1",$H27)),1,"")</f>
      </c>
      <c r="O27" s="85" t="str">
        <f>IF(ISNUMBER(SEARCH("토2",$H27)),1,"")</f>
      </c>
      <c r="P27" s="85" t="str">
        <f>IF(ISNUMBER(SEARCH("토3",$H27)),1,"")</f>
      </c>
      <c r="Q27" s="85" t="str">
        <f>IF(ISNUMBER(SEARCH("일1",$H27)),1,"")</f>
      </c>
      <c r="R27" s="85" t="str">
        <f>IF(ISNUMBER(SEARCH("일2",$H27)),1,"")</f>
      </c>
      <c r="S27" s="85" t="str">
        <f>IF(ISNUMBER(SEARCH("일3",$H27)),1,"")</f>
      </c>
      <c r="T27" s="85" t="n">
        <f>SUM(I27:S27)</f>
        <v>0</v>
      </c>
      <c r="U27" s="175" t="str"/>
    </row>
    <row r="28" ht="23" customHeight="1">
      <c r="A28" s="84" t="n">
        <v>2</v>
      </c>
      <c r="B28" s="171" t="str"/>
      <c r="C28" s="171" t="str"/>
      <c r="D28" s="171" t="str"/>
      <c r="E28" s="172" t="str"/>
      <c r="F28" s="172" t="str"/>
      <c r="G28" s="173" t="str"/>
      <c r="H28" s="174" t="str"/>
      <c r="I28" s="85" t="str">
        <f>IF(ISNUMBER(SEARCH("월",$H28)),1,"")</f>
      </c>
      <c r="J28" s="85" t="str">
        <f>IF(ISNUMBER(SEARCH("화",$H28)),1,"")</f>
      </c>
      <c r="K28" s="85" t="str">
        <f>IF(ISNUMBER(SEARCH("수",$H28)),1,"")</f>
      </c>
      <c r="L28" s="85" t="str">
        <f>IF(ISNUMBER(SEARCH("목",$H28)),1,"")</f>
      </c>
      <c r="M28" s="85" t="str">
        <f>IF(ISNUMBER(SEARCH("금",$H28)),1,"")</f>
      </c>
      <c r="N28" s="85" t="str">
        <f>IF(ISNUMBER(SEARCH("토1",$H28)),1,"")</f>
      </c>
      <c r="O28" s="85" t="str">
        <f>IF(ISNUMBER(SEARCH("토2",$H28)),1,"")</f>
      </c>
      <c r="P28" s="85" t="str">
        <f>IF(ISNUMBER(SEARCH("토3",$H28)),1,"")</f>
      </c>
      <c r="Q28" s="85" t="str">
        <f>IF(ISNUMBER(SEARCH("일1",$H28)),1,"")</f>
      </c>
      <c r="R28" s="85" t="str">
        <f>IF(ISNUMBER(SEARCH("일2",$H28)),1,"")</f>
      </c>
      <c r="S28" s="85" t="str">
        <f>IF(ISNUMBER(SEARCH("일3",$H28)),1,"")</f>
      </c>
      <c r="T28" s="85" t="n">
        <f>SUM(I28:S28)</f>
        <v>0</v>
      </c>
      <c r="U28" s="175" t="str"/>
    </row>
    <row r="29" ht="23" customHeight="1">
      <c r="A29" s="84" t="n">
        <v>3</v>
      </c>
      <c r="B29" s="171" t="str"/>
      <c r="C29" s="171" t="str"/>
      <c r="D29" s="171" t="str"/>
      <c r="E29" s="172" t="str"/>
      <c r="F29" s="172" t="str"/>
      <c r="G29" s="173" t="str"/>
      <c r="H29" s="174" t="str"/>
      <c r="I29" s="85" t="str">
        <f>IF(ISNUMBER(SEARCH("월",$H29)),1,"")</f>
      </c>
      <c r="J29" s="85" t="str">
        <f>IF(ISNUMBER(SEARCH("화",$H29)),1,"")</f>
      </c>
      <c r="K29" s="85" t="str">
        <f>IF(ISNUMBER(SEARCH("수",$H29)),1,"")</f>
      </c>
      <c r="L29" s="85" t="str">
        <f>IF(ISNUMBER(SEARCH("목",$H29)),1,"")</f>
      </c>
      <c r="M29" s="85" t="str">
        <f>IF(ISNUMBER(SEARCH("금",$H29)),1,"")</f>
      </c>
      <c r="N29" s="85" t="str">
        <f>IF(ISNUMBER(SEARCH("토1",$H29)),1,"")</f>
      </c>
      <c r="O29" s="85" t="str">
        <f>IF(ISNUMBER(SEARCH("토2",$H29)),1,"")</f>
      </c>
      <c r="P29" s="85" t="str">
        <f>IF(ISNUMBER(SEARCH("토3",$H29)),1,"")</f>
      </c>
      <c r="Q29" s="85" t="str">
        <f>IF(ISNUMBER(SEARCH("일1",$H29)),1,"")</f>
      </c>
      <c r="R29" s="85" t="str">
        <f>IF(ISNUMBER(SEARCH("일2",$H29)),1,"")</f>
      </c>
      <c r="S29" s="85" t="str">
        <f>IF(ISNUMBER(SEARCH("일3",$H29)),1,"")</f>
      </c>
      <c r="T29" s="85" t="n">
        <f>SUM(I29:S29)</f>
        <v>0</v>
      </c>
      <c r="U29" s="175" t="str"/>
    </row>
    <row r="30" ht="23" customHeight="1">
      <c r="A30" s="84" t="n">
        <v>4</v>
      </c>
      <c r="B30" s="171" t="str"/>
      <c r="C30" s="171" t="str"/>
      <c r="D30" s="171" t="str"/>
      <c r="E30" s="172" t="str"/>
      <c r="F30" s="172" t="str"/>
      <c r="G30" s="173" t="str"/>
      <c r="H30" s="174" t="str"/>
      <c r="I30" s="85" t="str">
        <f>IF(ISNUMBER(SEARCH("월",$H30)),1,"")</f>
      </c>
      <c r="J30" s="85" t="str">
        <f>IF(ISNUMBER(SEARCH("화",$H30)),1,"")</f>
      </c>
      <c r="K30" s="85" t="str">
        <f>IF(ISNUMBER(SEARCH("수",$H30)),1,"")</f>
      </c>
      <c r="L30" s="85" t="str">
        <f>IF(ISNUMBER(SEARCH("목",$H30)),1,"")</f>
      </c>
      <c r="M30" s="85" t="str">
        <f>IF(ISNUMBER(SEARCH("금",$H30)),1,"")</f>
      </c>
      <c r="N30" s="85" t="str">
        <f>IF(ISNUMBER(SEARCH("토1",$H30)),1,"")</f>
      </c>
      <c r="O30" s="85" t="str">
        <f>IF(ISNUMBER(SEARCH("토2",$H30)),1,"")</f>
      </c>
      <c r="P30" s="85" t="str">
        <f>IF(ISNUMBER(SEARCH("토3",$H30)),1,"")</f>
      </c>
      <c r="Q30" s="85" t="str">
        <f>IF(ISNUMBER(SEARCH("일1",$H30)),1,"")</f>
      </c>
      <c r="R30" s="85" t="str">
        <f>IF(ISNUMBER(SEARCH("일2",$H30)),1,"")</f>
      </c>
      <c r="S30" s="85" t="str">
        <f>IF(ISNUMBER(SEARCH("일3",$H30)),1,"")</f>
      </c>
      <c r="T30" s="85" t="n">
        <f>SUM(I30:S30)</f>
        <v>0</v>
      </c>
      <c r="U30" s="175" t="str"/>
    </row>
    <row r="31" ht="23" customHeight="1">
      <c r="A31" s="84" t="n">
        <v>5</v>
      </c>
      <c r="B31" s="171" t="str"/>
      <c r="C31" s="171" t="str"/>
      <c r="D31" s="171" t="str"/>
      <c r="E31" s="172" t="str"/>
      <c r="F31" s="172" t="str"/>
      <c r="G31" s="173" t="str"/>
      <c r="H31" s="174" t="str"/>
      <c r="I31" s="85" t="str">
        <f>IF(ISNUMBER(SEARCH("월",$H31)),1,"")</f>
      </c>
      <c r="J31" s="85" t="str">
        <f>IF(ISNUMBER(SEARCH("화",$H31)),1,"")</f>
      </c>
      <c r="K31" s="85" t="str">
        <f>IF(ISNUMBER(SEARCH("수",$H31)),1,"")</f>
      </c>
      <c r="L31" s="85" t="str">
        <f>IF(ISNUMBER(SEARCH("목",$H31)),1,"")</f>
      </c>
      <c r="M31" s="85" t="str">
        <f>IF(ISNUMBER(SEARCH("금",$H31)),1,"")</f>
      </c>
      <c r="N31" s="85" t="str">
        <f>IF(ISNUMBER(SEARCH("토1",$H31)),1,"")</f>
      </c>
      <c r="O31" s="85" t="str">
        <f>IF(ISNUMBER(SEARCH("토2",$H31)),1,"")</f>
      </c>
      <c r="P31" s="85" t="str">
        <f>IF(ISNUMBER(SEARCH("토3",$H31)),1,"")</f>
      </c>
      <c r="Q31" s="85" t="str">
        <f>IF(ISNUMBER(SEARCH("일1",$H31)),1,"")</f>
      </c>
      <c r="R31" s="85" t="str">
        <f>IF(ISNUMBER(SEARCH("일2",$H31)),1,"")</f>
      </c>
      <c r="S31" s="85" t="str">
        <f>IF(ISNUMBER(SEARCH("일3",$H31)),1,"")</f>
      </c>
      <c r="T31" s="85" t="n">
        <f>SUM(I31:S31)</f>
        <v>0</v>
      </c>
      <c r="U31" s="175" t="str"/>
    </row>
    <row r="32" ht="23" customHeight="1">
      <c r="A32" s="84" t="n">
        <v>6</v>
      </c>
      <c r="B32" s="171" t="str"/>
      <c r="C32" s="171" t="str"/>
      <c r="D32" s="171" t="str"/>
      <c r="E32" s="172" t="str"/>
      <c r="F32" s="172" t="str"/>
      <c r="G32" s="173" t="str"/>
      <c r="H32" s="174" t="str"/>
      <c r="I32" s="85" t="str">
        <f>IF(ISNUMBER(SEARCH("월",$H32)),1,"")</f>
      </c>
      <c r="J32" s="85" t="str">
        <f>IF(ISNUMBER(SEARCH("화",$H32)),1,"")</f>
      </c>
      <c r="K32" s="85" t="str">
        <f>IF(ISNUMBER(SEARCH("수",$H32)),1,"")</f>
      </c>
      <c r="L32" s="85" t="str">
        <f>IF(ISNUMBER(SEARCH("목",$H32)),1,"")</f>
      </c>
      <c r="M32" s="85" t="str">
        <f>IF(ISNUMBER(SEARCH("금",$H32)),1,"")</f>
      </c>
      <c r="N32" s="85" t="str">
        <f>IF(ISNUMBER(SEARCH("토1",$H32)),1,"")</f>
      </c>
      <c r="O32" s="85" t="str">
        <f>IF(ISNUMBER(SEARCH("토2",$H32)),1,"")</f>
      </c>
      <c r="P32" s="85" t="str">
        <f>IF(ISNUMBER(SEARCH("토3",$H32)),1,"")</f>
      </c>
      <c r="Q32" s="85" t="str">
        <f>IF(ISNUMBER(SEARCH("일1",$H32)),1,"")</f>
      </c>
      <c r="R32" s="85" t="str">
        <f>IF(ISNUMBER(SEARCH("일2",$H32)),1,"")</f>
      </c>
      <c r="S32" s="85" t="str">
        <f>IF(ISNUMBER(SEARCH("일3",$H32)),1,"")</f>
      </c>
      <c r="T32" s="85" t="n">
        <f>SUM(I32:S32)</f>
        <v>0</v>
      </c>
      <c r="U32" s="175" t="str"/>
    </row>
    <row r="33" ht="23" customHeight="1">
      <c r="A33" s="84" t="n">
        <v>7</v>
      </c>
      <c r="B33" s="171" t="str"/>
      <c r="C33" s="171" t="str"/>
      <c r="D33" s="171" t="str"/>
      <c r="E33" s="172" t="str"/>
      <c r="F33" s="172" t="str"/>
      <c r="G33" s="173" t="str"/>
      <c r="H33" s="174" t="str"/>
      <c r="I33" s="85" t="str">
        <f>IF(ISNUMBER(SEARCH("월",$H33)),1,"")</f>
      </c>
      <c r="J33" s="85" t="str">
        <f>IF(ISNUMBER(SEARCH("화",$H33)),1,"")</f>
      </c>
      <c r="K33" s="85" t="str">
        <f>IF(ISNUMBER(SEARCH("수",$H33)),1,"")</f>
      </c>
      <c r="L33" s="85" t="str">
        <f>IF(ISNUMBER(SEARCH("목",$H33)),1,"")</f>
      </c>
      <c r="M33" s="85" t="str">
        <f>IF(ISNUMBER(SEARCH("금",$H33)),1,"")</f>
      </c>
      <c r="N33" s="85" t="str">
        <f>IF(ISNUMBER(SEARCH("토1",$H33)),1,"")</f>
      </c>
      <c r="O33" s="85" t="str">
        <f>IF(ISNUMBER(SEARCH("토2",$H33)),1,"")</f>
      </c>
      <c r="P33" s="85" t="str">
        <f>IF(ISNUMBER(SEARCH("토3",$H33)),1,"")</f>
      </c>
      <c r="Q33" s="85" t="str">
        <f>IF(ISNUMBER(SEARCH("일1",$H33)),1,"")</f>
      </c>
      <c r="R33" s="85" t="str">
        <f>IF(ISNUMBER(SEARCH("일2",$H33)),1,"")</f>
      </c>
      <c r="S33" s="85" t="str">
        <f>IF(ISNUMBER(SEARCH("일3",$H33)),1,"")</f>
      </c>
      <c r="T33" s="85" t="n">
        <f>SUM(I33:S33)</f>
        <v>0</v>
      </c>
      <c r="U33" s="175" t="str"/>
    </row>
    <row r="34" ht="23" customHeight="1">
      <c r="A34" s="84" t="n">
        <v>8</v>
      </c>
      <c r="B34" s="171" t="str"/>
      <c r="C34" s="171" t="str"/>
      <c r="D34" s="171" t="str"/>
      <c r="E34" s="172" t="str"/>
      <c r="F34" s="172" t="str"/>
      <c r="G34" s="173" t="str"/>
      <c r="H34" s="174" t="str"/>
      <c r="I34" s="85" t="str">
        <f>IF(ISNUMBER(SEARCH("월",$H34)),1,"")</f>
      </c>
      <c r="J34" s="85" t="str">
        <f>IF(ISNUMBER(SEARCH("화",$H34)),1,"")</f>
      </c>
      <c r="K34" s="85" t="str">
        <f>IF(ISNUMBER(SEARCH("수",$H34)),1,"")</f>
      </c>
      <c r="L34" s="85" t="str">
        <f>IF(ISNUMBER(SEARCH("목",$H34)),1,"")</f>
      </c>
      <c r="M34" s="85" t="str">
        <f>IF(ISNUMBER(SEARCH("금",$H34)),1,"")</f>
      </c>
      <c r="N34" s="85" t="str">
        <f>IF(ISNUMBER(SEARCH("토1",$H34)),1,"")</f>
      </c>
      <c r="O34" s="85" t="str">
        <f>IF(ISNUMBER(SEARCH("토2",$H34)),1,"")</f>
      </c>
      <c r="P34" s="85" t="str">
        <f>IF(ISNUMBER(SEARCH("토3",$H34)),1,"")</f>
      </c>
      <c r="Q34" s="85" t="str">
        <f>IF(ISNUMBER(SEARCH("일1",$H34)),1,"")</f>
      </c>
      <c r="R34" s="85" t="str">
        <f>IF(ISNUMBER(SEARCH("일2",$H34)),1,"")</f>
      </c>
      <c r="S34" s="85" t="str">
        <f>IF(ISNUMBER(SEARCH("일3",$H34)),1,"")</f>
      </c>
      <c r="T34" s="85" t="n">
        <f>SUM(I34:S34)</f>
        <v>0</v>
      </c>
      <c r="U34" s="175" t="str"/>
    </row>
    <row r="35" ht="23" customHeight="1">
      <c r="A35" s="84" t="n">
        <v>9</v>
      </c>
      <c r="B35" s="171" t="str"/>
      <c r="C35" s="171" t="str"/>
      <c r="D35" s="171" t="str"/>
      <c r="E35" s="172" t="str"/>
      <c r="F35" s="172" t="str"/>
      <c r="G35" s="173" t="str"/>
      <c r="H35" s="174" t="str"/>
      <c r="I35" s="85" t="str">
        <f>IF(ISNUMBER(SEARCH("월",$H35)),1,"")</f>
      </c>
      <c r="J35" s="85" t="str">
        <f>IF(ISNUMBER(SEARCH("화",$H35)),1,"")</f>
      </c>
      <c r="K35" s="85" t="str">
        <f>IF(ISNUMBER(SEARCH("수",$H35)),1,"")</f>
      </c>
      <c r="L35" s="85" t="str">
        <f>IF(ISNUMBER(SEARCH("목",$H35)),1,"")</f>
      </c>
      <c r="M35" s="85" t="str">
        <f>IF(ISNUMBER(SEARCH("금",$H35)),1,"")</f>
      </c>
      <c r="N35" s="85" t="str">
        <f>IF(ISNUMBER(SEARCH("토1",$H35)),1,"")</f>
      </c>
      <c r="O35" s="85" t="str">
        <f>IF(ISNUMBER(SEARCH("토2",$H35)),1,"")</f>
      </c>
      <c r="P35" s="85" t="str">
        <f>IF(ISNUMBER(SEARCH("토3",$H35)),1,"")</f>
      </c>
      <c r="Q35" s="85" t="str">
        <f>IF(ISNUMBER(SEARCH("일1",$H35)),1,"")</f>
      </c>
      <c r="R35" s="85" t="str">
        <f>IF(ISNUMBER(SEARCH("일2",$H35)),1,"")</f>
      </c>
      <c r="S35" s="85" t="str">
        <f>IF(ISNUMBER(SEARCH("일3",$H35)),1,"")</f>
      </c>
      <c r="T35" s="85" t="n">
        <f>SUM(I35:S35)</f>
        <v>0</v>
      </c>
      <c r="U35" s="175" t="str"/>
    </row>
    <row r="36" ht="23" customHeight="1">
      <c r="A36" s="84" t="n">
        <v>10</v>
      </c>
      <c r="B36" s="171" t="str"/>
      <c r="C36" s="171" t="str"/>
      <c r="D36" s="171" t="str"/>
      <c r="E36" s="172" t="str"/>
      <c r="F36" s="172" t="str"/>
      <c r="G36" s="173" t="str"/>
      <c r="H36" s="174" t="str"/>
      <c r="I36" s="85" t="str">
        <f>IF(ISNUMBER(SEARCH("월",$H36)),1,"")</f>
      </c>
      <c r="J36" s="85" t="str">
        <f>IF(ISNUMBER(SEARCH("화",$H36)),1,"")</f>
      </c>
      <c r="K36" s="85" t="str">
        <f>IF(ISNUMBER(SEARCH("수",$H36)),1,"")</f>
      </c>
      <c r="L36" s="85" t="str">
        <f>IF(ISNUMBER(SEARCH("목",$H36)),1,"")</f>
      </c>
      <c r="M36" s="85" t="str">
        <f>IF(ISNUMBER(SEARCH("금",$H36)),1,"")</f>
      </c>
      <c r="N36" s="85" t="str">
        <f>IF(ISNUMBER(SEARCH("토1",$H36)),1,"")</f>
      </c>
      <c r="O36" s="85" t="str">
        <f>IF(ISNUMBER(SEARCH("토2",$H36)),1,"")</f>
      </c>
      <c r="P36" s="85" t="str">
        <f>IF(ISNUMBER(SEARCH("토3",$H36)),1,"")</f>
      </c>
      <c r="Q36" s="85" t="str">
        <f>IF(ISNUMBER(SEARCH("일1",$H36)),1,"")</f>
      </c>
      <c r="R36" s="85" t="str">
        <f>IF(ISNUMBER(SEARCH("일2",$H36)),1,"")</f>
      </c>
      <c r="S36" s="85" t="str">
        <f>IF(ISNUMBER(SEARCH("일3",$H36)),1,"")</f>
      </c>
      <c r="T36" s="85" t="n">
        <f>SUM(I36:S36)</f>
        <v>0</v>
      </c>
      <c r="U36" s="175" t="str"/>
    </row>
    <row r="37" ht="23" customHeight="1">
      <c r="A37" s="84" t="n">
        <v>11</v>
      </c>
      <c r="B37" s="171" t="str"/>
      <c r="C37" s="171" t="str"/>
      <c r="D37" s="171" t="str"/>
      <c r="E37" s="172" t="str"/>
      <c r="F37" s="172" t="str"/>
      <c r="G37" s="173" t="str"/>
      <c r="H37" s="174" t="str"/>
      <c r="I37" s="85" t="str">
        <f>IF(ISNUMBER(SEARCH("월",$H37)),1,"")</f>
      </c>
      <c r="J37" s="85" t="str">
        <f>IF(ISNUMBER(SEARCH("화",$H37)),1,"")</f>
      </c>
      <c r="K37" s="85" t="str">
        <f>IF(ISNUMBER(SEARCH("수",$H37)),1,"")</f>
      </c>
      <c r="L37" s="85" t="str">
        <f>IF(ISNUMBER(SEARCH("목",$H37)),1,"")</f>
      </c>
      <c r="M37" s="85" t="str">
        <f>IF(ISNUMBER(SEARCH("금",$H37)),1,"")</f>
      </c>
      <c r="N37" s="85" t="str">
        <f>IF(ISNUMBER(SEARCH("토1",$H37)),1,"")</f>
      </c>
      <c r="O37" s="85" t="str">
        <f>IF(ISNUMBER(SEARCH("토2",$H37)),1,"")</f>
      </c>
      <c r="P37" s="85" t="str">
        <f>IF(ISNUMBER(SEARCH("토3",$H37)),1,"")</f>
      </c>
      <c r="Q37" s="85" t="str">
        <f>IF(ISNUMBER(SEARCH("일1",$H37)),1,"")</f>
      </c>
      <c r="R37" s="85" t="str">
        <f>IF(ISNUMBER(SEARCH("일2",$H37)),1,"")</f>
      </c>
      <c r="S37" s="85" t="str">
        <f>IF(ISNUMBER(SEARCH("일3",$H37)),1,"")</f>
      </c>
      <c r="T37" s="85" t="n">
        <f>SUM(I37:S37)</f>
        <v>0</v>
      </c>
      <c r="U37" s="175" t="str"/>
    </row>
    <row r="38" ht="23" customHeight="1">
      <c r="A38" s="84" t="n">
        <v>12</v>
      </c>
      <c r="B38" s="171" t="str"/>
      <c r="C38" s="171" t="str"/>
      <c r="D38" s="171" t="str"/>
      <c r="E38" s="172" t="str"/>
      <c r="F38" s="172" t="str"/>
      <c r="G38" s="173" t="str"/>
      <c r="H38" s="174" t="str"/>
      <c r="I38" s="85" t="str">
        <f>IF(ISNUMBER(SEARCH("월",$H38)),1,"")</f>
      </c>
      <c r="J38" s="85" t="str">
        <f>IF(ISNUMBER(SEARCH("화",$H38)),1,"")</f>
      </c>
      <c r="K38" s="85" t="str">
        <f>IF(ISNUMBER(SEARCH("수",$H38)),1,"")</f>
      </c>
      <c r="L38" s="85" t="str">
        <f>IF(ISNUMBER(SEARCH("목",$H38)),1,"")</f>
      </c>
      <c r="M38" s="85" t="str">
        <f>IF(ISNUMBER(SEARCH("금",$H38)),1,"")</f>
      </c>
      <c r="N38" s="85" t="str">
        <f>IF(ISNUMBER(SEARCH("토1",$H38)),1,"")</f>
      </c>
      <c r="O38" s="85" t="str">
        <f>IF(ISNUMBER(SEARCH("토2",$H38)),1,"")</f>
      </c>
      <c r="P38" s="85" t="str">
        <f>IF(ISNUMBER(SEARCH("토3",$H38)),1,"")</f>
      </c>
      <c r="Q38" s="85" t="str">
        <f>IF(ISNUMBER(SEARCH("일1",$H38)),1,"")</f>
      </c>
      <c r="R38" s="85" t="str">
        <f>IF(ISNUMBER(SEARCH("일2",$H38)),1,"")</f>
      </c>
      <c r="S38" s="85" t="str">
        <f>IF(ISNUMBER(SEARCH("일3",$H38)),1,"")</f>
      </c>
      <c r="T38" s="85" t="n">
        <f>SUM(I38:S38)</f>
        <v>0</v>
      </c>
      <c r="U38" s="175" t="str"/>
    </row>
    <row r="39" ht="23" customHeight="1">
      <c r="A39" s="84" t="n">
        <v>13</v>
      </c>
      <c r="B39" s="171" t="str"/>
      <c r="C39" s="171" t="str"/>
      <c r="D39" s="171" t="str"/>
      <c r="E39" s="172" t="str"/>
      <c r="F39" s="172" t="str"/>
      <c r="G39" s="173" t="str"/>
      <c r="H39" s="174" t="str"/>
      <c r="I39" s="85" t="str">
        <f>IF(ISNUMBER(SEARCH("월",$H39)),1,"")</f>
      </c>
      <c r="J39" s="85" t="str">
        <f>IF(ISNUMBER(SEARCH("화",$H39)),1,"")</f>
      </c>
      <c r="K39" s="85" t="str">
        <f>IF(ISNUMBER(SEARCH("수",$H39)),1,"")</f>
      </c>
      <c r="L39" s="85" t="str">
        <f>IF(ISNUMBER(SEARCH("목",$H39)),1,"")</f>
      </c>
      <c r="M39" s="85" t="str">
        <f>IF(ISNUMBER(SEARCH("금",$H39)),1,"")</f>
      </c>
      <c r="N39" s="85" t="str">
        <f>IF(ISNUMBER(SEARCH("토1",$H39)),1,"")</f>
      </c>
      <c r="O39" s="85" t="str">
        <f>IF(ISNUMBER(SEARCH("토2",$H39)),1,"")</f>
      </c>
      <c r="P39" s="85" t="str">
        <f>IF(ISNUMBER(SEARCH("토3",$H39)),1,"")</f>
      </c>
      <c r="Q39" s="85" t="str">
        <f>IF(ISNUMBER(SEARCH("일1",$H39)),1,"")</f>
      </c>
      <c r="R39" s="85" t="str">
        <f>IF(ISNUMBER(SEARCH("일2",$H39)),1,"")</f>
      </c>
      <c r="S39" s="85" t="str">
        <f>IF(ISNUMBER(SEARCH("일3",$H39)),1,"")</f>
      </c>
      <c r="T39" s="85" t="n">
        <f>SUM(I39:S39)</f>
        <v>0</v>
      </c>
      <c r="U39" s="175" t="str"/>
    </row>
    <row r="40" ht="23" customHeight="1">
      <c r="A40" s="84" t="n">
        <v>14</v>
      </c>
      <c r="B40" s="171" t="str"/>
      <c r="C40" s="171" t="str"/>
      <c r="D40" s="171" t="str"/>
      <c r="E40" s="172" t="str"/>
      <c r="F40" s="172" t="str"/>
      <c r="G40" s="173" t="str"/>
      <c r="H40" s="174" t="str"/>
      <c r="I40" s="85" t="str">
        <f>IF(ISNUMBER(SEARCH("월",$H40)),1,"")</f>
      </c>
      <c r="J40" s="85" t="str">
        <f>IF(ISNUMBER(SEARCH("화",$H40)),1,"")</f>
      </c>
      <c r="K40" s="85" t="str">
        <f>IF(ISNUMBER(SEARCH("수",$H40)),1,"")</f>
      </c>
      <c r="L40" s="85" t="str">
        <f>IF(ISNUMBER(SEARCH("목",$H40)),1,"")</f>
      </c>
      <c r="M40" s="85" t="str">
        <f>IF(ISNUMBER(SEARCH("금",$H40)),1,"")</f>
      </c>
      <c r="N40" s="85" t="str">
        <f>IF(ISNUMBER(SEARCH("토1",$H40)),1,"")</f>
      </c>
      <c r="O40" s="85" t="str">
        <f>IF(ISNUMBER(SEARCH("토2",$H40)),1,"")</f>
      </c>
      <c r="P40" s="85" t="str">
        <f>IF(ISNUMBER(SEARCH("토3",$H40)),1,"")</f>
      </c>
      <c r="Q40" s="85" t="str">
        <f>IF(ISNUMBER(SEARCH("일1",$H40)),1,"")</f>
      </c>
      <c r="R40" s="85" t="str">
        <f>IF(ISNUMBER(SEARCH("일2",$H40)),1,"")</f>
      </c>
      <c r="S40" s="85" t="str">
        <f>IF(ISNUMBER(SEARCH("일3",$H40)),1,"")</f>
      </c>
      <c r="T40" s="85" t="n">
        <f>SUM(I40:S40)</f>
        <v>0</v>
      </c>
      <c r="U40" s="175" t="str"/>
    </row>
    <row r="41" ht="23" customHeight="1">
      <c r="A41" s="84" t="n">
        <v>15</v>
      </c>
      <c r="B41" s="171" t="str"/>
      <c r="C41" s="171" t="str"/>
      <c r="D41" s="171" t="str"/>
      <c r="E41" s="172" t="str"/>
      <c r="F41" s="172" t="str"/>
      <c r="G41" s="173" t="str"/>
      <c r="H41" s="174" t="str"/>
      <c r="I41" s="85" t="str">
        <f>IF(ISNUMBER(SEARCH("월",$H41)),1,"")</f>
      </c>
      <c r="J41" s="85" t="str">
        <f>IF(ISNUMBER(SEARCH("화",$H41)),1,"")</f>
      </c>
      <c r="K41" s="85" t="str">
        <f>IF(ISNUMBER(SEARCH("수",$H41)),1,"")</f>
      </c>
      <c r="L41" s="85" t="str">
        <f>IF(ISNUMBER(SEARCH("목",$H41)),1,"")</f>
      </c>
      <c r="M41" s="85" t="str">
        <f>IF(ISNUMBER(SEARCH("금",$H41)),1,"")</f>
      </c>
      <c r="N41" s="85" t="str">
        <f>IF(ISNUMBER(SEARCH("토1",$H41)),1,"")</f>
      </c>
      <c r="O41" s="85" t="str">
        <f>IF(ISNUMBER(SEARCH("토2",$H41)),1,"")</f>
      </c>
      <c r="P41" s="85" t="str">
        <f>IF(ISNUMBER(SEARCH("토3",$H41)),1,"")</f>
      </c>
      <c r="Q41" s="85" t="str">
        <f>IF(ISNUMBER(SEARCH("일1",$H41)),1,"")</f>
      </c>
      <c r="R41" s="85" t="str">
        <f>IF(ISNUMBER(SEARCH("일2",$H41)),1,"")</f>
      </c>
      <c r="S41" s="85" t="str">
        <f>IF(ISNUMBER(SEARCH("일3",$H41)),1,"")</f>
      </c>
      <c r="T41" s="85" t="n">
        <f>SUM(I41:S41)</f>
        <v>0</v>
      </c>
      <c r="U41" s="175" t="str"/>
    </row>
    <row r="42" ht="23" customHeight="1">
      <c r="A42" s="84" t="n">
        <v>16</v>
      </c>
      <c r="B42" s="171" t="str"/>
      <c r="C42" s="171" t="str"/>
      <c r="D42" s="171" t="str"/>
      <c r="E42" s="172" t="str"/>
      <c r="F42" s="172" t="str"/>
      <c r="G42" s="173" t="str"/>
      <c r="H42" s="174" t="str"/>
      <c r="I42" s="85" t="str">
        <f>IF(ISNUMBER(SEARCH("월",$H42)),1,"")</f>
      </c>
      <c r="J42" s="85" t="str">
        <f>IF(ISNUMBER(SEARCH("화",$H42)),1,"")</f>
      </c>
      <c r="K42" s="85" t="str">
        <f>IF(ISNUMBER(SEARCH("수",$H42)),1,"")</f>
      </c>
      <c r="L42" s="85" t="str">
        <f>IF(ISNUMBER(SEARCH("목",$H42)),1,"")</f>
      </c>
      <c r="M42" s="85" t="str">
        <f>IF(ISNUMBER(SEARCH("금",$H42)),1,"")</f>
      </c>
      <c r="N42" s="85" t="str">
        <f>IF(ISNUMBER(SEARCH("토1",$H42)),1,"")</f>
      </c>
      <c r="O42" s="85" t="str">
        <f>IF(ISNUMBER(SEARCH("토2",$H42)),1,"")</f>
      </c>
      <c r="P42" s="85" t="str">
        <f>IF(ISNUMBER(SEARCH("토3",$H42)),1,"")</f>
      </c>
      <c r="Q42" s="85" t="str">
        <f>IF(ISNUMBER(SEARCH("일1",$H42)),1,"")</f>
      </c>
      <c r="R42" s="85" t="str">
        <f>IF(ISNUMBER(SEARCH("일2",$H42)),1,"")</f>
      </c>
      <c r="S42" s="85" t="str">
        <f>IF(ISNUMBER(SEARCH("일3",$H42)),1,"")</f>
      </c>
      <c r="T42" s="85" t="n">
        <f>SUM(I42:S42)</f>
        <v>0</v>
      </c>
      <c r="U42" s="175" t="str"/>
    </row>
    <row r="43" ht="23" customHeight="1">
      <c r="A43" s="84" t="n">
        <v>17</v>
      </c>
      <c r="B43" s="171" t="str"/>
      <c r="C43" s="171" t="str"/>
      <c r="D43" s="171" t="str"/>
      <c r="E43" s="172" t="str"/>
      <c r="F43" s="172" t="str"/>
      <c r="G43" s="173" t="str"/>
      <c r="H43" s="174" t="str"/>
      <c r="I43" s="85" t="str">
        <f>IF(ISNUMBER(SEARCH("월",$H43)),1,"")</f>
      </c>
      <c r="J43" s="85" t="str">
        <f>IF(ISNUMBER(SEARCH("화",$H43)),1,"")</f>
      </c>
      <c r="K43" s="85" t="str">
        <f>IF(ISNUMBER(SEARCH("수",$H43)),1,"")</f>
      </c>
      <c r="L43" s="85" t="str">
        <f>IF(ISNUMBER(SEARCH("목",$H43)),1,"")</f>
      </c>
      <c r="M43" s="85" t="str">
        <f>IF(ISNUMBER(SEARCH("금",$H43)),1,"")</f>
      </c>
      <c r="N43" s="85" t="str">
        <f>IF(ISNUMBER(SEARCH("토1",$H43)),1,"")</f>
      </c>
      <c r="O43" s="85" t="str">
        <f>IF(ISNUMBER(SEARCH("토2",$H43)),1,"")</f>
      </c>
      <c r="P43" s="85" t="str">
        <f>IF(ISNUMBER(SEARCH("토3",$H43)),1,"")</f>
      </c>
      <c r="Q43" s="85" t="str">
        <f>IF(ISNUMBER(SEARCH("일1",$H43)),1,"")</f>
      </c>
      <c r="R43" s="85" t="str">
        <f>IF(ISNUMBER(SEARCH("일2",$H43)),1,"")</f>
      </c>
      <c r="S43" s="85" t="str">
        <f>IF(ISNUMBER(SEARCH("일3",$H43)),1,"")</f>
      </c>
      <c r="T43" s="85" t="n">
        <f>SUM(I43:S43)</f>
        <v>0</v>
      </c>
      <c r="U43" s="175" t="str"/>
    </row>
    <row r="44" ht="23" customHeight="1">
      <c r="A44" s="84" t="n">
        <v>18</v>
      </c>
      <c r="B44" s="171" t="str"/>
      <c r="C44" s="171" t="str"/>
      <c r="D44" s="171" t="str"/>
      <c r="E44" s="172" t="str"/>
      <c r="F44" s="172" t="str"/>
      <c r="G44" s="173" t="str"/>
      <c r="H44" s="174" t="str"/>
      <c r="I44" s="85" t="str">
        <f>IF(ISNUMBER(SEARCH("월",$H44)),1,"")</f>
      </c>
      <c r="J44" s="85" t="str">
        <f>IF(ISNUMBER(SEARCH("화",$H44)),1,"")</f>
      </c>
      <c r="K44" s="85" t="str">
        <f>IF(ISNUMBER(SEARCH("수",$H44)),1,"")</f>
      </c>
      <c r="L44" s="85" t="str">
        <f>IF(ISNUMBER(SEARCH("목",$H44)),1,"")</f>
      </c>
      <c r="M44" s="85" t="str">
        <f>IF(ISNUMBER(SEARCH("금",$H44)),1,"")</f>
      </c>
      <c r="N44" s="85" t="str">
        <f>IF(ISNUMBER(SEARCH("토1",$H44)),1,"")</f>
      </c>
      <c r="O44" s="85" t="str">
        <f>IF(ISNUMBER(SEARCH("토2",$H44)),1,"")</f>
      </c>
      <c r="P44" s="85" t="str">
        <f>IF(ISNUMBER(SEARCH("토3",$H44)),1,"")</f>
      </c>
      <c r="Q44" s="85" t="str">
        <f>IF(ISNUMBER(SEARCH("일1",$H44)),1,"")</f>
      </c>
      <c r="R44" s="85" t="str">
        <f>IF(ISNUMBER(SEARCH("일2",$H44)),1,"")</f>
      </c>
      <c r="S44" s="85" t="str">
        <f>IF(ISNUMBER(SEARCH("일3",$H44)),1,"")</f>
      </c>
      <c r="T44" s="85" t="n">
        <f>SUM(I44:S44)</f>
        <v>0</v>
      </c>
      <c r="U44" s="175" t="str"/>
    </row>
    <row r="45" ht="23" customHeight="1">
      <c r="A45" s="84" t="n">
        <v>19</v>
      </c>
      <c r="B45" s="171" t="str"/>
      <c r="C45" s="171" t="str"/>
      <c r="D45" s="171" t="str"/>
      <c r="E45" s="172" t="str"/>
      <c r="F45" s="172" t="str"/>
      <c r="G45" s="173" t="str"/>
      <c r="H45" s="174" t="str"/>
      <c r="I45" s="85" t="str">
        <f>IF(ISNUMBER(SEARCH("월",$H45)),1,"")</f>
      </c>
      <c r="J45" s="85" t="str">
        <f>IF(ISNUMBER(SEARCH("화",$H45)),1,"")</f>
      </c>
      <c r="K45" s="85" t="str">
        <f>IF(ISNUMBER(SEARCH("수",$H45)),1,"")</f>
      </c>
      <c r="L45" s="85" t="str">
        <f>IF(ISNUMBER(SEARCH("목",$H45)),1,"")</f>
      </c>
      <c r="M45" s="85" t="str">
        <f>IF(ISNUMBER(SEARCH("금",$H45)),1,"")</f>
      </c>
      <c r="N45" s="85" t="str">
        <f>IF(ISNUMBER(SEARCH("토1",$H45)),1,"")</f>
      </c>
      <c r="O45" s="85" t="str">
        <f>IF(ISNUMBER(SEARCH("토2",$H45)),1,"")</f>
      </c>
      <c r="P45" s="85" t="str">
        <f>IF(ISNUMBER(SEARCH("토3",$H45)),1,"")</f>
      </c>
      <c r="Q45" s="85" t="str">
        <f>IF(ISNUMBER(SEARCH("일1",$H45)),1,"")</f>
      </c>
      <c r="R45" s="85" t="str">
        <f>IF(ISNUMBER(SEARCH("일2",$H45)),1,"")</f>
      </c>
      <c r="S45" s="85" t="str">
        <f>IF(ISNUMBER(SEARCH("일3",$H45)),1,"")</f>
      </c>
      <c r="T45" s="85" t="n">
        <f>SUM(I45:S45)</f>
        <v>0</v>
      </c>
      <c r="U45" s="175" t="str"/>
    </row>
    <row r="46" ht="23" customHeight="1">
      <c r="A46" s="84" t="n">
        <v>20</v>
      </c>
      <c r="B46" s="171" t="str"/>
      <c r="C46" s="171" t="str"/>
      <c r="D46" s="171" t="str"/>
      <c r="E46" s="172" t="str"/>
      <c r="F46" s="172" t="str"/>
      <c r="G46" s="173" t="str"/>
      <c r="H46" s="174" t="str"/>
      <c r="I46" s="85" t="str">
        <f>IF(ISNUMBER(SEARCH("월",$H46)),1,"")</f>
      </c>
      <c r="J46" s="85" t="str">
        <f>IF(ISNUMBER(SEARCH("화",$H46)),1,"")</f>
      </c>
      <c r="K46" s="85" t="str">
        <f>IF(ISNUMBER(SEARCH("수",$H46)),1,"")</f>
      </c>
      <c r="L46" s="85" t="str">
        <f>IF(ISNUMBER(SEARCH("목",$H46)),1,"")</f>
      </c>
      <c r="M46" s="85" t="str">
        <f>IF(ISNUMBER(SEARCH("금",$H46)),1,"")</f>
      </c>
      <c r="N46" s="85" t="str">
        <f>IF(ISNUMBER(SEARCH("토1",$H46)),1,"")</f>
      </c>
      <c r="O46" s="85" t="str">
        <f>IF(ISNUMBER(SEARCH("토2",$H46)),1,"")</f>
      </c>
      <c r="P46" s="85" t="str">
        <f>IF(ISNUMBER(SEARCH("토3",$H46)),1,"")</f>
      </c>
      <c r="Q46" s="85" t="str">
        <f>IF(ISNUMBER(SEARCH("일1",$H46)),1,"")</f>
      </c>
      <c r="R46" s="85" t="str">
        <f>IF(ISNUMBER(SEARCH("일2",$H46)),1,"")</f>
      </c>
      <c r="S46" s="85" t="str">
        <f>IF(ISNUMBER(SEARCH("일3",$H46)),1,"")</f>
      </c>
      <c r="T46" s="85" t="n">
        <f>SUM(I46:S46)</f>
        <v>0</v>
      </c>
      <c r="U46" s="175" t="str"/>
    </row>
    <row r="47" ht="27" customHeight="1">
      <c r="A47" s="168" t="str"/>
      <c r="B47" s="169"/>
      <c r="C47" s="169"/>
      <c r="D47" s="169"/>
      <c r="E47" s="169"/>
      <c r="F47" s="169"/>
      <c r="G47" s="169"/>
      <c r="H47" s="169"/>
      <c r="I47" s="169"/>
      <c r="J47" s="169"/>
      <c r="K47" s="169"/>
      <c r="L47" s="169"/>
      <c r="M47" s="169"/>
      <c r="N47" s="169"/>
      <c r="O47" s="169"/>
      <c r="P47" s="169"/>
      <c r="Q47" s="169"/>
      <c r="R47" s="169"/>
      <c r="S47" s="169"/>
      <c r="T47" s="169"/>
      <c r="U47" s="170"/>
    </row>
    <row r="48" ht="23" customHeight="1">
      <c r="A48" s="84" t="n">
        <v>1</v>
      </c>
      <c r="B48" s="171" t="str"/>
      <c r="C48" s="171" t="str"/>
      <c r="D48" s="171" t="str"/>
      <c r="E48" s="172" t="str"/>
      <c r="F48" s="172" t="str"/>
      <c r="G48" s="173" t="str"/>
      <c r="H48" s="174" t="str"/>
      <c r="I48" s="85" t="str">
        <f>IF(ISNUMBER(SEARCH("월",$H48)),1,"")</f>
      </c>
      <c r="J48" s="85" t="str">
        <f>IF(ISNUMBER(SEARCH("화",$H48)),1,"")</f>
      </c>
      <c r="K48" s="85" t="str">
        <f>IF(ISNUMBER(SEARCH("수",$H48)),1,"")</f>
      </c>
      <c r="L48" s="85" t="str">
        <f>IF(ISNUMBER(SEARCH("목",$H48)),1,"")</f>
      </c>
      <c r="M48" s="85" t="str">
        <f>IF(ISNUMBER(SEARCH("금",$H48)),1,"")</f>
      </c>
      <c r="N48" s="85" t="str">
        <f>IF(ISNUMBER(SEARCH("토1",$H48)),1,"")</f>
      </c>
      <c r="O48" s="85" t="str">
        <f>IF(ISNUMBER(SEARCH("토2",$H48)),1,"")</f>
      </c>
      <c r="P48" s="85" t="str">
        <f>IF(ISNUMBER(SEARCH("토3",$H48)),1,"")</f>
      </c>
      <c r="Q48" s="85" t="str">
        <f>IF(ISNUMBER(SEARCH("일1",$H48)),1,"")</f>
      </c>
      <c r="R48" s="85" t="str">
        <f>IF(ISNUMBER(SEARCH("일2",$H48)),1,"")</f>
      </c>
      <c r="S48" s="85" t="str">
        <f>IF(ISNUMBER(SEARCH("일3",$H48)),1,"")</f>
      </c>
      <c r="T48" s="85" t="n">
        <f>SUM(I48:S48)</f>
        <v>0</v>
      </c>
      <c r="U48" s="175" t="str"/>
    </row>
    <row r="49" ht="23" customHeight="1">
      <c r="A49" s="84" t="n">
        <v>2</v>
      </c>
      <c r="B49" s="171" t="str"/>
      <c r="C49" s="171" t="str"/>
      <c r="D49" s="171" t="str"/>
      <c r="E49" s="172" t="str"/>
      <c r="F49" s="172" t="str"/>
      <c r="G49" s="173" t="str"/>
      <c r="H49" s="174" t="str"/>
      <c r="I49" s="85" t="str">
        <f>IF(ISNUMBER(SEARCH("월",$H49)),1,"")</f>
      </c>
      <c r="J49" s="85" t="str">
        <f>IF(ISNUMBER(SEARCH("화",$H49)),1,"")</f>
      </c>
      <c r="K49" s="85" t="str">
        <f>IF(ISNUMBER(SEARCH("수",$H49)),1,"")</f>
      </c>
      <c r="L49" s="85" t="str">
        <f>IF(ISNUMBER(SEARCH("목",$H49)),1,"")</f>
      </c>
      <c r="M49" s="85" t="str">
        <f>IF(ISNUMBER(SEARCH("금",$H49)),1,"")</f>
      </c>
      <c r="N49" s="85" t="str">
        <f>IF(ISNUMBER(SEARCH("토1",$H49)),1,"")</f>
      </c>
      <c r="O49" s="85" t="str">
        <f>IF(ISNUMBER(SEARCH("토2",$H49)),1,"")</f>
      </c>
      <c r="P49" s="85" t="str">
        <f>IF(ISNUMBER(SEARCH("토3",$H49)),1,"")</f>
      </c>
      <c r="Q49" s="85" t="str">
        <f>IF(ISNUMBER(SEARCH("일1",$H49)),1,"")</f>
      </c>
      <c r="R49" s="85" t="str">
        <f>IF(ISNUMBER(SEARCH("일2",$H49)),1,"")</f>
      </c>
      <c r="S49" s="85" t="str">
        <f>IF(ISNUMBER(SEARCH("일3",$H49)),1,"")</f>
      </c>
      <c r="T49" s="85" t="n">
        <f>SUM(I49:S49)</f>
        <v>0</v>
      </c>
      <c r="U49" s="175" t="str"/>
    </row>
    <row r="50" ht="23" customHeight="1">
      <c r="A50" s="84" t="n">
        <v>3</v>
      </c>
      <c r="B50" s="171" t="str"/>
      <c r="C50" s="171" t="str"/>
      <c r="D50" s="171" t="str"/>
      <c r="E50" s="172" t="str"/>
      <c r="F50" s="172" t="str"/>
      <c r="G50" s="173" t="str"/>
      <c r="H50" s="174" t="str"/>
      <c r="I50" s="85" t="str">
        <f>IF(ISNUMBER(SEARCH("월",$H50)),1,"")</f>
      </c>
      <c r="J50" s="85" t="str">
        <f>IF(ISNUMBER(SEARCH("화",$H50)),1,"")</f>
      </c>
      <c r="K50" s="85" t="str">
        <f>IF(ISNUMBER(SEARCH("수",$H50)),1,"")</f>
      </c>
      <c r="L50" s="85" t="str">
        <f>IF(ISNUMBER(SEARCH("목",$H50)),1,"")</f>
      </c>
      <c r="M50" s="85" t="str">
        <f>IF(ISNUMBER(SEARCH("금",$H50)),1,"")</f>
      </c>
      <c r="N50" s="85" t="str">
        <f>IF(ISNUMBER(SEARCH("토1",$H50)),1,"")</f>
      </c>
      <c r="O50" s="85" t="str">
        <f>IF(ISNUMBER(SEARCH("토2",$H50)),1,"")</f>
      </c>
      <c r="P50" s="85" t="str">
        <f>IF(ISNUMBER(SEARCH("토3",$H50)),1,"")</f>
      </c>
      <c r="Q50" s="85" t="str">
        <f>IF(ISNUMBER(SEARCH("일1",$H50)),1,"")</f>
      </c>
      <c r="R50" s="85" t="str">
        <f>IF(ISNUMBER(SEARCH("일2",$H50)),1,"")</f>
      </c>
      <c r="S50" s="85" t="str">
        <f>IF(ISNUMBER(SEARCH("일3",$H50)),1,"")</f>
      </c>
      <c r="T50" s="85" t="n">
        <f>SUM(I50:S50)</f>
        <v>0</v>
      </c>
      <c r="U50" s="175" t="str"/>
    </row>
    <row r="51" ht="23" customHeight="1">
      <c r="A51" s="84" t="n">
        <v>4</v>
      </c>
      <c r="B51" s="171" t="str"/>
      <c r="C51" s="171" t="str"/>
      <c r="D51" s="171" t="str"/>
      <c r="E51" s="172" t="str"/>
      <c r="F51" s="172" t="str"/>
      <c r="G51" s="173" t="str"/>
      <c r="H51" s="174" t="str"/>
      <c r="I51" s="85" t="str">
        <f>IF(ISNUMBER(SEARCH("월",$H51)),1,"")</f>
      </c>
      <c r="J51" s="85" t="str">
        <f>IF(ISNUMBER(SEARCH("화",$H51)),1,"")</f>
      </c>
      <c r="K51" s="85" t="str">
        <f>IF(ISNUMBER(SEARCH("수",$H51)),1,"")</f>
      </c>
      <c r="L51" s="85" t="str">
        <f>IF(ISNUMBER(SEARCH("목",$H51)),1,"")</f>
      </c>
      <c r="M51" s="85" t="str">
        <f>IF(ISNUMBER(SEARCH("금",$H51)),1,"")</f>
      </c>
      <c r="N51" s="85" t="str">
        <f>IF(ISNUMBER(SEARCH("토1",$H51)),1,"")</f>
      </c>
      <c r="O51" s="85" t="str">
        <f>IF(ISNUMBER(SEARCH("토2",$H51)),1,"")</f>
      </c>
      <c r="P51" s="85" t="str">
        <f>IF(ISNUMBER(SEARCH("토3",$H51)),1,"")</f>
      </c>
      <c r="Q51" s="85" t="str">
        <f>IF(ISNUMBER(SEARCH("일1",$H51)),1,"")</f>
      </c>
      <c r="R51" s="85" t="str">
        <f>IF(ISNUMBER(SEARCH("일2",$H51)),1,"")</f>
      </c>
      <c r="S51" s="85" t="str">
        <f>IF(ISNUMBER(SEARCH("일3",$H51)),1,"")</f>
      </c>
      <c r="T51" s="85" t="n">
        <f>SUM(I51:S51)</f>
        <v>0</v>
      </c>
      <c r="U51" s="175" t="str"/>
    </row>
    <row r="52" ht="23" customHeight="1">
      <c r="A52" s="84" t="n">
        <v>5</v>
      </c>
      <c r="B52" s="171" t="str"/>
      <c r="C52" s="171" t="str"/>
      <c r="D52" s="171" t="str"/>
      <c r="E52" s="172" t="str"/>
      <c r="F52" s="172" t="str"/>
      <c r="G52" s="173" t="str"/>
      <c r="H52" s="174" t="str"/>
      <c r="I52" s="85" t="str">
        <f>IF(ISNUMBER(SEARCH("월",$H52)),1,"")</f>
      </c>
      <c r="J52" s="85" t="str">
        <f>IF(ISNUMBER(SEARCH("화",$H52)),1,"")</f>
      </c>
      <c r="K52" s="85" t="str">
        <f>IF(ISNUMBER(SEARCH("수",$H52)),1,"")</f>
      </c>
      <c r="L52" s="85" t="str">
        <f>IF(ISNUMBER(SEARCH("목",$H52)),1,"")</f>
      </c>
      <c r="M52" s="85" t="str">
        <f>IF(ISNUMBER(SEARCH("금",$H52)),1,"")</f>
      </c>
      <c r="N52" s="85" t="str">
        <f>IF(ISNUMBER(SEARCH("토1",$H52)),1,"")</f>
      </c>
      <c r="O52" s="85" t="str">
        <f>IF(ISNUMBER(SEARCH("토2",$H52)),1,"")</f>
      </c>
      <c r="P52" s="85" t="str">
        <f>IF(ISNUMBER(SEARCH("토3",$H52)),1,"")</f>
      </c>
      <c r="Q52" s="85" t="str">
        <f>IF(ISNUMBER(SEARCH("일1",$H52)),1,"")</f>
      </c>
      <c r="R52" s="85" t="str">
        <f>IF(ISNUMBER(SEARCH("일2",$H52)),1,"")</f>
      </c>
      <c r="S52" s="85" t="str">
        <f>IF(ISNUMBER(SEARCH("일3",$H52)),1,"")</f>
      </c>
      <c r="T52" s="85" t="n">
        <f>SUM(I52:S52)</f>
        <v>0</v>
      </c>
      <c r="U52" s="175" t="str"/>
    </row>
    <row r="53" ht="23" customHeight="1">
      <c r="A53" s="84" t="n">
        <v>6</v>
      </c>
      <c r="B53" s="171" t="str"/>
      <c r="C53" s="171" t="str"/>
      <c r="D53" s="171" t="str"/>
      <c r="E53" s="172" t="str"/>
      <c r="F53" s="172" t="str"/>
      <c r="G53" s="173" t="str"/>
      <c r="H53" s="174" t="str"/>
      <c r="I53" s="85" t="str">
        <f>IF(ISNUMBER(SEARCH("월",$H53)),1,"")</f>
      </c>
      <c r="J53" s="85" t="str">
        <f>IF(ISNUMBER(SEARCH("화",$H53)),1,"")</f>
      </c>
      <c r="K53" s="85" t="str">
        <f>IF(ISNUMBER(SEARCH("수",$H53)),1,"")</f>
      </c>
      <c r="L53" s="85" t="str">
        <f>IF(ISNUMBER(SEARCH("목",$H53)),1,"")</f>
      </c>
      <c r="M53" s="85" t="str">
        <f>IF(ISNUMBER(SEARCH("금",$H53)),1,"")</f>
      </c>
      <c r="N53" s="85" t="str">
        <f>IF(ISNUMBER(SEARCH("토1",$H53)),1,"")</f>
      </c>
      <c r="O53" s="85" t="str">
        <f>IF(ISNUMBER(SEARCH("토2",$H53)),1,"")</f>
      </c>
      <c r="P53" s="85" t="str">
        <f>IF(ISNUMBER(SEARCH("토3",$H53)),1,"")</f>
      </c>
      <c r="Q53" s="85" t="str">
        <f>IF(ISNUMBER(SEARCH("일1",$H53)),1,"")</f>
      </c>
      <c r="R53" s="85" t="str">
        <f>IF(ISNUMBER(SEARCH("일2",$H53)),1,"")</f>
      </c>
      <c r="S53" s="85" t="str">
        <f>IF(ISNUMBER(SEARCH("일3",$H53)),1,"")</f>
      </c>
      <c r="T53" s="85" t="n">
        <f>SUM(I53:S53)</f>
        <v>0</v>
      </c>
      <c r="U53" s="175" t="str"/>
    </row>
    <row r="54" ht="23" customHeight="1">
      <c r="A54" s="84" t="n">
        <v>7</v>
      </c>
      <c r="B54" s="171" t="str"/>
      <c r="C54" s="171" t="str"/>
      <c r="D54" s="171" t="str"/>
      <c r="E54" s="172" t="str"/>
      <c r="F54" s="172" t="str"/>
      <c r="G54" s="173" t="str"/>
      <c r="H54" s="174" t="str"/>
      <c r="I54" s="85" t="str">
        <f>IF(ISNUMBER(SEARCH("월",$H54)),1,"")</f>
      </c>
      <c r="J54" s="85" t="str">
        <f>IF(ISNUMBER(SEARCH("화",$H54)),1,"")</f>
      </c>
      <c r="K54" s="85" t="str">
        <f>IF(ISNUMBER(SEARCH("수",$H54)),1,"")</f>
      </c>
      <c r="L54" s="85" t="str">
        <f>IF(ISNUMBER(SEARCH("목",$H54)),1,"")</f>
      </c>
      <c r="M54" s="85" t="str">
        <f>IF(ISNUMBER(SEARCH("금",$H54)),1,"")</f>
      </c>
      <c r="N54" s="85" t="str">
        <f>IF(ISNUMBER(SEARCH("토1",$H54)),1,"")</f>
      </c>
      <c r="O54" s="85" t="str">
        <f>IF(ISNUMBER(SEARCH("토2",$H54)),1,"")</f>
      </c>
      <c r="P54" s="85" t="str">
        <f>IF(ISNUMBER(SEARCH("토3",$H54)),1,"")</f>
      </c>
      <c r="Q54" s="85" t="str">
        <f>IF(ISNUMBER(SEARCH("일1",$H54)),1,"")</f>
      </c>
      <c r="R54" s="85" t="str">
        <f>IF(ISNUMBER(SEARCH("일2",$H54)),1,"")</f>
      </c>
      <c r="S54" s="85" t="str">
        <f>IF(ISNUMBER(SEARCH("일3",$H54)),1,"")</f>
      </c>
      <c r="T54" s="85" t="n">
        <f>SUM(I54:S54)</f>
        <v>0</v>
      </c>
      <c r="U54" s="175" t="str"/>
    </row>
    <row r="55" ht="23" customHeight="1">
      <c r="A55" s="84" t="n">
        <v>8</v>
      </c>
      <c r="B55" s="171" t="str"/>
      <c r="C55" s="171" t="str"/>
      <c r="D55" s="171" t="str"/>
      <c r="E55" s="172" t="str"/>
      <c r="F55" s="172" t="str"/>
      <c r="G55" s="173" t="str"/>
      <c r="H55" s="174" t="str"/>
      <c r="I55" s="85" t="str">
        <f>IF(ISNUMBER(SEARCH("월",$H55)),1,"")</f>
      </c>
      <c r="J55" s="85" t="str">
        <f>IF(ISNUMBER(SEARCH("화",$H55)),1,"")</f>
      </c>
      <c r="K55" s="85" t="str">
        <f>IF(ISNUMBER(SEARCH("수",$H55)),1,"")</f>
      </c>
      <c r="L55" s="85" t="str">
        <f>IF(ISNUMBER(SEARCH("목",$H55)),1,"")</f>
      </c>
      <c r="M55" s="85" t="str">
        <f>IF(ISNUMBER(SEARCH("금",$H55)),1,"")</f>
      </c>
      <c r="N55" s="85" t="str">
        <f>IF(ISNUMBER(SEARCH("토1",$H55)),1,"")</f>
      </c>
      <c r="O55" s="85" t="str">
        <f>IF(ISNUMBER(SEARCH("토2",$H55)),1,"")</f>
      </c>
      <c r="P55" s="85" t="str">
        <f>IF(ISNUMBER(SEARCH("토3",$H55)),1,"")</f>
      </c>
      <c r="Q55" s="85" t="str">
        <f>IF(ISNUMBER(SEARCH("일1",$H55)),1,"")</f>
      </c>
      <c r="R55" s="85" t="str">
        <f>IF(ISNUMBER(SEARCH("일2",$H55)),1,"")</f>
      </c>
      <c r="S55" s="85" t="str">
        <f>IF(ISNUMBER(SEARCH("일3",$H55)),1,"")</f>
      </c>
      <c r="T55" s="85" t="n">
        <f>SUM(I55:S55)</f>
        <v>0</v>
      </c>
      <c r="U55" s="175" t="str"/>
    </row>
    <row r="56" ht="23" customHeight="1">
      <c r="A56" s="84" t="n">
        <v>9</v>
      </c>
      <c r="B56" s="171" t="str"/>
      <c r="C56" s="171" t="str"/>
      <c r="D56" s="171" t="str"/>
      <c r="E56" s="172" t="str"/>
      <c r="F56" s="172" t="str"/>
      <c r="G56" s="173" t="str"/>
      <c r="H56" s="174" t="str"/>
      <c r="I56" s="85" t="str">
        <f>IF(ISNUMBER(SEARCH("월",$H56)),1,"")</f>
      </c>
      <c r="J56" s="85" t="str">
        <f>IF(ISNUMBER(SEARCH("화",$H56)),1,"")</f>
      </c>
      <c r="K56" s="85" t="str">
        <f>IF(ISNUMBER(SEARCH("수",$H56)),1,"")</f>
      </c>
      <c r="L56" s="85" t="str">
        <f>IF(ISNUMBER(SEARCH("목",$H56)),1,"")</f>
      </c>
      <c r="M56" s="85" t="str">
        <f>IF(ISNUMBER(SEARCH("금",$H56)),1,"")</f>
      </c>
      <c r="N56" s="85" t="str">
        <f>IF(ISNUMBER(SEARCH("토1",$H56)),1,"")</f>
      </c>
      <c r="O56" s="85" t="str">
        <f>IF(ISNUMBER(SEARCH("토2",$H56)),1,"")</f>
      </c>
      <c r="P56" s="85" t="str">
        <f>IF(ISNUMBER(SEARCH("토3",$H56)),1,"")</f>
      </c>
      <c r="Q56" s="85" t="str">
        <f>IF(ISNUMBER(SEARCH("일1",$H56)),1,"")</f>
      </c>
      <c r="R56" s="85" t="str">
        <f>IF(ISNUMBER(SEARCH("일2",$H56)),1,"")</f>
      </c>
      <c r="S56" s="85" t="str">
        <f>IF(ISNUMBER(SEARCH("일3",$H56)),1,"")</f>
      </c>
      <c r="T56" s="85" t="n">
        <f>SUM(I56:S56)</f>
        <v>0</v>
      </c>
      <c r="U56" s="175" t="str"/>
    </row>
    <row r="57" ht="23" customHeight="1">
      <c r="A57" s="84" t="n">
        <v>10</v>
      </c>
      <c r="B57" s="171" t="str"/>
      <c r="C57" s="171" t="str"/>
      <c r="D57" s="171" t="str"/>
      <c r="E57" s="172" t="str"/>
      <c r="F57" s="172" t="str"/>
      <c r="G57" s="173" t="str"/>
      <c r="H57" s="174" t="str"/>
      <c r="I57" s="85" t="str">
        <f>IF(ISNUMBER(SEARCH("월",$H57)),1,"")</f>
      </c>
      <c r="J57" s="85" t="str">
        <f>IF(ISNUMBER(SEARCH("화",$H57)),1,"")</f>
      </c>
      <c r="K57" s="85" t="str">
        <f>IF(ISNUMBER(SEARCH("수",$H57)),1,"")</f>
      </c>
      <c r="L57" s="85" t="str">
        <f>IF(ISNUMBER(SEARCH("목",$H57)),1,"")</f>
      </c>
      <c r="M57" s="85" t="str">
        <f>IF(ISNUMBER(SEARCH("금",$H57)),1,"")</f>
      </c>
      <c r="N57" s="85" t="str">
        <f>IF(ISNUMBER(SEARCH("토1",$H57)),1,"")</f>
      </c>
      <c r="O57" s="85" t="str">
        <f>IF(ISNUMBER(SEARCH("토2",$H57)),1,"")</f>
      </c>
      <c r="P57" s="85" t="str">
        <f>IF(ISNUMBER(SEARCH("토3",$H57)),1,"")</f>
      </c>
      <c r="Q57" s="85" t="str">
        <f>IF(ISNUMBER(SEARCH("일1",$H57)),1,"")</f>
      </c>
      <c r="R57" s="85" t="str">
        <f>IF(ISNUMBER(SEARCH("일2",$H57)),1,"")</f>
      </c>
      <c r="S57" s="85" t="str">
        <f>IF(ISNUMBER(SEARCH("일3",$H57)),1,"")</f>
      </c>
      <c r="T57" s="85" t="n">
        <f>SUM(I57:S57)</f>
        <v>0</v>
      </c>
      <c r="U57" s="175" t="str"/>
    </row>
    <row r="58" ht="23" customHeight="1">
      <c r="A58" s="84" t="n">
        <v>11</v>
      </c>
      <c r="B58" s="171" t="str"/>
      <c r="C58" s="171" t="str"/>
      <c r="D58" s="171" t="str"/>
      <c r="E58" s="172" t="str"/>
      <c r="F58" s="172" t="str"/>
      <c r="G58" s="173" t="str"/>
      <c r="H58" s="174" t="str"/>
      <c r="I58" s="85" t="str">
        <f>IF(ISNUMBER(SEARCH("월",$H58)),1,"")</f>
      </c>
      <c r="J58" s="85" t="str">
        <f>IF(ISNUMBER(SEARCH("화",$H58)),1,"")</f>
      </c>
      <c r="K58" s="85" t="str">
        <f>IF(ISNUMBER(SEARCH("수",$H58)),1,"")</f>
      </c>
      <c r="L58" s="85" t="str">
        <f>IF(ISNUMBER(SEARCH("목",$H58)),1,"")</f>
      </c>
      <c r="M58" s="85" t="str">
        <f>IF(ISNUMBER(SEARCH("금",$H58)),1,"")</f>
      </c>
      <c r="N58" s="85" t="str">
        <f>IF(ISNUMBER(SEARCH("토1",$H58)),1,"")</f>
      </c>
      <c r="O58" s="85" t="str">
        <f>IF(ISNUMBER(SEARCH("토2",$H58)),1,"")</f>
      </c>
      <c r="P58" s="85" t="str">
        <f>IF(ISNUMBER(SEARCH("토3",$H58)),1,"")</f>
      </c>
      <c r="Q58" s="85" t="str">
        <f>IF(ISNUMBER(SEARCH("일1",$H58)),1,"")</f>
      </c>
      <c r="R58" s="85" t="str">
        <f>IF(ISNUMBER(SEARCH("일2",$H58)),1,"")</f>
      </c>
      <c r="S58" s="85" t="str">
        <f>IF(ISNUMBER(SEARCH("일3",$H58)),1,"")</f>
      </c>
      <c r="T58" s="85" t="n">
        <f>SUM(I58:S58)</f>
        <v>0</v>
      </c>
      <c r="U58" s="175" t="str"/>
    </row>
    <row r="59" ht="23" customHeight="1">
      <c r="A59" s="84" t="n">
        <v>12</v>
      </c>
      <c r="B59" s="171" t="str"/>
      <c r="C59" s="171" t="str"/>
      <c r="D59" s="171" t="str"/>
      <c r="E59" s="172" t="str"/>
      <c r="F59" s="172" t="str"/>
      <c r="G59" s="173" t="str"/>
      <c r="H59" s="174" t="str"/>
      <c r="I59" s="85" t="str">
        <f>IF(ISNUMBER(SEARCH("월",$H59)),1,"")</f>
      </c>
      <c r="J59" s="85" t="str">
        <f>IF(ISNUMBER(SEARCH("화",$H59)),1,"")</f>
      </c>
      <c r="K59" s="85" t="str">
        <f>IF(ISNUMBER(SEARCH("수",$H59)),1,"")</f>
      </c>
      <c r="L59" s="85" t="str">
        <f>IF(ISNUMBER(SEARCH("목",$H59)),1,"")</f>
      </c>
      <c r="M59" s="85" t="str">
        <f>IF(ISNUMBER(SEARCH("금",$H59)),1,"")</f>
      </c>
      <c r="N59" s="85" t="str">
        <f>IF(ISNUMBER(SEARCH("토1",$H59)),1,"")</f>
      </c>
      <c r="O59" s="85" t="str">
        <f>IF(ISNUMBER(SEARCH("토2",$H59)),1,"")</f>
      </c>
      <c r="P59" s="85" t="str">
        <f>IF(ISNUMBER(SEARCH("토3",$H59)),1,"")</f>
      </c>
      <c r="Q59" s="85" t="str">
        <f>IF(ISNUMBER(SEARCH("일1",$H59)),1,"")</f>
      </c>
      <c r="R59" s="85" t="str">
        <f>IF(ISNUMBER(SEARCH("일2",$H59)),1,"")</f>
      </c>
      <c r="S59" s="85" t="str">
        <f>IF(ISNUMBER(SEARCH("일3",$H59)),1,"")</f>
      </c>
      <c r="T59" s="85" t="n">
        <f>SUM(I59:S59)</f>
        <v>0</v>
      </c>
      <c r="U59" s="175" t="str"/>
    </row>
    <row r="60" ht="23" customHeight="1">
      <c r="A60" s="84" t="n">
        <v>13</v>
      </c>
      <c r="B60" s="171" t="str"/>
      <c r="C60" s="171" t="str"/>
      <c r="D60" s="171" t="str"/>
      <c r="E60" s="172" t="str"/>
      <c r="F60" s="172" t="str"/>
      <c r="G60" s="173" t="str"/>
      <c r="H60" s="174" t="str"/>
      <c r="I60" s="85" t="str">
        <f>IF(ISNUMBER(SEARCH("월",$H60)),1,"")</f>
      </c>
      <c r="J60" s="85" t="str">
        <f>IF(ISNUMBER(SEARCH("화",$H60)),1,"")</f>
      </c>
      <c r="K60" s="85" t="str">
        <f>IF(ISNUMBER(SEARCH("수",$H60)),1,"")</f>
      </c>
      <c r="L60" s="85" t="str">
        <f>IF(ISNUMBER(SEARCH("목",$H60)),1,"")</f>
      </c>
      <c r="M60" s="85" t="str">
        <f>IF(ISNUMBER(SEARCH("금",$H60)),1,"")</f>
      </c>
      <c r="N60" s="85" t="str">
        <f>IF(ISNUMBER(SEARCH("토1",$H60)),1,"")</f>
      </c>
      <c r="O60" s="85" t="str">
        <f>IF(ISNUMBER(SEARCH("토2",$H60)),1,"")</f>
      </c>
      <c r="P60" s="85" t="str">
        <f>IF(ISNUMBER(SEARCH("토3",$H60)),1,"")</f>
      </c>
      <c r="Q60" s="85" t="str">
        <f>IF(ISNUMBER(SEARCH("일1",$H60)),1,"")</f>
      </c>
      <c r="R60" s="85" t="str">
        <f>IF(ISNUMBER(SEARCH("일2",$H60)),1,"")</f>
      </c>
      <c r="S60" s="85" t="str">
        <f>IF(ISNUMBER(SEARCH("일3",$H60)),1,"")</f>
      </c>
      <c r="T60" s="85" t="n">
        <f>SUM(I60:S60)</f>
        <v>0</v>
      </c>
      <c r="U60" s="175" t="str"/>
    </row>
    <row r="61" ht="23" customHeight="1">
      <c r="A61" s="84" t="n">
        <v>14</v>
      </c>
      <c r="B61" s="171" t="str"/>
      <c r="C61" s="171" t="str"/>
      <c r="D61" s="171" t="str"/>
      <c r="E61" s="172" t="str"/>
      <c r="F61" s="172" t="str"/>
      <c r="G61" s="173" t="str"/>
      <c r="H61" s="174" t="str"/>
      <c r="I61" s="85" t="str">
        <f>IF(ISNUMBER(SEARCH("월",$H61)),1,"")</f>
      </c>
      <c r="J61" s="85" t="str">
        <f>IF(ISNUMBER(SEARCH("화",$H61)),1,"")</f>
      </c>
      <c r="K61" s="85" t="str">
        <f>IF(ISNUMBER(SEARCH("수",$H61)),1,"")</f>
      </c>
      <c r="L61" s="85" t="str">
        <f>IF(ISNUMBER(SEARCH("목",$H61)),1,"")</f>
      </c>
      <c r="M61" s="85" t="str">
        <f>IF(ISNUMBER(SEARCH("금",$H61)),1,"")</f>
      </c>
      <c r="N61" s="85" t="str">
        <f>IF(ISNUMBER(SEARCH("토1",$H61)),1,"")</f>
      </c>
      <c r="O61" s="85" t="str">
        <f>IF(ISNUMBER(SEARCH("토2",$H61)),1,"")</f>
      </c>
      <c r="P61" s="85" t="str">
        <f>IF(ISNUMBER(SEARCH("토3",$H61)),1,"")</f>
      </c>
      <c r="Q61" s="85" t="str">
        <f>IF(ISNUMBER(SEARCH("일1",$H61)),1,"")</f>
      </c>
      <c r="R61" s="85" t="str">
        <f>IF(ISNUMBER(SEARCH("일2",$H61)),1,"")</f>
      </c>
      <c r="S61" s="85" t="str">
        <f>IF(ISNUMBER(SEARCH("일3",$H61)),1,"")</f>
      </c>
      <c r="T61" s="85" t="n">
        <f>SUM(I61:S61)</f>
        <v>0</v>
      </c>
      <c r="U61" s="175" t="str"/>
    </row>
    <row r="62" ht="23" customHeight="1">
      <c r="A62" s="84" t="n">
        <v>15</v>
      </c>
      <c r="B62" s="171" t="str"/>
      <c r="C62" s="171" t="str"/>
      <c r="D62" s="171" t="str"/>
      <c r="E62" s="172" t="str"/>
      <c r="F62" s="172" t="str"/>
      <c r="G62" s="173" t="str"/>
      <c r="H62" s="174" t="str"/>
      <c r="I62" s="85" t="str">
        <f>IF(ISNUMBER(SEARCH("월",$H62)),1,"")</f>
      </c>
      <c r="J62" s="85" t="str">
        <f>IF(ISNUMBER(SEARCH("화",$H62)),1,"")</f>
      </c>
      <c r="K62" s="85" t="str">
        <f>IF(ISNUMBER(SEARCH("수",$H62)),1,"")</f>
      </c>
      <c r="L62" s="85" t="str">
        <f>IF(ISNUMBER(SEARCH("목",$H62)),1,"")</f>
      </c>
      <c r="M62" s="85" t="str">
        <f>IF(ISNUMBER(SEARCH("금",$H62)),1,"")</f>
      </c>
      <c r="N62" s="85" t="str">
        <f>IF(ISNUMBER(SEARCH("토1",$H62)),1,"")</f>
      </c>
      <c r="O62" s="85" t="str">
        <f>IF(ISNUMBER(SEARCH("토2",$H62)),1,"")</f>
      </c>
      <c r="P62" s="85" t="str">
        <f>IF(ISNUMBER(SEARCH("토3",$H62)),1,"")</f>
      </c>
      <c r="Q62" s="85" t="str">
        <f>IF(ISNUMBER(SEARCH("일1",$H62)),1,"")</f>
      </c>
      <c r="R62" s="85" t="str">
        <f>IF(ISNUMBER(SEARCH("일2",$H62)),1,"")</f>
      </c>
      <c r="S62" s="85" t="str">
        <f>IF(ISNUMBER(SEARCH("일3",$H62)),1,"")</f>
      </c>
      <c r="T62" s="85" t="n">
        <f>SUM(I62:S62)</f>
        <v>0</v>
      </c>
      <c r="U62" s="175" t="str"/>
    </row>
    <row r="63" ht="23" customHeight="1">
      <c r="A63" s="84" t="n">
        <v>16</v>
      </c>
      <c r="B63" s="171" t="str"/>
      <c r="C63" s="171" t="str"/>
      <c r="D63" s="171" t="str"/>
      <c r="E63" s="172" t="str"/>
      <c r="F63" s="172" t="str"/>
      <c r="G63" s="173" t="str"/>
      <c r="H63" s="174" t="str"/>
      <c r="I63" s="85" t="str">
        <f>IF(ISNUMBER(SEARCH("월",$H63)),1,"")</f>
      </c>
      <c r="J63" s="85" t="str">
        <f>IF(ISNUMBER(SEARCH("화",$H63)),1,"")</f>
      </c>
      <c r="K63" s="85" t="str">
        <f>IF(ISNUMBER(SEARCH("수",$H63)),1,"")</f>
      </c>
      <c r="L63" s="85" t="str">
        <f>IF(ISNUMBER(SEARCH("목",$H63)),1,"")</f>
      </c>
      <c r="M63" s="85" t="str">
        <f>IF(ISNUMBER(SEARCH("금",$H63)),1,"")</f>
      </c>
      <c r="N63" s="85" t="str">
        <f>IF(ISNUMBER(SEARCH("토1",$H63)),1,"")</f>
      </c>
      <c r="O63" s="85" t="str">
        <f>IF(ISNUMBER(SEARCH("토2",$H63)),1,"")</f>
      </c>
      <c r="P63" s="85" t="str">
        <f>IF(ISNUMBER(SEARCH("토3",$H63)),1,"")</f>
      </c>
      <c r="Q63" s="85" t="str">
        <f>IF(ISNUMBER(SEARCH("일1",$H63)),1,"")</f>
      </c>
      <c r="R63" s="85" t="str">
        <f>IF(ISNUMBER(SEARCH("일2",$H63)),1,"")</f>
      </c>
      <c r="S63" s="85" t="str">
        <f>IF(ISNUMBER(SEARCH("일3",$H63)),1,"")</f>
      </c>
      <c r="T63" s="85" t="n">
        <f>SUM(I63:S63)</f>
        <v>0</v>
      </c>
      <c r="U63" s="175" t="str"/>
    </row>
    <row r="64" ht="23" customHeight="1">
      <c r="A64" s="84" t="n">
        <v>17</v>
      </c>
      <c r="B64" s="171" t="str"/>
      <c r="C64" s="171" t="str"/>
      <c r="D64" s="171" t="str"/>
      <c r="E64" s="172" t="str"/>
      <c r="F64" s="172" t="str"/>
      <c r="G64" s="173" t="str"/>
      <c r="H64" s="174" t="str"/>
      <c r="I64" s="85" t="str">
        <f>IF(ISNUMBER(SEARCH("월",$H64)),1,"")</f>
      </c>
      <c r="J64" s="85" t="str">
        <f>IF(ISNUMBER(SEARCH("화",$H64)),1,"")</f>
      </c>
      <c r="K64" s="85" t="str">
        <f>IF(ISNUMBER(SEARCH("수",$H64)),1,"")</f>
      </c>
      <c r="L64" s="85" t="str">
        <f>IF(ISNUMBER(SEARCH("목",$H64)),1,"")</f>
      </c>
      <c r="M64" s="85" t="str">
        <f>IF(ISNUMBER(SEARCH("금",$H64)),1,"")</f>
      </c>
      <c r="N64" s="85" t="str">
        <f>IF(ISNUMBER(SEARCH("토1",$H64)),1,"")</f>
      </c>
      <c r="O64" s="85" t="str">
        <f>IF(ISNUMBER(SEARCH("토2",$H64)),1,"")</f>
      </c>
      <c r="P64" s="85" t="str">
        <f>IF(ISNUMBER(SEARCH("토3",$H64)),1,"")</f>
      </c>
      <c r="Q64" s="85" t="str">
        <f>IF(ISNUMBER(SEARCH("일1",$H64)),1,"")</f>
      </c>
      <c r="R64" s="85" t="str">
        <f>IF(ISNUMBER(SEARCH("일2",$H64)),1,"")</f>
      </c>
      <c r="S64" s="85" t="str">
        <f>IF(ISNUMBER(SEARCH("일3",$H64)),1,"")</f>
      </c>
      <c r="T64" s="85" t="n">
        <f>SUM(I64:S64)</f>
        <v>0</v>
      </c>
      <c r="U64" s="175" t="str"/>
    </row>
    <row r="65" ht="23" customHeight="1">
      <c r="A65" s="84" t="n">
        <v>18</v>
      </c>
      <c r="B65" s="171" t="str"/>
      <c r="C65" s="171" t="str"/>
      <c r="D65" s="171" t="str"/>
      <c r="E65" s="172" t="str"/>
      <c r="F65" s="172" t="str"/>
      <c r="G65" s="173" t="str"/>
      <c r="H65" s="174" t="str"/>
      <c r="I65" s="85" t="str">
        <f>IF(ISNUMBER(SEARCH("월",$H65)),1,"")</f>
      </c>
      <c r="J65" s="85" t="str">
        <f>IF(ISNUMBER(SEARCH("화",$H65)),1,"")</f>
      </c>
      <c r="K65" s="85" t="str">
        <f>IF(ISNUMBER(SEARCH("수",$H65)),1,"")</f>
      </c>
      <c r="L65" s="85" t="str">
        <f>IF(ISNUMBER(SEARCH("목",$H65)),1,"")</f>
      </c>
      <c r="M65" s="85" t="str">
        <f>IF(ISNUMBER(SEARCH("금",$H65)),1,"")</f>
      </c>
      <c r="N65" s="85" t="str">
        <f>IF(ISNUMBER(SEARCH("토1",$H65)),1,"")</f>
      </c>
      <c r="O65" s="85" t="str">
        <f>IF(ISNUMBER(SEARCH("토2",$H65)),1,"")</f>
      </c>
      <c r="P65" s="85" t="str">
        <f>IF(ISNUMBER(SEARCH("토3",$H65)),1,"")</f>
      </c>
      <c r="Q65" s="85" t="str">
        <f>IF(ISNUMBER(SEARCH("일1",$H65)),1,"")</f>
      </c>
      <c r="R65" s="85" t="str">
        <f>IF(ISNUMBER(SEARCH("일2",$H65)),1,"")</f>
      </c>
      <c r="S65" s="85" t="str">
        <f>IF(ISNUMBER(SEARCH("일3",$H65)),1,"")</f>
      </c>
      <c r="T65" s="85" t="n">
        <f>SUM(I65:S65)</f>
        <v>0</v>
      </c>
      <c r="U65" s="175" t="str"/>
    </row>
    <row r="66" ht="23" customHeight="1">
      <c r="A66" s="84" t="n">
        <v>19</v>
      </c>
      <c r="B66" s="171" t="str"/>
      <c r="C66" s="171" t="str"/>
      <c r="D66" s="171" t="str"/>
      <c r="E66" s="172" t="str"/>
      <c r="F66" s="172" t="str"/>
      <c r="G66" s="173" t="str"/>
      <c r="H66" s="174" t="str"/>
      <c r="I66" s="85" t="str">
        <f>IF(ISNUMBER(SEARCH("월",$H66)),1,"")</f>
      </c>
      <c r="J66" s="85" t="str">
        <f>IF(ISNUMBER(SEARCH("화",$H66)),1,"")</f>
      </c>
      <c r="K66" s="85" t="str">
        <f>IF(ISNUMBER(SEARCH("수",$H66)),1,"")</f>
      </c>
      <c r="L66" s="85" t="str">
        <f>IF(ISNUMBER(SEARCH("목",$H66)),1,"")</f>
      </c>
      <c r="M66" s="85" t="str">
        <f>IF(ISNUMBER(SEARCH("금",$H66)),1,"")</f>
      </c>
      <c r="N66" s="85" t="str">
        <f>IF(ISNUMBER(SEARCH("토1",$H66)),1,"")</f>
      </c>
      <c r="O66" s="85" t="str">
        <f>IF(ISNUMBER(SEARCH("토2",$H66)),1,"")</f>
      </c>
      <c r="P66" s="85" t="str">
        <f>IF(ISNUMBER(SEARCH("토3",$H66)),1,"")</f>
      </c>
      <c r="Q66" s="85" t="str">
        <f>IF(ISNUMBER(SEARCH("일1",$H66)),1,"")</f>
      </c>
      <c r="R66" s="85" t="str">
        <f>IF(ISNUMBER(SEARCH("일2",$H66)),1,"")</f>
      </c>
      <c r="S66" s="85" t="str">
        <f>IF(ISNUMBER(SEARCH("일3",$H66)),1,"")</f>
      </c>
      <c r="T66" s="85" t="n">
        <f>SUM(I66:S66)</f>
        <v>0</v>
      </c>
      <c r="U66" s="175" t="str"/>
    </row>
    <row r="67" ht="23" customHeight="1">
      <c r="A67" s="84" t="n">
        <v>20</v>
      </c>
      <c r="B67" s="171" t="str"/>
      <c r="C67" s="171" t="str"/>
      <c r="D67" s="171" t="str"/>
      <c r="E67" s="172" t="str"/>
      <c r="F67" s="172" t="str"/>
      <c r="G67" s="173" t="str"/>
      <c r="H67" s="174" t="str"/>
      <c r="I67" s="85" t="str">
        <f>IF(ISNUMBER(SEARCH("월",$H67)),1,"")</f>
      </c>
      <c r="J67" s="85" t="str">
        <f>IF(ISNUMBER(SEARCH("화",$H67)),1,"")</f>
      </c>
      <c r="K67" s="85" t="str">
        <f>IF(ISNUMBER(SEARCH("수",$H67)),1,"")</f>
      </c>
      <c r="L67" s="85" t="str">
        <f>IF(ISNUMBER(SEARCH("목",$H67)),1,"")</f>
      </c>
      <c r="M67" s="85" t="str">
        <f>IF(ISNUMBER(SEARCH("금",$H67)),1,"")</f>
      </c>
      <c r="N67" s="85" t="str">
        <f>IF(ISNUMBER(SEARCH("토1",$H67)),1,"")</f>
      </c>
      <c r="O67" s="85" t="str">
        <f>IF(ISNUMBER(SEARCH("토2",$H67)),1,"")</f>
      </c>
      <c r="P67" s="85" t="str">
        <f>IF(ISNUMBER(SEARCH("토3",$H67)),1,"")</f>
      </c>
      <c r="Q67" s="85" t="str">
        <f>IF(ISNUMBER(SEARCH("일1",$H67)),1,"")</f>
      </c>
      <c r="R67" s="85" t="str">
        <f>IF(ISNUMBER(SEARCH("일2",$H67)),1,"")</f>
      </c>
      <c r="S67" s="85" t="str">
        <f>IF(ISNUMBER(SEARCH("일3",$H67)),1,"")</f>
      </c>
      <c r="T67" s="85" t="n">
        <f>SUM(I67:S67)</f>
        <v>0</v>
      </c>
      <c r="U67" s="175" t="str"/>
    </row>
    <row r="68" ht="27" customHeight="1">
      <c r="A68" s="168" t="str"/>
      <c r="B68" s="169"/>
      <c r="C68" s="169"/>
      <c r="D68" s="169"/>
      <c r="E68" s="169"/>
      <c r="F68" s="169"/>
      <c r="G68" s="169"/>
      <c r="H68" s="169"/>
      <c r="I68" s="169"/>
      <c r="J68" s="169"/>
      <c r="K68" s="169"/>
      <c r="L68" s="169"/>
      <c r="M68" s="169"/>
      <c r="N68" s="169"/>
      <c r="O68" s="169"/>
      <c r="P68" s="169"/>
      <c r="Q68" s="169"/>
      <c r="R68" s="169"/>
      <c r="S68" s="169"/>
      <c r="T68" s="169"/>
      <c r="U68" s="170"/>
    </row>
    <row r="69" ht="23" customHeight="1">
      <c r="A69" s="84" t="n">
        <v>1</v>
      </c>
      <c r="B69" s="171" t="str"/>
      <c r="C69" s="171" t="str"/>
      <c r="D69" s="171" t="str"/>
      <c r="E69" s="172" t="str"/>
      <c r="F69" s="172" t="str"/>
      <c r="G69" s="173" t="str"/>
      <c r="H69" s="174" t="str"/>
      <c r="I69" s="85" t="str">
        <f>IF(ISNUMBER(SEARCH("월",$H69)),1,"")</f>
      </c>
      <c r="J69" s="85" t="str">
        <f>IF(ISNUMBER(SEARCH("화",$H69)),1,"")</f>
      </c>
      <c r="K69" s="85" t="str">
        <f>IF(ISNUMBER(SEARCH("수",$H69)),1,"")</f>
      </c>
      <c r="L69" s="85" t="str">
        <f>IF(ISNUMBER(SEARCH("목",$H69)),1,"")</f>
      </c>
      <c r="M69" s="85" t="str">
        <f>IF(ISNUMBER(SEARCH("금",$H69)),1,"")</f>
      </c>
      <c r="N69" s="85" t="str">
        <f>IF(ISNUMBER(SEARCH("토1",$H69)),1,"")</f>
      </c>
      <c r="O69" s="85" t="str">
        <f>IF(ISNUMBER(SEARCH("토2",$H69)),1,"")</f>
      </c>
      <c r="P69" s="85" t="str">
        <f>IF(ISNUMBER(SEARCH("토3",$H69)),1,"")</f>
      </c>
      <c r="Q69" s="85" t="str">
        <f>IF(ISNUMBER(SEARCH("일1",$H69)),1,"")</f>
      </c>
      <c r="R69" s="85" t="str">
        <f>IF(ISNUMBER(SEARCH("일2",$H69)),1,"")</f>
      </c>
      <c r="S69" s="85" t="str">
        <f>IF(ISNUMBER(SEARCH("일3",$H69)),1,"")</f>
      </c>
      <c r="T69" s="85" t="n">
        <f>SUM(I69:S69)</f>
        <v>0</v>
      </c>
      <c r="U69" s="175" t="str"/>
    </row>
    <row r="70" ht="23" customHeight="1">
      <c r="A70" s="84" t="n">
        <v>2</v>
      </c>
      <c r="B70" s="171" t="str"/>
      <c r="C70" s="171" t="str"/>
      <c r="D70" s="171" t="str"/>
      <c r="E70" s="172" t="str"/>
      <c r="F70" s="172" t="str"/>
      <c r="G70" s="173" t="str"/>
      <c r="H70" s="174" t="str"/>
      <c r="I70" s="85" t="str">
        <f>IF(ISNUMBER(SEARCH("월",$H70)),1,"")</f>
      </c>
      <c r="J70" s="85" t="str">
        <f>IF(ISNUMBER(SEARCH("화",$H70)),1,"")</f>
      </c>
      <c r="K70" s="85" t="str">
        <f>IF(ISNUMBER(SEARCH("수",$H70)),1,"")</f>
      </c>
      <c r="L70" s="85" t="str">
        <f>IF(ISNUMBER(SEARCH("목",$H70)),1,"")</f>
      </c>
      <c r="M70" s="85" t="str">
        <f>IF(ISNUMBER(SEARCH("금",$H70)),1,"")</f>
      </c>
      <c r="N70" s="85" t="str">
        <f>IF(ISNUMBER(SEARCH("토1",$H70)),1,"")</f>
      </c>
      <c r="O70" s="85" t="str">
        <f>IF(ISNUMBER(SEARCH("토2",$H70)),1,"")</f>
      </c>
      <c r="P70" s="85" t="str">
        <f>IF(ISNUMBER(SEARCH("토3",$H70)),1,"")</f>
      </c>
      <c r="Q70" s="85" t="str">
        <f>IF(ISNUMBER(SEARCH("일1",$H70)),1,"")</f>
      </c>
      <c r="R70" s="85" t="str">
        <f>IF(ISNUMBER(SEARCH("일2",$H70)),1,"")</f>
      </c>
      <c r="S70" s="85" t="str">
        <f>IF(ISNUMBER(SEARCH("일3",$H70)),1,"")</f>
      </c>
      <c r="T70" s="85" t="n">
        <f>SUM(I70:S70)</f>
        <v>0</v>
      </c>
      <c r="U70" s="175" t="str"/>
    </row>
    <row r="71" ht="23" customHeight="1">
      <c r="A71" s="84" t="n">
        <v>3</v>
      </c>
      <c r="B71" s="171" t="str"/>
      <c r="C71" s="171" t="str"/>
      <c r="D71" s="171" t="str"/>
      <c r="E71" s="172" t="str"/>
      <c r="F71" s="172" t="str"/>
      <c r="G71" s="173" t="str"/>
      <c r="H71" s="174" t="str"/>
      <c r="I71" s="85" t="str">
        <f>IF(ISNUMBER(SEARCH("월",$H71)),1,"")</f>
      </c>
      <c r="J71" s="85" t="str">
        <f>IF(ISNUMBER(SEARCH("화",$H71)),1,"")</f>
      </c>
      <c r="K71" s="85" t="str">
        <f>IF(ISNUMBER(SEARCH("수",$H71)),1,"")</f>
      </c>
      <c r="L71" s="85" t="str">
        <f>IF(ISNUMBER(SEARCH("목",$H71)),1,"")</f>
      </c>
      <c r="M71" s="85" t="str">
        <f>IF(ISNUMBER(SEARCH("금",$H71)),1,"")</f>
      </c>
      <c r="N71" s="85" t="str">
        <f>IF(ISNUMBER(SEARCH("토1",$H71)),1,"")</f>
      </c>
      <c r="O71" s="85" t="str">
        <f>IF(ISNUMBER(SEARCH("토2",$H71)),1,"")</f>
      </c>
      <c r="P71" s="85" t="str">
        <f>IF(ISNUMBER(SEARCH("토3",$H71)),1,"")</f>
      </c>
      <c r="Q71" s="85" t="str">
        <f>IF(ISNUMBER(SEARCH("일1",$H71)),1,"")</f>
      </c>
      <c r="R71" s="85" t="str">
        <f>IF(ISNUMBER(SEARCH("일2",$H71)),1,"")</f>
      </c>
      <c r="S71" s="85" t="str">
        <f>IF(ISNUMBER(SEARCH("일3",$H71)),1,"")</f>
      </c>
      <c r="T71" s="85" t="n">
        <f>SUM(I71:S71)</f>
        <v>0</v>
      </c>
      <c r="U71" s="175" t="str"/>
    </row>
    <row r="72" ht="23" customHeight="1">
      <c r="A72" s="84" t="n">
        <v>4</v>
      </c>
      <c r="B72" s="171" t="str"/>
      <c r="C72" s="171" t="str"/>
      <c r="D72" s="171" t="str"/>
      <c r="E72" s="172" t="str"/>
      <c r="F72" s="172" t="str"/>
      <c r="G72" s="173" t="str"/>
      <c r="H72" s="174" t="str"/>
      <c r="I72" s="85" t="str">
        <f>IF(ISNUMBER(SEARCH("월",$H72)),1,"")</f>
      </c>
      <c r="J72" s="85" t="str">
        <f>IF(ISNUMBER(SEARCH("화",$H72)),1,"")</f>
      </c>
      <c r="K72" s="85" t="str">
        <f>IF(ISNUMBER(SEARCH("수",$H72)),1,"")</f>
      </c>
      <c r="L72" s="85" t="str">
        <f>IF(ISNUMBER(SEARCH("목",$H72)),1,"")</f>
      </c>
      <c r="M72" s="85" t="str">
        <f>IF(ISNUMBER(SEARCH("금",$H72)),1,"")</f>
      </c>
      <c r="N72" s="85" t="str">
        <f>IF(ISNUMBER(SEARCH("토1",$H72)),1,"")</f>
      </c>
      <c r="O72" s="85" t="str">
        <f>IF(ISNUMBER(SEARCH("토2",$H72)),1,"")</f>
      </c>
      <c r="P72" s="85" t="str">
        <f>IF(ISNUMBER(SEARCH("토3",$H72)),1,"")</f>
      </c>
      <c r="Q72" s="85" t="str">
        <f>IF(ISNUMBER(SEARCH("일1",$H72)),1,"")</f>
      </c>
      <c r="R72" s="85" t="str">
        <f>IF(ISNUMBER(SEARCH("일2",$H72)),1,"")</f>
      </c>
      <c r="S72" s="85" t="str">
        <f>IF(ISNUMBER(SEARCH("일3",$H72)),1,"")</f>
      </c>
      <c r="T72" s="85" t="n">
        <f>SUM(I72:S72)</f>
        <v>0</v>
      </c>
      <c r="U72" s="175" t="str"/>
    </row>
    <row r="73" ht="23" customHeight="1">
      <c r="A73" s="84" t="n">
        <v>5</v>
      </c>
      <c r="B73" s="171" t="str"/>
      <c r="C73" s="171" t="str"/>
      <c r="D73" s="171" t="str"/>
      <c r="E73" s="172" t="str"/>
      <c r="F73" s="172" t="str"/>
      <c r="G73" s="173" t="str"/>
      <c r="H73" s="174" t="str"/>
      <c r="I73" s="85" t="str">
        <f>IF(ISNUMBER(SEARCH("월",$H73)),1,"")</f>
      </c>
      <c r="J73" s="85" t="str">
        <f>IF(ISNUMBER(SEARCH("화",$H73)),1,"")</f>
      </c>
      <c r="K73" s="85" t="str">
        <f>IF(ISNUMBER(SEARCH("수",$H73)),1,"")</f>
      </c>
      <c r="L73" s="85" t="str">
        <f>IF(ISNUMBER(SEARCH("목",$H73)),1,"")</f>
      </c>
      <c r="M73" s="85" t="str">
        <f>IF(ISNUMBER(SEARCH("금",$H73)),1,"")</f>
      </c>
      <c r="N73" s="85" t="str">
        <f>IF(ISNUMBER(SEARCH("토1",$H73)),1,"")</f>
      </c>
      <c r="O73" s="85" t="str">
        <f>IF(ISNUMBER(SEARCH("토2",$H73)),1,"")</f>
      </c>
      <c r="P73" s="85" t="str">
        <f>IF(ISNUMBER(SEARCH("토3",$H73)),1,"")</f>
      </c>
      <c r="Q73" s="85" t="str">
        <f>IF(ISNUMBER(SEARCH("일1",$H73)),1,"")</f>
      </c>
      <c r="R73" s="85" t="str">
        <f>IF(ISNUMBER(SEARCH("일2",$H73)),1,"")</f>
      </c>
      <c r="S73" s="85" t="str">
        <f>IF(ISNUMBER(SEARCH("일3",$H73)),1,"")</f>
      </c>
      <c r="T73" s="85" t="n">
        <f>SUM(I73:S73)</f>
        <v>0</v>
      </c>
      <c r="U73" s="175" t="str"/>
    </row>
    <row r="74" ht="23" customHeight="1">
      <c r="A74" s="84" t="n">
        <v>6</v>
      </c>
      <c r="B74" s="171" t="str"/>
      <c r="C74" s="171" t="str"/>
      <c r="D74" s="171" t="str"/>
      <c r="E74" s="172" t="str"/>
      <c r="F74" s="172" t="str"/>
      <c r="G74" s="173" t="str"/>
      <c r="H74" s="174" t="str"/>
      <c r="I74" s="85" t="str">
        <f>IF(ISNUMBER(SEARCH("월",$H74)),1,"")</f>
      </c>
      <c r="J74" s="85" t="str">
        <f>IF(ISNUMBER(SEARCH("화",$H74)),1,"")</f>
      </c>
      <c r="K74" s="85" t="str">
        <f>IF(ISNUMBER(SEARCH("수",$H74)),1,"")</f>
      </c>
      <c r="L74" s="85" t="str">
        <f>IF(ISNUMBER(SEARCH("목",$H74)),1,"")</f>
      </c>
      <c r="M74" s="85" t="str">
        <f>IF(ISNUMBER(SEARCH("금",$H74)),1,"")</f>
      </c>
      <c r="N74" s="85" t="str">
        <f>IF(ISNUMBER(SEARCH("토1",$H74)),1,"")</f>
      </c>
      <c r="O74" s="85" t="str">
        <f>IF(ISNUMBER(SEARCH("토2",$H74)),1,"")</f>
      </c>
      <c r="P74" s="85" t="str">
        <f>IF(ISNUMBER(SEARCH("토3",$H74)),1,"")</f>
      </c>
      <c r="Q74" s="85" t="str">
        <f>IF(ISNUMBER(SEARCH("일1",$H74)),1,"")</f>
      </c>
      <c r="R74" s="85" t="str">
        <f>IF(ISNUMBER(SEARCH("일2",$H74)),1,"")</f>
      </c>
      <c r="S74" s="85" t="str">
        <f>IF(ISNUMBER(SEARCH("일3",$H74)),1,"")</f>
      </c>
      <c r="T74" s="85" t="n">
        <f>SUM(I74:S74)</f>
        <v>0</v>
      </c>
      <c r="U74" s="175" t="str"/>
    </row>
    <row r="75" ht="23" customHeight="1">
      <c r="A75" s="84" t="n">
        <v>7</v>
      </c>
      <c r="B75" s="171" t="str"/>
      <c r="C75" s="171" t="str"/>
      <c r="D75" s="171" t="str"/>
      <c r="E75" s="172" t="str"/>
      <c r="F75" s="172" t="str"/>
      <c r="G75" s="173" t="str"/>
      <c r="H75" s="174" t="str"/>
      <c r="I75" s="85" t="str">
        <f>IF(ISNUMBER(SEARCH("월",$H75)),1,"")</f>
      </c>
      <c r="J75" s="85" t="str">
        <f>IF(ISNUMBER(SEARCH("화",$H75)),1,"")</f>
      </c>
      <c r="K75" s="85" t="str">
        <f>IF(ISNUMBER(SEARCH("수",$H75)),1,"")</f>
      </c>
      <c r="L75" s="85" t="str">
        <f>IF(ISNUMBER(SEARCH("목",$H75)),1,"")</f>
      </c>
      <c r="M75" s="85" t="str">
        <f>IF(ISNUMBER(SEARCH("금",$H75)),1,"")</f>
      </c>
      <c r="N75" s="85" t="str">
        <f>IF(ISNUMBER(SEARCH("토1",$H75)),1,"")</f>
      </c>
      <c r="O75" s="85" t="str">
        <f>IF(ISNUMBER(SEARCH("토2",$H75)),1,"")</f>
      </c>
      <c r="P75" s="85" t="str">
        <f>IF(ISNUMBER(SEARCH("토3",$H75)),1,"")</f>
      </c>
      <c r="Q75" s="85" t="str">
        <f>IF(ISNUMBER(SEARCH("일1",$H75)),1,"")</f>
      </c>
      <c r="R75" s="85" t="str">
        <f>IF(ISNUMBER(SEARCH("일2",$H75)),1,"")</f>
      </c>
      <c r="S75" s="85" t="str">
        <f>IF(ISNUMBER(SEARCH("일3",$H75)),1,"")</f>
      </c>
      <c r="T75" s="85" t="n">
        <f>SUM(I75:S75)</f>
        <v>0</v>
      </c>
      <c r="U75" s="175" t="str"/>
    </row>
    <row r="76" ht="23" customHeight="1">
      <c r="A76" s="84" t="n">
        <v>8</v>
      </c>
      <c r="B76" s="171" t="str"/>
      <c r="C76" s="171" t="str"/>
      <c r="D76" s="171" t="str"/>
      <c r="E76" s="172" t="str"/>
      <c r="F76" s="172" t="str"/>
      <c r="G76" s="173" t="str"/>
      <c r="H76" s="174" t="str"/>
      <c r="I76" s="85" t="str">
        <f>IF(ISNUMBER(SEARCH("월",$H76)),1,"")</f>
      </c>
      <c r="J76" s="85" t="str">
        <f>IF(ISNUMBER(SEARCH("화",$H76)),1,"")</f>
      </c>
      <c r="K76" s="85" t="str">
        <f>IF(ISNUMBER(SEARCH("수",$H76)),1,"")</f>
      </c>
      <c r="L76" s="85" t="str">
        <f>IF(ISNUMBER(SEARCH("목",$H76)),1,"")</f>
      </c>
      <c r="M76" s="85" t="str">
        <f>IF(ISNUMBER(SEARCH("금",$H76)),1,"")</f>
      </c>
      <c r="N76" s="85" t="str">
        <f>IF(ISNUMBER(SEARCH("토1",$H76)),1,"")</f>
      </c>
      <c r="O76" s="85" t="str">
        <f>IF(ISNUMBER(SEARCH("토2",$H76)),1,"")</f>
      </c>
      <c r="P76" s="85" t="str">
        <f>IF(ISNUMBER(SEARCH("토3",$H76)),1,"")</f>
      </c>
      <c r="Q76" s="85" t="str">
        <f>IF(ISNUMBER(SEARCH("일1",$H76)),1,"")</f>
      </c>
      <c r="R76" s="85" t="str">
        <f>IF(ISNUMBER(SEARCH("일2",$H76)),1,"")</f>
      </c>
      <c r="S76" s="85" t="str">
        <f>IF(ISNUMBER(SEARCH("일3",$H76)),1,"")</f>
      </c>
      <c r="T76" s="85" t="n">
        <f>SUM(I76:S76)</f>
        <v>0</v>
      </c>
      <c r="U76" s="175" t="str"/>
    </row>
    <row r="77" ht="23" customHeight="1">
      <c r="A77" s="84" t="n">
        <v>9</v>
      </c>
      <c r="B77" s="171" t="str"/>
      <c r="C77" s="171" t="str"/>
      <c r="D77" s="171" t="str"/>
      <c r="E77" s="172" t="str"/>
      <c r="F77" s="172" t="str"/>
      <c r="G77" s="173" t="str"/>
      <c r="H77" s="174" t="str"/>
      <c r="I77" s="85" t="str">
        <f>IF(ISNUMBER(SEARCH("월",$H77)),1,"")</f>
      </c>
      <c r="J77" s="85" t="str">
        <f>IF(ISNUMBER(SEARCH("화",$H77)),1,"")</f>
      </c>
      <c r="K77" s="85" t="str">
        <f>IF(ISNUMBER(SEARCH("수",$H77)),1,"")</f>
      </c>
      <c r="L77" s="85" t="str">
        <f>IF(ISNUMBER(SEARCH("목",$H77)),1,"")</f>
      </c>
      <c r="M77" s="85" t="str">
        <f>IF(ISNUMBER(SEARCH("금",$H77)),1,"")</f>
      </c>
      <c r="N77" s="85" t="str">
        <f>IF(ISNUMBER(SEARCH("토1",$H77)),1,"")</f>
      </c>
      <c r="O77" s="85" t="str">
        <f>IF(ISNUMBER(SEARCH("토2",$H77)),1,"")</f>
      </c>
      <c r="P77" s="85" t="str">
        <f>IF(ISNUMBER(SEARCH("토3",$H77)),1,"")</f>
      </c>
      <c r="Q77" s="85" t="str">
        <f>IF(ISNUMBER(SEARCH("일1",$H77)),1,"")</f>
      </c>
      <c r="R77" s="85" t="str">
        <f>IF(ISNUMBER(SEARCH("일2",$H77)),1,"")</f>
      </c>
      <c r="S77" s="85" t="str">
        <f>IF(ISNUMBER(SEARCH("일3",$H77)),1,"")</f>
      </c>
      <c r="T77" s="85" t="n">
        <f>SUM(I77:S77)</f>
        <v>0</v>
      </c>
      <c r="U77" s="175" t="str"/>
    </row>
    <row r="78" ht="23" customHeight="1">
      <c r="A78" s="84" t="n">
        <v>10</v>
      </c>
      <c r="B78" s="171" t="str"/>
      <c r="C78" s="171" t="str"/>
      <c r="D78" s="171" t="str"/>
      <c r="E78" s="172" t="str"/>
      <c r="F78" s="172" t="str"/>
      <c r="G78" s="173" t="str"/>
      <c r="H78" s="174" t="str"/>
      <c r="I78" s="85" t="str">
        <f>IF(ISNUMBER(SEARCH("월",$H78)),1,"")</f>
      </c>
      <c r="J78" s="85" t="str">
        <f>IF(ISNUMBER(SEARCH("화",$H78)),1,"")</f>
      </c>
      <c r="K78" s="85" t="str">
        <f>IF(ISNUMBER(SEARCH("수",$H78)),1,"")</f>
      </c>
      <c r="L78" s="85" t="str">
        <f>IF(ISNUMBER(SEARCH("목",$H78)),1,"")</f>
      </c>
      <c r="M78" s="85" t="str">
        <f>IF(ISNUMBER(SEARCH("금",$H78)),1,"")</f>
      </c>
      <c r="N78" s="85" t="str">
        <f>IF(ISNUMBER(SEARCH("토1",$H78)),1,"")</f>
      </c>
      <c r="O78" s="85" t="str">
        <f>IF(ISNUMBER(SEARCH("토2",$H78)),1,"")</f>
      </c>
      <c r="P78" s="85" t="str">
        <f>IF(ISNUMBER(SEARCH("토3",$H78)),1,"")</f>
      </c>
      <c r="Q78" s="85" t="str">
        <f>IF(ISNUMBER(SEARCH("일1",$H78)),1,"")</f>
      </c>
      <c r="R78" s="85" t="str">
        <f>IF(ISNUMBER(SEARCH("일2",$H78)),1,"")</f>
      </c>
      <c r="S78" s="85" t="str">
        <f>IF(ISNUMBER(SEARCH("일3",$H78)),1,"")</f>
      </c>
      <c r="T78" s="85" t="n">
        <f>SUM(I78:S78)</f>
        <v>0</v>
      </c>
      <c r="U78" s="175" t="str"/>
    </row>
    <row r="79" ht="23" customHeight="1">
      <c r="A79" s="84" t="n">
        <v>11</v>
      </c>
      <c r="B79" s="171" t="str"/>
      <c r="C79" s="171" t="str"/>
      <c r="D79" s="171" t="str"/>
      <c r="E79" s="172" t="str"/>
      <c r="F79" s="172" t="str"/>
      <c r="G79" s="173" t="str"/>
      <c r="H79" s="174" t="str"/>
      <c r="I79" s="85" t="str">
        <f>IF(ISNUMBER(SEARCH("월",$H79)),1,"")</f>
      </c>
      <c r="J79" s="85" t="str">
        <f>IF(ISNUMBER(SEARCH("화",$H79)),1,"")</f>
      </c>
      <c r="K79" s="85" t="str">
        <f>IF(ISNUMBER(SEARCH("수",$H79)),1,"")</f>
      </c>
      <c r="L79" s="85" t="str">
        <f>IF(ISNUMBER(SEARCH("목",$H79)),1,"")</f>
      </c>
      <c r="M79" s="85" t="str">
        <f>IF(ISNUMBER(SEARCH("금",$H79)),1,"")</f>
      </c>
      <c r="N79" s="85" t="str">
        <f>IF(ISNUMBER(SEARCH("토1",$H79)),1,"")</f>
      </c>
      <c r="O79" s="85" t="str">
        <f>IF(ISNUMBER(SEARCH("토2",$H79)),1,"")</f>
      </c>
      <c r="P79" s="85" t="str">
        <f>IF(ISNUMBER(SEARCH("토3",$H79)),1,"")</f>
      </c>
      <c r="Q79" s="85" t="str">
        <f>IF(ISNUMBER(SEARCH("일1",$H79)),1,"")</f>
      </c>
      <c r="R79" s="85" t="str">
        <f>IF(ISNUMBER(SEARCH("일2",$H79)),1,"")</f>
      </c>
      <c r="S79" s="85" t="str">
        <f>IF(ISNUMBER(SEARCH("일3",$H79)),1,"")</f>
      </c>
      <c r="T79" s="85" t="n">
        <f>SUM(I79:S79)</f>
        <v>0</v>
      </c>
      <c r="U79" s="175" t="str"/>
    </row>
    <row r="80" ht="23" customHeight="1">
      <c r="A80" s="84" t="n">
        <v>12</v>
      </c>
      <c r="B80" s="171" t="str"/>
      <c r="C80" s="171" t="str"/>
      <c r="D80" s="171" t="str"/>
      <c r="E80" s="172" t="str"/>
      <c r="F80" s="172" t="str"/>
      <c r="G80" s="173" t="str"/>
      <c r="H80" s="174" t="str"/>
      <c r="I80" s="85" t="str">
        <f>IF(ISNUMBER(SEARCH("월",$H80)),1,"")</f>
      </c>
      <c r="J80" s="85" t="str">
        <f>IF(ISNUMBER(SEARCH("화",$H80)),1,"")</f>
      </c>
      <c r="K80" s="85" t="str">
        <f>IF(ISNUMBER(SEARCH("수",$H80)),1,"")</f>
      </c>
      <c r="L80" s="85" t="str">
        <f>IF(ISNUMBER(SEARCH("목",$H80)),1,"")</f>
      </c>
      <c r="M80" s="85" t="str">
        <f>IF(ISNUMBER(SEARCH("금",$H80)),1,"")</f>
      </c>
      <c r="N80" s="85" t="str">
        <f>IF(ISNUMBER(SEARCH("토1",$H80)),1,"")</f>
      </c>
      <c r="O80" s="85" t="str">
        <f>IF(ISNUMBER(SEARCH("토2",$H80)),1,"")</f>
      </c>
      <c r="P80" s="85" t="str">
        <f>IF(ISNUMBER(SEARCH("토3",$H80)),1,"")</f>
      </c>
      <c r="Q80" s="85" t="str">
        <f>IF(ISNUMBER(SEARCH("일1",$H80)),1,"")</f>
      </c>
      <c r="R80" s="85" t="str">
        <f>IF(ISNUMBER(SEARCH("일2",$H80)),1,"")</f>
      </c>
      <c r="S80" s="85" t="str">
        <f>IF(ISNUMBER(SEARCH("일3",$H80)),1,"")</f>
      </c>
      <c r="T80" s="85" t="n">
        <f>SUM(I80:S80)</f>
        <v>0</v>
      </c>
      <c r="U80" s="175" t="str"/>
    </row>
    <row r="81" ht="23" customHeight="1">
      <c r="A81" s="84" t="n">
        <v>13</v>
      </c>
      <c r="B81" s="171" t="str"/>
      <c r="C81" s="171" t="str"/>
      <c r="D81" s="171" t="str"/>
      <c r="E81" s="172" t="str"/>
      <c r="F81" s="172" t="str"/>
      <c r="G81" s="173" t="str"/>
      <c r="H81" s="174" t="str"/>
      <c r="I81" s="85" t="str">
        <f>IF(ISNUMBER(SEARCH("월",$H81)),1,"")</f>
      </c>
      <c r="J81" s="85" t="str">
        <f>IF(ISNUMBER(SEARCH("화",$H81)),1,"")</f>
      </c>
      <c r="K81" s="85" t="str">
        <f>IF(ISNUMBER(SEARCH("수",$H81)),1,"")</f>
      </c>
      <c r="L81" s="85" t="str">
        <f>IF(ISNUMBER(SEARCH("목",$H81)),1,"")</f>
      </c>
      <c r="M81" s="85" t="str">
        <f>IF(ISNUMBER(SEARCH("금",$H81)),1,"")</f>
      </c>
      <c r="N81" s="85" t="str">
        <f>IF(ISNUMBER(SEARCH("토1",$H81)),1,"")</f>
      </c>
      <c r="O81" s="85" t="str">
        <f>IF(ISNUMBER(SEARCH("토2",$H81)),1,"")</f>
      </c>
      <c r="P81" s="85" t="str">
        <f>IF(ISNUMBER(SEARCH("토3",$H81)),1,"")</f>
      </c>
      <c r="Q81" s="85" t="str">
        <f>IF(ISNUMBER(SEARCH("일1",$H81)),1,"")</f>
      </c>
      <c r="R81" s="85" t="str">
        <f>IF(ISNUMBER(SEARCH("일2",$H81)),1,"")</f>
      </c>
      <c r="S81" s="85" t="str">
        <f>IF(ISNUMBER(SEARCH("일3",$H81)),1,"")</f>
      </c>
      <c r="T81" s="85" t="n">
        <f>SUM(I81:S81)</f>
        <v>0</v>
      </c>
      <c r="U81" s="175" t="str"/>
    </row>
    <row r="82" ht="23" customHeight="1">
      <c r="A82" s="84" t="n">
        <v>14</v>
      </c>
      <c r="B82" s="171" t="str"/>
      <c r="C82" s="171" t="str"/>
      <c r="D82" s="171" t="str"/>
      <c r="E82" s="172" t="str"/>
      <c r="F82" s="172" t="str"/>
      <c r="G82" s="173" t="str"/>
      <c r="H82" s="174" t="str"/>
      <c r="I82" s="85" t="str">
        <f>IF(ISNUMBER(SEARCH("월",$H82)),1,"")</f>
      </c>
      <c r="J82" s="85" t="str">
        <f>IF(ISNUMBER(SEARCH("화",$H82)),1,"")</f>
      </c>
      <c r="K82" s="85" t="str">
        <f>IF(ISNUMBER(SEARCH("수",$H82)),1,"")</f>
      </c>
      <c r="L82" s="85" t="str">
        <f>IF(ISNUMBER(SEARCH("목",$H82)),1,"")</f>
      </c>
      <c r="M82" s="85" t="str">
        <f>IF(ISNUMBER(SEARCH("금",$H82)),1,"")</f>
      </c>
      <c r="N82" s="85" t="str">
        <f>IF(ISNUMBER(SEARCH("토1",$H82)),1,"")</f>
      </c>
      <c r="O82" s="85" t="str">
        <f>IF(ISNUMBER(SEARCH("토2",$H82)),1,"")</f>
      </c>
      <c r="P82" s="85" t="str">
        <f>IF(ISNUMBER(SEARCH("토3",$H82)),1,"")</f>
      </c>
      <c r="Q82" s="85" t="str">
        <f>IF(ISNUMBER(SEARCH("일1",$H82)),1,"")</f>
      </c>
      <c r="R82" s="85" t="str">
        <f>IF(ISNUMBER(SEARCH("일2",$H82)),1,"")</f>
      </c>
      <c r="S82" s="85" t="str">
        <f>IF(ISNUMBER(SEARCH("일3",$H82)),1,"")</f>
      </c>
      <c r="T82" s="85" t="n">
        <f>SUM(I82:S82)</f>
        <v>0</v>
      </c>
      <c r="U82" s="175" t="str"/>
    </row>
    <row r="83" ht="23" customHeight="1">
      <c r="A83" s="84" t="n">
        <v>15</v>
      </c>
      <c r="B83" s="171" t="str"/>
      <c r="C83" s="171" t="str"/>
      <c r="D83" s="171" t="str"/>
      <c r="E83" s="172" t="str"/>
      <c r="F83" s="172" t="str"/>
      <c r="G83" s="173" t="str"/>
      <c r="H83" s="174" t="str"/>
      <c r="I83" s="85" t="str">
        <f>IF(ISNUMBER(SEARCH("월",$H83)),1,"")</f>
      </c>
      <c r="J83" s="85" t="str">
        <f>IF(ISNUMBER(SEARCH("화",$H83)),1,"")</f>
      </c>
      <c r="K83" s="85" t="str">
        <f>IF(ISNUMBER(SEARCH("수",$H83)),1,"")</f>
      </c>
      <c r="L83" s="85" t="str">
        <f>IF(ISNUMBER(SEARCH("목",$H83)),1,"")</f>
      </c>
      <c r="M83" s="85" t="str">
        <f>IF(ISNUMBER(SEARCH("금",$H83)),1,"")</f>
      </c>
      <c r="N83" s="85" t="str">
        <f>IF(ISNUMBER(SEARCH("토1",$H83)),1,"")</f>
      </c>
      <c r="O83" s="85" t="str">
        <f>IF(ISNUMBER(SEARCH("토2",$H83)),1,"")</f>
      </c>
      <c r="P83" s="85" t="str">
        <f>IF(ISNUMBER(SEARCH("토3",$H83)),1,"")</f>
      </c>
      <c r="Q83" s="85" t="str">
        <f>IF(ISNUMBER(SEARCH("일1",$H83)),1,"")</f>
      </c>
      <c r="R83" s="85" t="str">
        <f>IF(ISNUMBER(SEARCH("일2",$H83)),1,"")</f>
      </c>
      <c r="S83" s="85" t="str">
        <f>IF(ISNUMBER(SEARCH("일3",$H83)),1,"")</f>
      </c>
      <c r="T83" s="85" t="n">
        <f>SUM(I83:S83)</f>
        <v>0</v>
      </c>
      <c r="U83" s="175" t="str"/>
    </row>
    <row r="84" ht="23" customHeight="1">
      <c r="A84" s="84" t="n">
        <v>16</v>
      </c>
      <c r="B84" s="171" t="str"/>
      <c r="C84" s="171" t="str"/>
      <c r="D84" s="171" t="str"/>
      <c r="E84" s="172" t="str"/>
      <c r="F84" s="172" t="str"/>
      <c r="G84" s="173" t="str"/>
      <c r="H84" s="174" t="str"/>
      <c r="I84" s="85" t="str">
        <f>IF(ISNUMBER(SEARCH("월",$H84)),1,"")</f>
      </c>
      <c r="J84" s="85" t="str">
        <f>IF(ISNUMBER(SEARCH("화",$H84)),1,"")</f>
      </c>
      <c r="K84" s="85" t="str">
        <f>IF(ISNUMBER(SEARCH("수",$H84)),1,"")</f>
      </c>
      <c r="L84" s="85" t="str">
        <f>IF(ISNUMBER(SEARCH("목",$H84)),1,"")</f>
      </c>
      <c r="M84" s="85" t="str">
        <f>IF(ISNUMBER(SEARCH("금",$H84)),1,"")</f>
      </c>
      <c r="N84" s="85" t="str">
        <f>IF(ISNUMBER(SEARCH("토1",$H84)),1,"")</f>
      </c>
      <c r="O84" s="85" t="str">
        <f>IF(ISNUMBER(SEARCH("토2",$H84)),1,"")</f>
      </c>
      <c r="P84" s="85" t="str">
        <f>IF(ISNUMBER(SEARCH("토3",$H84)),1,"")</f>
      </c>
      <c r="Q84" s="85" t="str">
        <f>IF(ISNUMBER(SEARCH("일1",$H84)),1,"")</f>
      </c>
      <c r="R84" s="85" t="str">
        <f>IF(ISNUMBER(SEARCH("일2",$H84)),1,"")</f>
      </c>
      <c r="S84" s="85" t="str">
        <f>IF(ISNUMBER(SEARCH("일3",$H84)),1,"")</f>
      </c>
      <c r="T84" s="85" t="n">
        <f>SUM(I84:S84)</f>
        <v>0</v>
      </c>
      <c r="U84" s="175" t="str"/>
    </row>
    <row r="85" ht="23" customHeight="1">
      <c r="A85" s="84" t="n">
        <v>17</v>
      </c>
      <c r="B85" s="171" t="str"/>
      <c r="C85" s="171" t="str"/>
      <c r="D85" s="171" t="str"/>
      <c r="E85" s="172" t="str"/>
      <c r="F85" s="172" t="str"/>
      <c r="G85" s="173" t="str"/>
      <c r="H85" s="174" t="str"/>
      <c r="I85" s="85" t="str">
        <f>IF(ISNUMBER(SEARCH("월",$H85)),1,"")</f>
      </c>
      <c r="J85" s="85" t="str">
        <f>IF(ISNUMBER(SEARCH("화",$H85)),1,"")</f>
      </c>
      <c r="K85" s="85" t="str">
        <f>IF(ISNUMBER(SEARCH("수",$H85)),1,"")</f>
      </c>
      <c r="L85" s="85" t="str">
        <f>IF(ISNUMBER(SEARCH("목",$H85)),1,"")</f>
      </c>
      <c r="M85" s="85" t="str">
        <f>IF(ISNUMBER(SEARCH("금",$H85)),1,"")</f>
      </c>
      <c r="N85" s="85" t="str">
        <f>IF(ISNUMBER(SEARCH("토1",$H85)),1,"")</f>
      </c>
      <c r="O85" s="85" t="str">
        <f>IF(ISNUMBER(SEARCH("토2",$H85)),1,"")</f>
      </c>
      <c r="P85" s="85" t="str">
        <f>IF(ISNUMBER(SEARCH("토3",$H85)),1,"")</f>
      </c>
      <c r="Q85" s="85" t="str">
        <f>IF(ISNUMBER(SEARCH("일1",$H85)),1,"")</f>
      </c>
      <c r="R85" s="85" t="str">
        <f>IF(ISNUMBER(SEARCH("일2",$H85)),1,"")</f>
      </c>
      <c r="S85" s="85" t="str">
        <f>IF(ISNUMBER(SEARCH("일3",$H85)),1,"")</f>
      </c>
      <c r="T85" s="85" t="n">
        <f>SUM(I85:S85)</f>
        <v>0</v>
      </c>
      <c r="U85" s="175" t="str"/>
    </row>
    <row r="86" ht="23" customHeight="1">
      <c r="A86" s="84" t="n">
        <v>18</v>
      </c>
      <c r="B86" s="171" t="str"/>
      <c r="C86" s="171" t="str"/>
      <c r="D86" s="171" t="str"/>
      <c r="E86" s="172" t="str"/>
      <c r="F86" s="172" t="str"/>
      <c r="G86" s="173" t="str"/>
      <c r="H86" s="174" t="str"/>
      <c r="I86" s="85" t="str">
        <f>IF(ISNUMBER(SEARCH("월",$H86)),1,"")</f>
      </c>
      <c r="J86" s="85" t="str">
        <f>IF(ISNUMBER(SEARCH("화",$H86)),1,"")</f>
      </c>
      <c r="K86" s="85" t="str">
        <f>IF(ISNUMBER(SEARCH("수",$H86)),1,"")</f>
      </c>
      <c r="L86" s="85" t="str">
        <f>IF(ISNUMBER(SEARCH("목",$H86)),1,"")</f>
      </c>
      <c r="M86" s="85" t="str">
        <f>IF(ISNUMBER(SEARCH("금",$H86)),1,"")</f>
      </c>
      <c r="N86" s="85" t="str">
        <f>IF(ISNUMBER(SEARCH("토1",$H86)),1,"")</f>
      </c>
      <c r="O86" s="85" t="str">
        <f>IF(ISNUMBER(SEARCH("토2",$H86)),1,"")</f>
      </c>
      <c r="P86" s="85" t="str">
        <f>IF(ISNUMBER(SEARCH("토3",$H86)),1,"")</f>
      </c>
      <c r="Q86" s="85" t="str">
        <f>IF(ISNUMBER(SEARCH("일1",$H86)),1,"")</f>
      </c>
      <c r="R86" s="85" t="str">
        <f>IF(ISNUMBER(SEARCH("일2",$H86)),1,"")</f>
      </c>
      <c r="S86" s="85" t="str">
        <f>IF(ISNUMBER(SEARCH("일3",$H86)),1,"")</f>
      </c>
      <c r="T86" s="85" t="n">
        <f>SUM(I86:S86)</f>
        <v>0</v>
      </c>
      <c r="U86" s="175" t="str"/>
    </row>
    <row r="87" ht="23" customHeight="1">
      <c r="A87" s="84" t="n">
        <v>19</v>
      </c>
      <c r="B87" s="171" t="str"/>
      <c r="C87" s="171" t="str"/>
      <c r="D87" s="171" t="str"/>
      <c r="E87" s="172" t="str"/>
      <c r="F87" s="172" t="str"/>
      <c r="G87" s="173" t="str"/>
      <c r="H87" s="174" t="str"/>
      <c r="I87" s="85" t="str">
        <f>IF(ISNUMBER(SEARCH("월",$H87)),1,"")</f>
      </c>
      <c r="J87" s="85" t="str">
        <f>IF(ISNUMBER(SEARCH("화",$H87)),1,"")</f>
      </c>
      <c r="K87" s="85" t="str">
        <f>IF(ISNUMBER(SEARCH("수",$H87)),1,"")</f>
      </c>
      <c r="L87" s="85" t="str">
        <f>IF(ISNUMBER(SEARCH("목",$H87)),1,"")</f>
      </c>
      <c r="M87" s="85" t="str">
        <f>IF(ISNUMBER(SEARCH("금",$H87)),1,"")</f>
      </c>
      <c r="N87" s="85" t="str">
        <f>IF(ISNUMBER(SEARCH("토1",$H87)),1,"")</f>
      </c>
      <c r="O87" s="85" t="str">
        <f>IF(ISNUMBER(SEARCH("토2",$H87)),1,"")</f>
      </c>
      <c r="P87" s="85" t="str">
        <f>IF(ISNUMBER(SEARCH("토3",$H87)),1,"")</f>
      </c>
      <c r="Q87" s="85" t="str">
        <f>IF(ISNUMBER(SEARCH("일1",$H87)),1,"")</f>
      </c>
      <c r="R87" s="85" t="str">
        <f>IF(ISNUMBER(SEARCH("일2",$H87)),1,"")</f>
      </c>
      <c r="S87" s="85" t="str">
        <f>IF(ISNUMBER(SEARCH("일3",$H87)),1,"")</f>
      </c>
      <c r="T87" s="85" t="n">
        <f>SUM(I87:S87)</f>
        <v>0</v>
      </c>
      <c r="U87" s="175" t="str"/>
    </row>
    <row r="88" ht="23" customHeight="1">
      <c r="A88" s="84" t="n">
        <v>20</v>
      </c>
      <c r="B88" s="171" t="str"/>
      <c r="C88" s="171" t="str"/>
      <c r="D88" s="171" t="str"/>
      <c r="E88" s="172" t="str"/>
      <c r="F88" s="172" t="str"/>
      <c r="G88" s="173" t="str"/>
      <c r="H88" s="174" t="str"/>
      <c r="I88" s="85" t="str">
        <f>IF(ISNUMBER(SEARCH("월",$H88)),1,"")</f>
      </c>
      <c r="J88" s="85" t="str">
        <f>IF(ISNUMBER(SEARCH("화",$H88)),1,"")</f>
      </c>
      <c r="K88" s="85" t="str">
        <f>IF(ISNUMBER(SEARCH("수",$H88)),1,"")</f>
      </c>
      <c r="L88" s="85" t="str">
        <f>IF(ISNUMBER(SEARCH("목",$H88)),1,"")</f>
      </c>
      <c r="M88" s="85" t="str">
        <f>IF(ISNUMBER(SEARCH("금",$H88)),1,"")</f>
      </c>
      <c r="N88" s="85" t="str">
        <f>IF(ISNUMBER(SEARCH("토1",$H88)),1,"")</f>
      </c>
      <c r="O88" s="85" t="str">
        <f>IF(ISNUMBER(SEARCH("토2",$H88)),1,"")</f>
      </c>
      <c r="P88" s="85" t="str">
        <f>IF(ISNUMBER(SEARCH("토3",$H88)),1,"")</f>
      </c>
      <c r="Q88" s="85" t="str">
        <f>IF(ISNUMBER(SEARCH("일1",$H88)),1,"")</f>
      </c>
      <c r="R88" s="85" t="str">
        <f>IF(ISNUMBER(SEARCH("일2",$H88)),1,"")</f>
      </c>
      <c r="S88" s="85" t="str">
        <f>IF(ISNUMBER(SEARCH("일3",$H88)),1,"")</f>
      </c>
      <c r="T88" s="85" t="n">
        <f>SUM(I88:S88)</f>
        <v>0</v>
      </c>
      <c r="U88" s="175" t="str"/>
    </row>
    <row r="89" ht="27" customHeight="1">
      <c r="A89" s="168" t="str"/>
      <c r="B89" s="169"/>
      <c r="C89" s="169"/>
      <c r="D89" s="169"/>
      <c r="E89" s="169"/>
      <c r="F89" s="169"/>
      <c r="G89" s="169"/>
      <c r="H89" s="169"/>
      <c r="I89" s="169"/>
      <c r="J89" s="169"/>
      <c r="K89" s="169"/>
      <c r="L89" s="169"/>
      <c r="M89" s="169"/>
      <c r="N89" s="169"/>
      <c r="O89" s="169"/>
      <c r="P89" s="169"/>
      <c r="Q89" s="169"/>
      <c r="R89" s="169"/>
      <c r="S89" s="169"/>
      <c r="T89" s="169"/>
      <c r="U89" s="170"/>
    </row>
    <row r="90" ht="23" customHeight="1">
      <c r="A90" s="84" t="n">
        <v>1</v>
      </c>
      <c r="B90" s="171" t="str"/>
      <c r="C90" s="171" t="str"/>
      <c r="D90" s="171" t="str"/>
      <c r="E90" s="172" t="str"/>
      <c r="F90" s="172" t="str"/>
      <c r="G90" s="173" t="str"/>
      <c r="H90" s="174" t="str"/>
      <c r="I90" s="85" t="str">
        <f>IF(ISNUMBER(SEARCH("월",$H90)),1,"")</f>
      </c>
      <c r="J90" s="85" t="str">
        <f>IF(ISNUMBER(SEARCH("화",$H90)),1,"")</f>
      </c>
      <c r="K90" s="85" t="str">
        <f>IF(ISNUMBER(SEARCH("수",$H90)),1,"")</f>
      </c>
      <c r="L90" s="85" t="str">
        <f>IF(ISNUMBER(SEARCH("목",$H90)),1,"")</f>
      </c>
      <c r="M90" s="85" t="str">
        <f>IF(ISNUMBER(SEARCH("금",$H90)),1,"")</f>
      </c>
      <c r="N90" s="85" t="str">
        <f>IF(ISNUMBER(SEARCH("토1",$H90)),1,"")</f>
      </c>
      <c r="O90" s="85" t="str">
        <f>IF(ISNUMBER(SEARCH("토2",$H90)),1,"")</f>
      </c>
      <c r="P90" s="85" t="str">
        <f>IF(ISNUMBER(SEARCH("토3",$H90)),1,"")</f>
      </c>
      <c r="Q90" s="85" t="str">
        <f>IF(ISNUMBER(SEARCH("일1",$H90)),1,"")</f>
      </c>
      <c r="R90" s="85" t="str">
        <f>IF(ISNUMBER(SEARCH("일2",$H90)),1,"")</f>
      </c>
      <c r="S90" s="85" t="str">
        <f>IF(ISNUMBER(SEARCH("일3",$H90)),1,"")</f>
      </c>
      <c r="T90" s="85" t="n">
        <f>SUM(I90:S90)</f>
        <v>0</v>
      </c>
      <c r="U90" s="175" t="str"/>
    </row>
    <row r="91" ht="23" customHeight="1">
      <c r="A91" s="84" t="n">
        <v>2</v>
      </c>
      <c r="B91" s="171" t="str"/>
      <c r="C91" s="171" t="str"/>
      <c r="D91" s="171" t="str"/>
      <c r="E91" s="172" t="str"/>
      <c r="F91" s="172" t="str"/>
      <c r="G91" s="173" t="str"/>
      <c r="H91" s="174" t="str"/>
      <c r="I91" s="85" t="str">
        <f>IF(ISNUMBER(SEARCH("월",$H91)),1,"")</f>
      </c>
      <c r="J91" s="85" t="str">
        <f>IF(ISNUMBER(SEARCH("화",$H91)),1,"")</f>
      </c>
      <c r="K91" s="85" t="str">
        <f>IF(ISNUMBER(SEARCH("수",$H91)),1,"")</f>
      </c>
      <c r="L91" s="85" t="str">
        <f>IF(ISNUMBER(SEARCH("목",$H91)),1,"")</f>
      </c>
      <c r="M91" s="85" t="str">
        <f>IF(ISNUMBER(SEARCH("금",$H91)),1,"")</f>
      </c>
      <c r="N91" s="85" t="str">
        <f>IF(ISNUMBER(SEARCH("토1",$H91)),1,"")</f>
      </c>
      <c r="O91" s="85" t="str">
        <f>IF(ISNUMBER(SEARCH("토2",$H91)),1,"")</f>
      </c>
      <c r="P91" s="85" t="str">
        <f>IF(ISNUMBER(SEARCH("토3",$H91)),1,"")</f>
      </c>
      <c r="Q91" s="85" t="str">
        <f>IF(ISNUMBER(SEARCH("일1",$H91)),1,"")</f>
      </c>
      <c r="R91" s="85" t="str">
        <f>IF(ISNUMBER(SEARCH("일2",$H91)),1,"")</f>
      </c>
      <c r="S91" s="85" t="str">
        <f>IF(ISNUMBER(SEARCH("일3",$H91)),1,"")</f>
      </c>
      <c r="T91" s="85" t="n">
        <f>SUM(I91:S91)</f>
        <v>0</v>
      </c>
      <c r="U91" s="175" t="str"/>
    </row>
    <row r="92" ht="23" customHeight="1">
      <c r="A92" s="84" t="n">
        <v>3</v>
      </c>
      <c r="B92" s="171" t="str"/>
      <c r="C92" s="171" t="str"/>
      <c r="D92" s="171" t="str"/>
      <c r="E92" s="172" t="str"/>
      <c r="F92" s="172" t="str"/>
      <c r="G92" s="173" t="str"/>
      <c r="H92" s="174" t="str"/>
      <c r="I92" s="85" t="str">
        <f>IF(ISNUMBER(SEARCH("월",$H92)),1,"")</f>
      </c>
      <c r="J92" s="85" t="str">
        <f>IF(ISNUMBER(SEARCH("화",$H92)),1,"")</f>
      </c>
      <c r="K92" s="85" t="str">
        <f>IF(ISNUMBER(SEARCH("수",$H92)),1,"")</f>
      </c>
      <c r="L92" s="85" t="str">
        <f>IF(ISNUMBER(SEARCH("목",$H92)),1,"")</f>
      </c>
      <c r="M92" s="85" t="str">
        <f>IF(ISNUMBER(SEARCH("금",$H92)),1,"")</f>
      </c>
      <c r="N92" s="85" t="str">
        <f>IF(ISNUMBER(SEARCH("토1",$H92)),1,"")</f>
      </c>
      <c r="O92" s="85" t="str">
        <f>IF(ISNUMBER(SEARCH("토2",$H92)),1,"")</f>
      </c>
      <c r="P92" s="85" t="str">
        <f>IF(ISNUMBER(SEARCH("토3",$H92)),1,"")</f>
      </c>
      <c r="Q92" s="85" t="str">
        <f>IF(ISNUMBER(SEARCH("일1",$H92)),1,"")</f>
      </c>
      <c r="R92" s="85" t="str">
        <f>IF(ISNUMBER(SEARCH("일2",$H92)),1,"")</f>
      </c>
      <c r="S92" s="85" t="str">
        <f>IF(ISNUMBER(SEARCH("일3",$H92)),1,"")</f>
      </c>
      <c r="T92" s="85" t="n">
        <f>SUM(I92:S92)</f>
        <v>0</v>
      </c>
      <c r="U92" s="175" t="str"/>
    </row>
    <row r="93" ht="23" customHeight="1">
      <c r="A93" s="84" t="n">
        <v>4</v>
      </c>
      <c r="B93" s="171" t="str"/>
      <c r="C93" s="171" t="str"/>
      <c r="D93" s="171" t="str"/>
      <c r="E93" s="172" t="str"/>
      <c r="F93" s="172" t="str"/>
      <c r="G93" s="173" t="str"/>
      <c r="H93" s="174" t="str"/>
      <c r="I93" s="85" t="str">
        <f>IF(ISNUMBER(SEARCH("월",$H93)),1,"")</f>
      </c>
      <c r="J93" s="85" t="str">
        <f>IF(ISNUMBER(SEARCH("화",$H93)),1,"")</f>
      </c>
      <c r="K93" s="85" t="str">
        <f>IF(ISNUMBER(SEARCH("수",$H93)),1,"")</f>
      </c>
      <c r="L93" s="85" t="str">
        <f>IF(ISNUMBER(SEARCH("목",$H93)),1,"")</f>
      </c>
      <c r="M93" s="85" t="str">
        <f>IF(ISNUMBER(SEARCH("금",$H93)),1,"")</f>
      </c>
      <c r="N93" s="85" t="str">
        <f>IF(ISNUMBER(SEARCH("토1",$H93)),1,"")</f>
      </c>
      <c r="O93" s="85" t="str">
        <f>IF(ISNUMBER(SEARCH("토2",$H93)),1,"")</f>
      </c>
      <c r="P93" s="85" t="str">
        <f>IF(ISNUMBER(SEARCH("토3",$H93)),1,"")</f>
      </c>
      <c r="Q93" s="85" t="str">
        <f>IF(ISNUMBER(SEARCH("일1",$H93)),1,"")</f>
      </c>
      <c r="R93" s="85" t="str">
        <f>IF(ISNUMBER(SEARCH("일2",$H93)),1,"")</f>
      </c>
      <c r="S93" s="85" t="str">
        <f>IF(ISNUMBER(SEARCH("일3",$H93)),1,"")</f>
      </c>
      <c r="T93" s="85" t="n">
        <f>SUM(I93:S93)</f>
        <v>0</v>
      </c>
      <c r="U93" s="175" t="str"/>
    </row>
    <row r="94" ht="23" customHeight="1">
      <c r="A94" s="84" t="n">
        <v>5</v>
      </c>
      <c r="B94" s="171" t="str"/>
      <c r="C94" s="171" t="str"/>
      <c r="D94" s="171" t="str"/>
      <c r="E94" s="172" t="str"/>
      <c r="F94" s="172" t="str"/>
      <c r="G94" s="173" t="str"/>
      <c r="H94" s="174" t="str"/>
      <c r="I94" s="85" t="str">
        <f>IF(ISNUMBER(SEARCH("월",$H94)),1,"")</f>
      </c>
      <c r="J94" s="85" t="str">
        <f>IF(ISNUMBER(SEARCH("화",$H94)),1,"")</f>
      </c>
      <c r="K94" s="85" t="str">
        <f>IF(ISNUMBER(SEARCH("수",$H94)),1,"")</f>
      </c>
      <c r="L94" s="85" t="str">
        <f>IF(ISNUMBER(SEARCH("목",$H94)),1,"")</f>
      </c>
      <c r="M94" s="85" t="str">
        <f>IF(ISNUMBER(SEARCH("금",$H94)),1,"")</f>
      </c>
      <c r="N94" s="85" t="str">
        <f>IF(ISNUMBER(SEARCH("토1",$H94)),1,"")</f>
      </c>
      <c r="O94" s="85" t="str">
        <f>IF(ISNUMBER(SEARCH("토2",$H94)),1,"")</f>
      </c>
      <c r="P94" s="85" t="str">
        <f>IF(ISNUMBER(SEARCH("토3",$H94)),1,"")</f>
      </c>
      <c r="Q94" s="85" t="str">
        <f>IF(ISNUMBER(SEARCH("일1",$H94)),1,"")</f>
      </c>
      <c r="R94" s="85" t="str">
        <f>IF(ISNUMBER(SEARCH("일2",$H94)),1,"")</f>
      </c>
      <c r="S94" s="85" t="str">
        <f>IF(ISNUMBER(SEARCH("일3",$H94)),1,"")</f>
      </c>
      <c r="T94" s="85" t="n">
        <f>SUM(I94:S94)</f>
        <v>0</v>
      </c>
      <c r="U94" s="175" t="str"/>
    </row>
    <row r="95" ht="23" customHeight="1">
      <c r="A95" s="84" t="n">
        <v>6</v>
      </c>
      <c r="B95" s="171" t="str"/>
      <c r="C95" s="171" t="str"/>
      <c r="D95" s="171" t="str"/>
      <c r="E95" s="172" t="str"/>
      <c r="F95" s="172" t="str"/>
      <c r="G95" s="173" t="str"/>
      <c r="H95" s="174" t="str"/>
      <c r="I95" s="85" t="str">
        <f>IF(ISNUMBER(SEARCH("월",$H95)),1,"")</f>
      </c>
      <c r="J95" s="85" t="str">
        <f>IF(ISNUMBER(SEARCH("화",$H95)),1,"")</f>
      </c>
      <c r="K95" s="85" t="str">
        <f>IF(ISNUMBER(SEARCH("수",$H95)),1,"")</f>
      </c>
      <c r="L95" s="85" t="str">
        <f>IF(ISNUMBER(SEARCH("목",$H95)),1,"")</f>
      </c>
      <c r="M95" s="85" t="str">
        <f>IF(ISNUMBER(SEARCH("금",$H95)),1,"")</f>
      </c>
      <c r="N95" s="85" t="str">
        <f>IF(ISNUMBER(SEARCH("토1",$H95)),1,"")</f>
      </c>
      <c r="O95" s="85" t="str">
        <f>IF(ISNUMBER(SEARCH("토2",$H95)),1,"")</f>
      </c>
      <c r="P95" s="85" t="str">
        <f>IF(ISNUMBER(SEARCH("토3",$H95)),1,"")</f>
      </c>
      <c r="Q95" s="85" t="str">
        <f>IF(ISNUMBER(SEARCH("일1",$H95)),1,"")</f>
      </c>
      <c r="R95" s="85" t="str">
        <f>IF(ISNUMBER(SEARCH("일2",$H95)),1,"")</f>
      </c>
      <c r="S95" s="85" t="str">
        <f>IF(ISNUMBER(SEARCH("일3",$H95)),1,"")</f>
      </c>
      <c r="T95" s="85" t="n">
        <f>SUM(I95:S95)</f>
        <v>0</v>
      </c>
      <c r="U95" s="175" t="str"/>
    </row>
    <row r="96" ht="23" customHeight="1">
      <c r="A96" s="84" t="n">
        <v>7</v>
      </c>
      <c r="B96" s="171" t="str"/>
      <c r="C96" s="171" t="str"/>
      <c r="D96" s="171" t="str"/>
      <c r="E96" s="172" t="str"/>
      <c r="F96" s="172" t="str"/>
      <c r="G96" s="173" t="str"/>
      <c r="H96" s="174" t="str"/>
      <c r="I96" s="85" t="str">
        <f>IF(ISNUMBER(SEARCH("월",$H96)),1,"")</f>
      </c>
      <c r="J96" s="85" t="str">
        <f>IF(ISNUMBER(SEARCH("화",$H96)),1,"")</f>
      </c>
      <c r="K96" s="85" t="str">
        <f>IF(ISNUMBER(SEARCH("수",$H96)),1,"")</f>
      </c>
      <c r="L96" s="85" t="str">
        <f>IF(ISNUMBER(SEARCH("목",$H96)),1,"")</f>
      </c>
      <c r="M96" s="85" t="str">
        <f>IF(ISNUMBER(SEARCH("금",$H96)),1,"")</f>
      </c>
      <c r="N96" s="85" t="str">
        <f>IF(ISNUMBER(SEARCH("토1",$H96)),1,"")</f>
      </c>
      <c r="O96" s="85" t="str">
        <f>IF(ISNUMBER(SEARCH("토2",$H96)),1,"")</f>
      </c>
      <c r="P96" s="85" t="str">
        <f>IF(ISNUMBER(SEARCH("토3",$H96)),1,"")</f>
      </c>
      <c r="Q96" s="85" t="str">
        <f>IF(ISNUMBER(SEARCH("일1",$H96)),1,"")</f>
      </c>
      <c r="R96" s="85" t="str">
        <f>IF(ISNUMBER(SEARCH("일2",$H96)),1,"")</f>
      </c>
      <c r="S96" s="85" t="str">
        <f>IF(ISNUMBER(SEARCH("일3",$H96)),1,"")</f>
      </c>
      <c r="T96" s="85" t="n">
        <f>SUM(I96:S96)</f>
        <v>0</v>
      </c>
      <c r="U96" s="175" t="str"/>
    </row>
    <row r="97" ht="23" customHeight="1">
      <c r="A97" s="84" t="n">
        <v>8</v>
      </c>
      <c r="B97" s="171" t="str"/>
      <c r="C97" s="171" t="str"/>
      <c r="D97" s="171" t="str"/>
      <c r="E97" s="172" t="str"/>
      <c r="F97" s="172" t="str"/>
      <c r="G97" s="173" t="str"/>
      <c r="H97" s="174" t="str"/>
      <c r="I97" s="85" t="str">
        <f>IF(ISNUMBER(SEARCH("월",$H97)),1,"")</f>
      </c>
      <c r="J97" s="85" t="str">
        <f>IF(ISNUMBER(SEARCH("화",$H97)),1,"")</f>
      </c>
      <c r="K97" s="85" t="str">
        <f>IF(ISNUMBER(SEARCH("수",$H97)),1,"")</f>
      </c>
      <c r="L97" s="85" t="str">
        <f>IF(ISNUMBER(SEARCH("목",$H97)),1,"")</f>
      </c>
      <c r="M97" s="85" t="str">
        <f>IF(ISNUMBER(SEARCH("금",$H97)),1,"")</f>
      </c>
      <c r="N97" s="85" t="str">
        <f>IF(ISNUMBER(SEARCH("토1",$H97)),1,"")</f>
      </c>
      <c r="O97" s="85" t="str">
        <f>IF(ISNUMBER(SEARCH("토2",$H97)),1,"")</f>
      </c>
      <c r="P97" s="85" t="str">
        <f>IF(ISNUMBER(SEARCH("토3",$H97)),1,"")</f>
      </c>
      <c r="Q97" s="85" t="str">
        <f>IF(ISNUMBER(SEARCH("일1",$H97)),1,"")</f>
      </c>
      <c r="R97" s="85" t="str">
        <f>IF(ISNUMBER(SEARCH("일2",$H97)),1,"")</f>
      </c>
      <c r="S97" s="85" t="str">
        <f>IF(ISNUMBER(SEARCH("일3",$H97)),1,"")</f>
      </c>
      <c r="T97" s="85" t="n">
        <f>SUM(I97:S97)</f>
        <v>0</v>
      </c>
      <c r="U97" s="175" t="str"/>
    </row>
    <row r="98" ht="23" customHeight="1">
      <c r="A98" s="84" t="n">
        <v>9</v>
      </c>
      <c r="B98" s="171" t="str"/>
      <c r="C98" s="171" t="str"/>
      <c r="D98" s="171" t="str"/>
      <c r="E98" s="172" t="str"/>
      <c r="F98" s="172" t="str"/>
      <c r="G98" s="173" t="str"/>
      <c r="H98" s="174" t="str"/>
      <c r="I98" s="85" t="str">
        <f>IF(ISNUMBER(SEARCH("월",$H98)),1,"")</f>
      </c>
      <c r="J98" s="85" t="str">
        <f>IF(ISNUMBER(SEARCH("화",$H98)),1,"")</f>
      </c>
      <c r="K98" s="85" t="str">
        <f>IF(ISNUMBER(SEARCH("수",$H98)),1,"")</f>
      </c>
      <c r="L98" s="85" t="str">
        <f>IF(ISNUMBER(SEARCH("목",$H98)),1,"")</f>
      </c>
      <c r="M98" s="85" t="str">
        <f>IF(ISNUMBER(SEARCH("금",$H98)),1,"")</f>
      </c>
      <c r="N98" s="85" t="str">
        <f>IF(ISNUMBER(SEARCH("토1",$H98)),1,"")</f>
      </c>
      <c r="O98" s="85" t="str">
        <f>IF(ISNUMBER(SEARCH("토2",$H98)),1,"")</f>
      </c>
      <c r="P98" s="85" t="str">
        <f>IF(ISNUMBER(SEARCH("토3",$H98)),1,"")</f>
      </c>
      <c r="Q98" s="85" t="str">
        <f>IF(ISNUMBER(SEARCH("일1",$H98)),1,"")</f>
      </c>
      <c r="R98" s="85" t="str">
        <f>IF(ISNUMBER(SEARCH("일2",$H98)),1,"")</f>
      </c>
      <c r="S98" s="85" t="str">
        <f>IF(ISNUMBER(SEARCH("일3",$H98)),1,"")</f>
      </c>
      <c r="T98" s="85" t="n">
        <f>SUM(I98:S98)</f>
        <v>0</v>
      </c>
      <c r="U98" s="175" t="str"/>
    </row>
    <row r="99" ht="23" customHeight="1">
      <c r="A99" s="84" t="n">
        <v>10</v>
      </c>
      <c r="B99" s="171" t="str"/>
      <c r="C99" s="171" t="str"/>
      <c r="D99" s="171" t="str"/>
      <c r="E99" s="172" t="str"/>
      <c r="F99" s="172" t="str"/>
      <c r="G99" s="173" t="str"/>
      <c r="H99" s="174" t="str"/>
      <c r="I99" s="85" t="str">
        <f>IF(ISNUMBER(SEARCH("월",$H99)),1,"")</f>
      </c>
      <c r="J99" s="85" t="str">
        <f>IF(ISNUMBER(SEARCH("화",$H99)),1,"")</f>
      </c>
      <c r="K99" s="85" t="str">
        <f>IF(ISNUMBER(SEARCH("수",$H99)),1,"")</f>
      </c>
      <c r="L99" s="85" t="str">
        <f>IF(ISNUMBER(SEARCH("목",$H99)),1,"")</f>
      </c>
      <c r="M99" s="85" t="str">
        <f>IF(ISNUMBER(SEARCH("금",$H99)),1,"")</f>
      </c>
      <c r="N99" s="85" t="str">
        <f>IF(ISNUMBER(SEARCH("토1",$H99)),1,"")</f>
      </c>
      <c r="O99" s="85" t="str">
        <f>IF(ISNUMBER(SEARCH("토2",$H99)),1,"")</f>
      </c>
      <c r="P99" s="85" t="str">
        <f>IF(ISNUMBER(SEARCH("토3",$H99)),1,"")</f>
      </c>
      <c r="Q99" s="85" t="str">
        <f>IF(ISNUMBER(SEARCH("일1",$H99)),1,"")</f>
      </c>
      <c r="R99" s="85" t="str">
        <f>IF(ISNUMBER(SEARCH("일2",$H99)),1,"")</f>
      </c>
      <c r="S99" s="85" t="str">
        <f>IF(ISNUMBER(SEARCH("일3",$H99)),1,"")</f>
      </c>
      <c r="T99" s="85" t="n">
        <f>SUM(I99:S99)</f>
        <v>0</v>
      </c>
      <c r="U99" s="175" t="str"/>
    </row>
    <row r="100" ht="23" customHeight="1">
      <c r="A100" s="84" t="n">
        <v>11</v>
      </c>
      <c r="B100" s="171" t="str"/>
      <c r="C100" s="171" t="str"/>
      <c r="D100" s="171" t="str"/>
      <c r="E100" s="172" t="str"/>
      <c r="F100" s="172" t="str"/>
      <c r="G100" s="173" t="str"/>
      <c r="H100" s="174" t="str"/>
      <c r="I100" s="85" t="str">
        <f>IF(ISNUMBER(SEARCH("월",$H100)),1,"")</f>
      </c>
      <c r="J100" s="85" t="str">
        <f>IF(ISNUMBER(SEARCH("화",$H100)),1,"")</f>
      </c>
      <c r="K100" s="85" t="str">
        <f>IF(ISNUMBER(SEARCH("수",$H100)),1,"")</f>
      </c>
      <c r="L100" s="85" t="str">
        <f>IF(ISNUMBER(SEARCH("목",$H100)),1,"")</f>
      </c>
      <c r="M100" s="85" t="str">
        <f>IF(ISNUMBER(SEARCH("금",$H100)),1,"")</f>
      </c>
      <c r="N100" s="85" t="str">
        <f>IF(ISNUMBER(SEARCH("토1",$H100)),1,"")</f>
      </c>
      <c r="O100" s="85" t="str">
        <f>IF(ISNUMBER(SEARCH("토2",$H100)),1,"")</f>
      </c>
      <c r="P100" s="85" t="str">
        <f>IF(ISNUMBER(SEARCH("토3",$H100)),1,"")</f>
      </c>
      <c r="Q100" s="85" t="str">
        <f>IF(ISNUMBER(SEARCH("일1",$H100)),1,"")</f>
      </c>
      <c r="R100" s="85" t="str">
        <f>IF(ISNUMBER(SEARCH("일2",$H100)),1,"")</f>
      </c>
      <c r="S100" s="85" t="str">
        <f>IF(ISNUMBER(SEARCH("일3",$H100)),1,"")</f>
      </c>
      <c r="T100" s="85" t="n">
        <f>SUM(I100:S100)</f>
        <v>0</v>
      </c>
      <c r="U100" s="175" t="str"/>
    </row>
    <row r="101" ht="23" customHeight="1">
      <c r="A101" s="84" t="n">
        <v>12</v>
      </c>
      <c r="B101" s="171" t="str"/>
      <c r="C101" s="171" t="str"/>
      <c r="D101" s="171" t="str"/>
      <c r="E101" s="172" t="str"/>
      <c r="F101" s="172" t="str"/>
      <c r="G101" s="173" t="str"/>
      <c r="H101" s="174" t="str"/>
      <c r="I101" s="85" t="str">
        <f>IF(ISNUMBER(SEARCH("월",$H101)),1,"")</f>
      </c>
      <c r="J101" s="85" t="str">
        <f>IF(ISNUMBER(SEARCH("화",$H101)),1,"")</f>
      </c>
      <c r="K101" s="85" t="str">
        <f>IF(ISNUMBER(SEARCH("수",$H101)),1,"")</f>
      </c>
      <c r="L101" s="85" t="str">
        <f>IF(ISNUMBER(SEARCH("목",$H101)),1,"")</f>
      </c>
      <c r="M101" s="85" t="str">
        <f>IF(ISNUMBER(SEARCH("금",$H101)),1,"")</f>
      </c>
      <c r="N101" s="85" t="str">
        <f>IF(ISNUMBER(SEARCH("토1",$H101)),1,"")</f>
      </c>
      <c r="O101" s="85" t="str">
        <f>IF(ISNUMBER(SEARCH("토2",$H101)),1,"")</f>
      </c>
      <c r="P101" s="85" t="str">
        <f>IF(ISNUMBER(SEARCH("토3",$H101)),1,"")</f>
      </c>
      <c r="Q101" s="85" t="str">
        <f>IF(ISNUMBER(SEARCH("일1",$H101)),1,"")</f>
      </c>
      <c r="R101" s="85" t="str">
        <f>IF(ISNUMBER(SEARCH("일2",$H101)),1,"")</f>
      </c>
      <c r="S101" s="85" t="str">
        <f>IF(ISNUMBER(SEARCH("일3",$H101)),1,"")</f>
      </c>
      <c r="T101" s="85" t="n">
        <f>SUM(I101:S101)</f>
        <v>0</v>
      </c>
      <c r="U101" s="175" t="str"/>
    </row>
    <row r="102" ht="23" customHeight="1">
      <c r="A102" s="84" t="n">
        <v>13</v>
      </c>
      <c r="B102" s="171" t="str"/>
      <c r="C102" s="171" t="str"/>
      <c r="D102" s="171" t="str"/>
      <c r="E102" s="172" t="str"/>
      <c r="F102" s="172" t="str"/>
      <c r="G102" s="173" t="str"/>
      <c r="H102" s="174" t="str"/>
      <c r="I102" s="85" t="str">
        <f>IF(ISNUMBER(SEARCH("월",$H102)),1,"")</f>
      </c>
      <c r="J102" s="85" t="str">
        <f>IF(ISNUMBER(SEARCH("화",$H102)),1,"")</f>
      </c>
      <c r="K102" s="85" t="str">
        <f>IF(ISNUMBER(SEARCH("수",$H102)),1,"")</f>
      </c>
      <c r="L102" s="85" t="str">
        <f>IF(ISNUMBER(SEARCH("목",$H102)),1,"")</f>
      </c>
      <c r="M102" s="85" t="str">
        <f>IF(ISNUMBER(SEARCH("금",$H102)),1,"")</f>
      </c>
      <c r="N102" s="85" t="str">
        <f>IF(ISNUMBER(SEARCH("토1",$H102)),1,"")</f>
      </c>
      <c r="O102" s="85" t="str">
        <f>IF(ISNUMBER(SEARCH("토2",$H102)),1,"")</f>
      </c>
      <c r="P102" s="85" t="str">
        <f>IF(ISNUMBER(SEARCH("토3",$H102)),1,"")</f>
      </c>
      <c r="Q102" s="85" t="str">
        <f>IF(ISNUMBER(SEARCH("일1",$H102)),1,"")</f>
      </c>
      <c r="R102" s="85" t="str">
        <f>IF(ISNUMBER(SEARCH("일2",$H102)),1,"")</f>
      </c>
      <c r="S102" s="85" t="str">
        <f>IF(ISNUMBER(SEARCH("일3",$H102)),1,"")</f>
      </c>
      <c r="T102" s="85" t="n">
        <f>SUM(I102:S102)</f>
        <v>0</v>
      </c>
      <c r="U102" s="175" t="str"/>
    </row>
    <row r="103" ht="23" customHeight="1">
      <c r="A103" s="84" t="n">
        <v>14</v>
      </c>
      <c r="B103" s="171" t="str"/>
      <c r="C103" s="171" t="str"/>
      <c r="D103" s="171" t="str"/>
      <c r="E103" s="172" t="str"/>
      <c r="F103" s="172" t="str"/>
      <c r="G103" s="173" t="str"/>
      <c r="H103" s="174" t="str"/>
      <c r="I103" s="85" t="str">
        <f>IF(ISNUMBER(SEARCH("월",$H103)),1,"")</f>
      </c>
      <c r="J103" s="85" t="str">
        <f>IF(ISNUMBER(SEARCH("화",$H103)),1,"")</f>
      </c>
      <c r="K103" s="85" t="str">
        <f>IF(ISNUMBER(SEARCH("수",$H103)),1,"")</f>
      </c>
      <c r="L103" s="85" t="str">
        <f>IF(ISNUMBER(SEARCH("목",$H103)),1,"")</f>
      </c>
      <c r="M103" s="85" t="str">
        <f>IF(ISNUMBER(SEARCH("금",$H103)),1,"")</f>
      </c>
      <c r="N103" s="85" t="str">
        <f>IF(ISNUMBER(SEARCH("토1",$H103)),1,"")</f>
      </c>
      <c r="O103" s="85" t="str">
        <f>IF(ISNUMBER(SEARCH("토2",$H103)),1,"")</f>
      </c>
      <c r="P103" s="85" t="str">
        <f>IF(ISNUMBER(SEARCH("토3",$H103)),1,"")</f>
      </c>
      <c r="Q103" s="85" t="str">
        <f>IF(ISNUMBER(SEARCH("일1",$H103)),1,"")</f>
      </c>
      <c r="R103" s="85" t="str">
        <f>IF(ISNUMBER(SEARCH("일2",$H103)),1,"")</f>
      </c>
      <c r="S103" s="85" t="str">
        <f>IF(ISNUMBER(SEARCH("일3",$H103)),1,"")</f>
      </c>
      <c r="T103" s="85" t="n">
        <f>SUM(I103:S103)</f>
        <v>0</v>
      </c>
      <c r="U103" s="175" t="str"/>
    </row>
    <row r="104" ht="23" customHeight="1">
      <c r="A104" s="84" t="n">
        <v>15</v>
      </c>
      <c r="B104" s="171" t="str"/>
      <c r="C104" s="171" t="str"/>
      <c r="D104" s="171" t="str"/>
      <c r="E104" s="172" t="str"/>
      <c r="F104" s="172" t="str"/>
      <c r="G104" s="173" t="str"/>
      <c r="H104" s="174" t="str"/>
      <c r="I104" s="85" t="str">
        <f>IF(ISNUMBER(SEARCH("월",$H104)),1,"")</f>
      </c>
      <c r="J104" s="85" t="str">
        <f>IF(ISNUMBER(SEARCH("화",$H104)),1,"")</f>
      </c>
      <c r="K104" s="85" t="str">
        <f>IF(ISNUMBER(SEARCH("수",$H104)),1,"")</f>
      </c>
      <c r="L104" s="85" t="str">
        <f>IF(ISNUMBER(SEARCH("목",$H104)),1,"")</f>
      </c>
      <c r="M104" s="85" t="str">
        <f>IF(ISNUMBER(SEARCH("금",$H104)),1,"")</f>
      </c>
      <c r="N104" s="85" t="str">
        <f>IF(ISNUMBER(SEARCH("토1",$H104)),1,"")</f>
      </c>
      <c r="O104" s="85" t="str">
        <f>IF(ISNUMBER(SEARCH("토2",$H104)),1,"")</f>
      </c>
      <c r="P104" s="85" t="str">
        <f>IF(ISNUMBER(SEARCH("토3",$H104)),1,"")</f>
      </c>
      <c r="Q104" s="85" t="str">
        <f>IF(ISNUMBER(SEARCH("일1",$H104)),1,"")</f>
      </c>
      <c r="R104" s="85" t="str">
        <f>IF(ISNUMBER(SEARCH("일2",$H104)),1,"")</f>
      </c>
      <c r="S104" s="85" t="str">
        <f>IF(ISNUMBER(SEARCH("일3",$H104)),1,"")</f>
      </c>
      <c r="T104" s="85" t="n">
        <f>SUM(I104:S104)</f>
        <v>0</v>
      </c>
      <c r="U104" s="175" t="str"/>
    </row>
    <row r="105" ht="23" customHeight="1">
      <c r="A105" s="84" t="n">
        <v>16</v>
      </c>
      <c r="B105" s="171" t="str"/>
      <c r="C105" s="171" t="str"/>
      <c r="D105" s="171" t="str"/>
      <c r="E105" s="172" t="str"/>
      <c r="F105" s="172" t="str"/>
      <c r="G105" s="173" t="str"/>
      <c r="H105" s="174" t="str"/>
      <c r="I105" s="85" t="str">
        <f>IF(ISNUMBER(SEARCH("월",$H105)),1,"")</f>
      </c>
      <c r="J105" s="85" t="str">
        <f>IF(ISNUMBER(SEARCH("화",$H105)),1,"")</f>
      </c>
      <c r="K105" s="85" t="str">
        <f>IF(ISNUMBER(SEARCH("수",$H105)),1,"")</f>
      </c>
      <c r="L105" s="85" t="str">
        <f>IF(ISNUMBER(SEARCH("목",$H105)),1,"")</f>
      </c>
      <c r="M105" s="85" t="str">
        <f>IF(ISNUMBER(SEARCH("금",$H105)),1,"")</f>
      </c>
      <c r="N105" s="85" t="str">
        <f>IF(ISNUMBER(SEARCH("토1",$H105)),1,"")</f>
      </c>
      <c r="O105" s="85" t="str">
        <f>IF(ISNUMBER(SEARCH("토2",$H105)),1,"")</f>
      </c>
      <c r="P105" s="85" t="str">
        <f>IF(ISNUMBER(SEARCH("토3",$H105)),1,"")</f>
      </c>
      <c r="Q105" s="85" t="str">
        <f>IF(ISNUMBER(SEARCH("일1",$H105)),1,"")</f>
      </c>
      <c r="R105" s="85" t="str">
        <f>IF(ISNUMBER(SEARCH("일2",$H105)),1,"")</f>
      </c>
      <c r="S105" s="85" t="str">
        <f>IF(ISNUMBER(SEARCH("일3",$H105)),1,"")</f>
      </c>
      <c r="T105" s="85" t="n">
        <f>SUM(I105:S105)</f>
        <v>0</v>
      </c>
      <c r="U105" s="175" t="str"/>
    </row>
    <row r="106" ht="23" customHeight="1">
      <c r="A106" s="84" t="n">
        <v>17</v>
      </c>
      <c r="B106" s="171" t="str"/>
      <c r="C106" s="171" t="str"/>
      <c r="D106" s="171" t="str"/>
      <c r="E106" s="172" t="str"/>
      <c r="F106" s="172" t="str"/>
      <c r="G106" s="173" t="str"/>
      <c r="H106" s="174" t="str"/>
      <c r="I106" s="85" t="str">
        <f>IF(ISNUMBER(SEARCH("월",$H106)),1,"")</f>
      </c>
      <c r="J106" s="85" t="str">
        <f>IF(ISNUMBER(SEARCH("화",$H106)),1,"")</f>
      </c>
      <c r="K106" s="85" t="str">
        <f>IF(ISNUMBER(SEARCH("수",$H106)),1,"")</f>
      </c>
      <c r="L106" s="85" t="str">
        <f>IF(ISNUMBER(SEARCH("목",$H106)),1,"")</f>
      </c>
      <c r="M106" s="85" t="str">
        <f>IF(ISNUMBER(SEARCH("금",$H106)),1,"")</f>
      </c>
      <c r="N106" s="85" t="str">
        <f>IF(ISNUMBER(SEARCH("토1",$H106)),1,"")</f>
      </c>
      <c r="O106" s="85" t="str">
        <f>IF(ISNUMBER(SEARCH("토2",$H106)),1,"")</f>
      </c>
      <c r="P106" s="85" t="str">
        <f>IF(ISNUMBER(SEARCH("토3",$H106)),1,"")</f>
      </c>
      <c r="Q106" s="85" t="str">
        <f>IF(ISNUMBER(SEARCH("일1",$H106)),1,"")</f>
      </c>
      <c r="R106" s="85" t="str">
        <f>IF(ISNUMBER(SEARCH("일2",$H106)),1,"")</f>
      </c>
      <c r="S106" s="85" t="str">
        <f>IF(ISNUMBER(SEARCH("일3",$H106)),1,"")</f>
      </c>
      <c r="T106" s="85" t="n">
        <f>SUM(I106:S106)</f>
        <v>0</v>
      </c>
      <c r="U106" s="175" t="str"/>
    </row>
    <row r="107" ht="23" customHeight="1">
      <c r="A107" s="84" t="n">
        <v>18</v>
      </c>
      <c r="B107" s="171" t="str"/>
      <c r="C107" s="171" t="str"/>
      <c r="D107" s="171" t="str"/>
      <c r="E107" s="172" t="str"/>
      <c r="F107" s="172" t="str"/>
      <c r="G107" s="173" t="str"/>
      <c r="H107" s="174" t="str"/>
      <c r="I107" s="85" t="str">
        <f>IF(ISNUMBER(SEARCH("월",$H107)),1,"")</f>
      </c>
      <c r="J107" s="85" t="str">
        <f>IF(ISNUMBER(SEARCH("화",$H107)),1,"")</f>
      </c>
      <c r="K107" s="85" t="str">
        <f>IF(ISNUMBER(SEARCH("수",$H107)),1,"")</f>
      </c>
      <c r="L107" s="85" t="str">
        <f>IF(ISNUMBER(SEARCH("목",$H107)),1,"")</f>
      </c>
      <c r="M107" s="85" t="str">
        <f>IF(ISNUMBER(SEARCH("금",$H107)),1,"")</f>
      </c>
      <c r="N107" s="85" t="str">
        <f>IF(ISNUMBER(SEARCH("토1",$H107)),1,"")</f>
      </c>
      <c r="O107" s="85" t="str">
        <f>IF(ISNUMBER(SEARCH("토2",$H107)),1,"")</f>
      </c>
      <c r="P107" s="85" t="str">
        <f>IF(ISNUMBER(SEARCH("토3",$H107)),1,"")</f>
      </c>
      <c r="Q107" s="85" t="str">
        <f>IF(ISNUMBER(SEARCH("일1",$H107)),1,"")</f>
      </c>
      <c r="R107" s="85" t="str">
        <f>IF(ISNUMBER(SEARCH("일2",$H107)),1,"")</f>
      </c>
      <c r="S107" s="85" t="str">
        <f>IF(ISNUMBER(SEARCH("일3",$H107)),1,"")</f>
      </c>
      <c r="T107" s="85" t="n">
        <f>SUM(I107:S107)</f>
        <v>0</v>
      </c>
      <c r="U107" s="175" t="str"/>
    </row>
    <row r="108" ht="23" customHeight="1">
      <c r="A108" s="84" t="n">
        <v>19</v>
      </c>
      <c r="B108" s="171" t="str"/>
      <c r="C108" s="171" t="str"/>
      <c r="D108" s="171" t="str"/>
      <c r="E108" s="172" t="str"/>
      <c r="F108" s="172" t="str"/>
      <c r="G108" s="173" t="str"/>
      <c r="H108" s="174" t="str"/>
      <c r="I108" s="85" t="str">
        <f>IF(ISNUMBER(SEARCH("월",$H108)),1,"")</f>
      </c>
      <c r="J108" s="85" t="str">
        <f>IF(ISNUMBER(SEARCH("화",$H108)),1,"")</f>
      </c>
      <c r="K108" s="85" t="str">
        <f>IF(ISNUMBER(SEARCH("수",$H108)),1,"")</f>
      </c>
      <c r="L108" s="85" t="str">
        <f>IF(ISNUMBER(SEARCH("목",$H108)),1,"")</f>
      </c>
      <c r="M108" s="85" t="str">
        <f>IF(ISNUMBER(SEARCH("금",$H108)),1,"")</f>
      </c>
      <c r="N108" s="85" t="str">
        <f>IF(ISNUMBER(SEARCH("토1",$H108)),1,"")</f>
      </c>
      <c r="O108" s="85" t="str">
        <f>IF(ISNUMBER(SEARCH("토2",$H108)),1,"")</f>
      </c>
      <c r="P108" s="85" t="str">
        <f>IF(ISNUMBER(SEARCH("토3",$H108)),1,"")</f>
      </c>
      <c r="Q108" s="85" t="str">
        <f>IF(ISNUMBER(SEARCH("일1",$H108)),1,"")</f>
      </c>
      <c r="R108" s="85" t="str">
        <f>IF(ISNUMBER(SEARCH("일2",$H108)),1,"")</f>
      </c>
      <c r="S108" s="85" t="str">
        <f>IF(ISNUMBER(SEARCH("일3",$H108)),1,"")</f>
      </c>
      <c r="T108" s="85" t="n">
        <f>SUM(I108:S108)</f>
        <v>0</v>
      </c>
      <c r="U108" s="175" t="str"/>
    </row>
    <row r="109" ht="23" customHeight="1">
      <c r="A109" s="84" t="n">
        <v>20</v>
      </c>
      <c r="B109" s="171" t="str"/>
      <c r="C109" s="171" t="str"/>
      <c r="D109" s="171" t="str"/>
      <c r="E109" s="172" t="str"/>
      <c r="F109" s="172" t="str"/>
      <c r="G109" s="173" t="str"/>
      <c r="H109" s="174" t="str"/>
      <c r="I109" s="85" t="str">
        <f>IF(ISNUMBER(SEARCH("월",$H109)),1,"")</f>
      </c>
      <c r="J109" s="85" t="str">
        <f>IF(ISNUMBER(SEARCH("화",$H109)),1,"")</f>
      </c>
      <c r="K109" s="85" t="str">
        <f>IF(ISNUMBER(SEARCH("수",$H109)),1,"")</f>
      </c>
      <c r="L109" s="85" t="str">
        <f>IF(ISNUMBER(SEARCH("목",$H109)),1,"")</f>
      </c>
      <c r="M109" s="85" t="str">
        <f>IF(ISNUMBER(SEARCH("금",$H109)),1,"")</f>
      </c>
      <c r="N109" s="85" t="str">
        <f>IF(ISNUMBER(SEARCH("토1",$H109)),1,"")</f>
      </c>
      <c r="O109" s="85" t="str">
        <f>IF(ISNUMBER(SEARCH("토2",$H109)),1,"")</f>
      </c>
      <c r="P109" s="85" t="str">
        <f>IF(ISNUMBER(SEARCH("토3",$H109)),1,"")</f>
      </c>
      <c r="Q109" s="85" t="str">
        <f>IF(ISNUMBER(SEARCH("일1",$H109)),1,"")</f>
      </c>
      <c r="R109" s="85" t="str">
        <f>IF(ISNUMBER(SEARCH("일2",$H109)),1,"")</f>
      </c>
      <c r="S109" s="85" t="str">
        <f>IF(ISNUMBER(SEARCH("일3",$H109)),1,"")</f>
      </c>
      <c r="T109" s="85" t="n">
        <f>SUM(I109:S109)</f>
        <v>0</v>
      </c>
      <c r="U109" s="175" t="str"/>
    </row>
    <row r="110" ht="27" customHeight="1">
      <c r="A110" s="168" t="str"/>
      <c r="B110" s="169"/>
      <c r="C110" s="169"/>
      <c r="D110" s="169"/>
      <c r="E110" s="169"/>
      <c r="F110" s="169"/>
      <c r="G110" s="169"/>
      <c r="H110" s="169"/>
      <c r="I110" s="169"/>
      <c r="J110" s="169"/>
      <c r="K110" s="169"/>
      <c r="L110" s="169"/>
      <c r="M110" s="169"/>
      <c r="N110" s="169"/>
      <c r="O110" s="169"/>
      <c r="P110" s="169"/>
      <c r="Q110" s="169"/>
      <c r="R110" s="169"/>
      <c r="S110" s="169"/>
      <c r="T110" s="169"/>
      <c r="U110" s="170"/>
    </row>
    <row r="111" ht="23" customHeight="1">
      <c r="A111" s="84" t="n">
        <v>1</v>
      </c>
      <c r="B111" s="171" t="str"/>
      <c r="C111" s="171" t="str"/>
      <c r="D111" s="171" t="str"/>
      <c r="E111" s="172" t="str"/>
      <c r="F111" s="172" t="str"/>
      <c r="G111" s="173" t="str"/>
      <c r="H111" s="174" t="str"/>
      <c r="I111" s="85" t="str">
        <f>IF(ISNUMBER(SEARCH("월",$H111)),1,"")</f>
      </c>
      <c r="J111" s="85" t="str">
        <f>IF(ISNUMBER(SEARCH("화",$H111)),1,"")</f>
      </c>
      <c r="K111" s="85" t="str">
        <f>IF(ISNUMBER(SEARCH("수",$H111)),1,"")</f>
      </c>
      <c r="L111" s="85" t="str">
        <f>IF(ISNUMBER(SEARCH("목",$H111)),1,"")</f>
      </c>
      <c r="M111" s="85" t="str">
        <f>IF(ISNUMBER(SEARCH("금",$H111)),1,"")</f>
      </c>
      <c r="N111" s="85" t="str">
        <f>IF(ISNUMBER(SEARCH("토1",$H111)),1,"")</f>
      </c>
      <c r="O111" s="85" t="str">
        <f>IF(ISNUMBER(SEARCH("토2",$H111)),1,"")</f>
      </c>
      <c r="P111" s="85" t="str">
        <f>IF(ISNUMBER(SEARCH("토3",$H111)),1,"")</f>
      </c>
      <c r="Q111" s="85" t="str">
        <f>IF(ISNUMBER(SEARCH("일1",$H111)),1,"")</f>
      </c>
      <c r="R111" s="85" t="str">
        <f>IF(ISNUMBER(SEARCH("일2",$H111)),1,"")</f>
      </c>
      <c r="S111" s="85" t="str">
        <f>IF(ISNUMBER(SEARCH("일3",$H111)),1,"")</f>
      </c>
      <c r="T111" s="85" t="n">
        <f>SUM(I111:S111)</f>
        <v>0</v>
      </c>
      <c r="U111" s="175" t="str"/>
    </row>
    <row r="112" ht="23" customHeight="1">
      <c r="A112" s="84" t="n">
        <v>2</v>
      </c>
      <c r="B112" s="171" t="str"/>
      <c r="C112" s="171" t="str"/>
      <c r="D112" s="171" t="str"/>
      <c r="E112" s="172" t="str"/>
      <c r="F112" s="172" t="str"/>
      <c r="G112" s="173" t="str"/>
      <c r="H112" s="174" t="str"/>
      <c r="I112" s="85" t="str">
        <f>IF(ISNUMBER(SEARCH("월",$H112)),1,"")</f>
      </c>
      <c r="J112" s="85" t="str">
        <f>IF(ISNUMBER(SEARCH("화",$H112)),1,"")</f>
      </c>
      <c r="K112" s="85" t="str">
        <f>IF(ISNUMBER(SEARCH("수",$H112)),1,"")</f>
      </c>
      <c r="L112" s="85" t="str">
        <f>IF(ISNUMBER(SEARCH("목",$H112)),1,"")</f>
      </c>
      <c r="M112" s="85" t="str">
        <f>IF(ISNUMBER(SEARCH("금",$H112)),1,"")</f>
      </c>
      <c r="N112" s="85" t="str">
        <f>IF(ISNUMBER(SEARCH("토1",$H112)),1,"")</f>
      </c>
      <c r="O112" s="85" t="str">
        <f>IF(ISNUMBER(SEARCH("토2",$H112)),1,"")</f>
      </c>
      <c r="P112" s="85" t="str">
        <f>IF(ISNUMBER(SEARCH("토3",$H112)),1,"")</f>
      </c>
      <c r="Q112" s="85" t="str">
        <f>IF(ISNUMBER(SEARCH("일1",$H112)),1,"")</f>
      </c>
      <c r="R112" s="85" t="str">
        <f>IF(ISNUMBER(SEARCH("일2",$H112)),1,"")</f>
      </c>
      <c r="S112" s="85" t="str">
        <f>IF(ISNUMBER(SEARCH("일3",$H112)),1,"")</f>
      </c>
      <c r="T112" s="85" t="n">
        <f>SUM(I112:S112)</f>
        <v>0</v>
      </c>
      <c r="U112" s="175" t="str"/>
    </row>
    <row r="113" ht="23" customHeight="1">
      <c r="A113" s="84" t="n">
        <v>3</v>
      </c>
      <c r="B113" s="171" t="str"/>
      <c r="C113" s="171" t="str"/>
      <c r="D113" s="171" t="str"/>
      <c r="E113" s="172" t="str"/>
      <c r="F113" s="172" t="str"/>
      <c r="G113" s="173" t="str"/>
      <c r="H113" s="174" t="str"/>
      <c r="I113" s="85" t="str">
        <f>IF(ISNUMBER(SEARCH("월",$H113)),1,"")</f>
      </c>
      <c r="J113" s="85" t="str">
        <f>IF(ISNUMBER(SEARCH("화",$H113)),1,"")</f>
      </c>
      <c r="K113" s="85" t="str">
        <f>IF(ISNUMBER(SEARCH("수",$H113)),1,"")</f>
      </c>
      <c r="L113" s="85" t="str">
        <f>IF(ISNUMBER(SEARCH("목",$H113)),1,"")</f>
      </c>
      <c r="M113" s="85" t="str">
        <f>IF(ISNUMBER(SEARCH("금",$H113)),1,"")</f>
      </c>
      <c r="N113" s="85" t="str">
        <f>IF(ISNUMBER(SEARCH("토1",$H113)),1,"")</f>
      </c>
      <c r="O113" s="85" t="str">
        <f>IF(ISNUMBER(SEARCH("토2",$H113)),1,"")</f>
      </c>
      <c r="P113" s="85" t="str">
        <f>IF(ISNUMBER(SEARCH("토3",$H113)),1,"")</f>
      </c>
      <c r="Q113" s="85" t="str">
        <f>IF(ISNUMBER(SEARCH("일1",$H113)),1,"")</f>
      </c>
      <c r="R113" s="85" t="str">
        <f>IF(ISNUMBER(SEARCH("일2",$H113)),1,"")</f>
      </c>
      <c r="S113" s="85" t="str">
        <f>IF(ISNUMBER(SEARCH("일3",$H113)),1,"")</f>
      </c>
      <c r="T113" s="85" t="n">
        <f>SUM(I113:S113)</f>
        <v>0</v>
      </c>
      <c r="U113" s="175" t="str"/>
    </row>
    <row r="114" ht="23" customHeight="1">
      <c r="A114" s="84" t="n">
        <v>4</v>
      </c>
      <c r="B114" s="171" t="str"/>
      <c r="C114" s="171" t="str"/>
      <c r="D114" s="171" t="str"/>
      <c r="E114" s="172" t="str"/>
      <c r="F114" s="172" t="str"/>
      <c r="G114" s="173" t="str"/>
      <c r="H114" s="174" t="str"/>
      <c r="I114" s="85" t="str">
        <f>IF(ISNUMBER(SEARCH("월",$H114)),1,"")</f>
      </c>
      <c r="J114" s="85" t="str">
        <f>IF(ISNUMBER(SEARCH("화",$H114)),1,"")</f>
      </c>
      <c r="K114" s="85" t="str">
        <f>IF(ISNUMBER(SEARCH("수",$H114)),1,"")</f>
      </c>
      <c r="L114" s="85" t="str">
        <f>IF(ISNUMBER(SEARCH("목",$H114)),1,"")</f>
      </c>
      <c r="M114" s="85" t="str">
        <f>IF(ISNUMBER(SEARCH("금",$H114)),1,"")</f>
      </c>
      <c r="N114" s="85" t="str">
        <f>IF(ISNUMBER(SEARCH("토1",$H114)),1,"")</f>
      </c>
      <c r="O114" s="85" t="str">
        <f>IF(ISNUMBER(SEARCH("토2",$H114)),1,"")</f>
      </c>
      <c r="P114" s="85" t="str">
        <f>IF(ISNUMBER(SEARCH("토3",$H114)),1,"")</f>
      </c>
      <c r="Q114" s="85" t="str">
        <f>IF(ISNUMBER(SEARCH("일1",$H114)),1,"")</f>
      </c>
      <c r="R114" s="85" t="str">
        <f>IF(ISNUMBER(SEARCH("일2",$H114)),1,"")</f>
      </c>
      <c r="S114" s="85" t="str">
        <f>IF(ISNUMBER(SEARCH("일3",$H114)),1,"")</f>
      </c>
      <c r="T114" s="85" t="n">
        <f>SUM(I114:S114)</f>
        <v>0</v>
      </c>
      <c r="U114" s="175" t="str"/>
    </row>
    <row r="115" ht="23" customHeight="1">
      <c r="A115" s="84" t="n">
        <v>5</v>
      </c>
      <c r="B115" s="171" t="str"/>
      <c r="C115" s="171" t="str"/>
      <c r="D115" s="171" t="str"/>
      <c r="E115" s="172" t="str"/>
      <c r="F115" s="172" t="str"/>
      <c r="G115" s="173" t="str"/>
      <c r="H115" s="174" t="str"/>
      <c r="I115" s="85" t="str">
        <f>IF(ISNUMBER(SEARCH("월",$H115)),1,"")</f>
      </c>
      <c r="J115" s="85" t="str">
        <f>IF(ISNUMBER(SEARCH("화",$H115)),1,"")</f>
      </c>
      <c r="K115" s="85" t="str">
        <f>IF(ISNUMBER(SEARCH("수",$H115)),1,"")</f>
      </c>
      <c r="L115" s="85" t="str">
        <f>IF(ISNUMBER(SEARCH("목",$H115)),1,"")</f>
      </c>
      <c r="M115" s="85" t="str">
        <f>IF(ISNUMBER(SEARCH("금",$H115)),1,"")</f>
      </c>
      <c r="N115" s="85" t="str">
        <f>IF(ISNUMBER(SEARCH("토1",$H115)),1,"")</f>
      </c>
      <c r="O115" s="85" t="str">
        <f>IF(ISNUMBER(SEARCH("토2",$H115)),1,"")</f>
      </c>
      <c r="P115" s="85" t="str">
        <f>IF(ISNUMBER(SEARCH("토3",$H115)),1,"")</f>
      </c>
      <c r="Q115" s="85" t="str">
        <f>IF(ISNUMBER(SEARCH("일1",$H115)),1,"")</f>
      </c>
      <c r="R115" s="85" t="str">
        <f>IF(ISNUMBER(SEARCH("일2",$H115)),1,"")</f>
      </c>
      <c r="S115" s="85" t="str">
        <f>IF(ISNUMBER(SEARCH("일3",$H115)),1,"")</f>
      </c>
      <c r="T115" s="85" t="n">
        <f>SUM(I115:S115)</f>
        <v>0</v>
      </c>
      <c r="U115" s="175" t="str"/>
    </row>
    <row r="116" ht="23" customHeight="1">
      <c r="A116" s="84" t="n">
        <v>6</v>
      </c>
      <c r="B116" s="171" t="str"/>
      <c r="C116" s="171" t="str"/>
      <c r="D116" s="171" t="str"/>
      <c r="E116" s="172" t="str"/>
      <c r="F116" s="172" t="str"/>
      <c r="G116" s="173" t="str"/>
      <c r="H116" s="174" t="str"/>
      <c r="I116" s="85" t="str">
        <f>IF(ISNUMBER(SEARCH("월",$H116)),1,"")</f>
      </c>
      <c r="J116" s="85" t="str">
        <f>IF(ISNUMBER(SEARCH("화",$H116)),1,"")</f>
      </c>
      <c r="K116" s="85" t="str">
        <f>IF(ISNUMBER(SEARCH("수",$H116)),1,"")</f>
      </c>
      <c r="L116" s="85" t="str">
        <f>IF(ISNUMBER(SEARCH("목",$H116)),1,"")</f>
      </c>
      <c r="M116" s="85" t="str">
        <f>IF(ISNUMBER(SEARCH("금",$H116)),1,"")</f>
      </c>
      <c r="N116" s="85" t="str">
        <f>IF(ISNUMBER(SEARCH("토1",$H116)),1,"")</f>
      </c>
      <c r="O116" s="85" t="str">
        <f>IF(ISNUMBER(SEARCH("토2",$H116)),1,"")</f>
      </c>
      <c r="P116" s="85" t="str">
        <f>IF(ISNUMBER(SEARCH("토3",$H116)),1,"")</f>
      </c>
      <c r="Q116" s="85" t="str">
        <f>IF(ISNUMBER(SEARCH("일1",$H116)),1,"")</f>
      </c>
      <c r="R116" s="85" t="str">
        <f>IF(ISNUMBER(SEARCH("일2",$H116)),1,"")</f>
      </c>
      <c r="S116" s="85" t="str">
        <f>IF(ISNUMBER(SEARCH("일3",$H116)),1,"")</f>
      </c>
      <c r="T116" s="85" t="n">
        <f>SUM(I116:S116)</f>
        <v>0</v>
      </c>
      <c r="U116" s="175" t="str"/>
    </row>
    <row r="117" ht="23" customHeight="1">
      <c r="A117" s="84" t="n">
        <v>7</v>
      </c>
      <c r="B117" s="171" t="str"/>
      <c r="C117" s="171" t="str"/>
      <c r="D117" s="171" t="str"/>
      <c r="E117" s="172" t="str"/>
      <c r="F117" s="172" t="str"/>
      <c r="G117" s="173" t="str"/>
      <c r="H117" s="174" t="str"/>
      <c r="I117" s="85" t="str">
        <f>IF(ISNUMBER(SEARCH("월",$H117)),1,"")</f>
      </c>
      <c r="J117" s="85" t="str">
        <f>IF(ISNUMBER(SEARCH("화",$H117)),1,"")</f>
      </c>
      <c r="K117" s="85" t="str">
        <f>IF(ISNUMBER(SEARCH("수",$H117)),1,"")</f>
      </c>
      <c r="L117" s="85" t="str">
        <f>IF(ISNUMBER(SEARCH("목",$H117)),1,"")</f>
      </c>
      <c r="M117" s="85" t="str">
        <f>IF(ISNUMBER(SEARCH("금",$H117)),1,"")</f>
      </c>
      <c r="N117" s="85" t="str">
        <f>IF(ISNUMBER(SEARCH("토1",$H117)),1,"")</f>
      </c>
      <c r="O117" s="85" t="str">
        <f>IF(ISNUMBER(SEARCH("토2",$H117)),1,"")</f>
      </c>
      <c r="P117" s="85" t="str">
        <f>IF(ISNUMBER(SEARCH("토3",$H117)),1,"")</f>
      </c>
      <c r="Q117" s="85" t="str">
        <f>IF(ISNUMBER(SEARCH("일1",$H117)),1,"")</f>
      </c>
      <c r="R117" s="85" t="str">
        <f>IF(ISNUMBER(SEARCH("일2",$H117)),1,"")</f>
      </c>
      <c r="S117" s="85" t="str">
        <f>IF(ISNUMBER(SEARCH("일3",$H117)),1,"")</f>
      </c>
      <c r="T117" s="85" t="n">
        <f>SUM(I117:S117)</f>
        <v>0</v>
      </c>
      <c r="U117" s="175" t="str"/>
    </row>
    <row r="118" ht="23" customHeight="1">
      <c r="A118" s="84" t="n">
        <v>8</v>
      </c>
      <c r="B118" s="171" t="str"/>
      <c r="C118" s="171" t="str"/>
      <c r="D118" s="171" t="str"/>
      <c r="E118" s="172" t="str"/>
      <c r="F118" s="172" t="str"/>
      <c r="G118" s="173" t="str"/>
      <c r="H118" s="174" t="str"/>
      <c r="I118" s="85" t="str">
        <f>IF(ISNUMBER(SEARCH("월",$H118)),1,"")</f>
      </c>
      <c r="J118" s="85" t="str">
        <f>IF(ISNUMBER(SEARCH("화",$H118)),1,"")</f>
      </c>
      <c r="K118" s="85" t="str">
        <f>IF(ISNUMBER(SEARCH("수",$H118)),1,"")</f>
      </c>
      <c r="L118" s="85" t="str">
        <f>IF(ISNUMBER(SEARCH("목",$H118)),1,"")</f>
      </c>
      <c r="M118" s="85" t="str">
        <f>IF(ISNUMBER(SEARCH("금",$H118)),1,"")</f>
      </c>
      <c r="N118" s="85" t="str">
        <f>IF(ISNUMBER(SEARCH("토1",$H118)),1,"")</f>
      </c>
      <c r="O118" s="85" t="str">
        <f>IF(ISNUMBER(SEARCH("토2",$H118)),1,"")</f>
      </c>
      <c r="P118" s="85" t="str">
        <f>IF(ISNUMBER(SEARCH("토3",$H118)),1,"")</f>
      </c>
      <c r="Q118" s="85" t="str">
        <f>IF(ISNUMBER(SEARCH("일1",$H118)),1,"")</f>
      </c>
      <c r="R118" s="85" t="str">
        <f>IF(ISNUMBER(SEARCH("일2",$H118)),1,"")</f>
      </c>
      <c r="S118" s="85" t="str">
        <f>IF(ISNUMBER(SEARCH("일3",$H118)),1,"")</f>
      </c>
      <c r="T118" s="85" t="n">
        <f>SUM(I118:S118)</f>
        <v>0</v>
      </c>
      <c r="U118" s="175" t="str"/>
    </row>
    <row r="119" ht="23" customHeight="1">
      <c r="A119" s="84" t="n">
        <v>9</v>
      </c>
      <c r="B119" s="171" t="str"/>
      <c r="C119" s="171" t="str"/>
      <c r="D119" s="171" t="str"/>
      <c r="E119" s="172" t="str"/>
      <c r="F119" s="172" t="str"/>
      <c r="G119" s="173" t="str"/>
      <c r="H119" s="174" t="str"/>
      <c r="I119" s="85" t="str">
        <f>IF(ISNUMBER(SEARCH("월",$H119)),1,"")</f>
      </c>
      <c r="J119" s="85" t="str">
        <f>IF(ISNUMBER(SEARCH("화",$H119)),1,"")</f>
      </c>
      <c r="K119" s="85" t="str">
        <f>IF(ISNUMBER(SEARCH("수",$H119)),1,"")</f>
      </c>
      <c r="L119" s="85" t="str">
        <f>IF(ISNUMBER(SEARCH("목",$H119)),1,"")</f>
      </c>
      <c r="M119" s="85" t="str">
        <f>IF(ISNUMBER(SEARCH("금",$H119)),1,"")</f>
      </c>
      <c r="N119" s="85" t="str">
        <f>IF(ISNUMBER(SEARCH("토1",$H119)),1,"")</f>
      </c>
      <c r="O119" s="85" t="str">
        <f>IF(ISNUMBER(SEARCH("토2",$H119)),1,"")</f>
      </c>
      <c r="P119" s="85" t="str">
        <f>IF(ISNUMBER(SEARCH("토3",$H119)),1,"")</f>
      </c>
      <c r="Q119" s="85" t="str">
        <f>IF(ISNUMBER(SEARCH("일1",$H119)),1,"")</f>
      </c>
      <c r="R119" s="85" t="str">
        <f>IF(ISNUMBER(SEARCH("일2",$H119)),1,"")</f>
      </c>
      <c r="S119" s="85" t="str">
        <f>IF(ISNUMBER(SEARCH("일3",$H119)),1,"")</f>
      </c>
      <c r="T119" s="85" t="n">
        <f>SUM(I119:S119)</f>
        <v>0</v>
      </c>
      <c r="U119" s="175" t="str"/>
    </row>
    <row r="120" ht="23" customHeight="1">
      <c r="A120" s="84" t="n">
        <v>10</v>
      </c>
      <c r="B120" s="171" t="str"/>
      <c r="C120" s="171" t="str"/>
      <c r="D120" s="171" t="str"/>
      <c r="E120" s="172" t="str"/>
      <c r="F120" s="172" t="str"/>
      <c r="G120" s="173" t="str"/>
      <c r="H120" s="174" t="str"/>
      <c r="I120" s="85" t="str">
        <f>IF(ISNUMBER(SEARCH("월",$H120)),1,"")</f>
      </c>
      <c r="J120" s="85" t="str">
        <f>IF(ISNUMBER(SEARCH("화",$H120)),1,"")</f>
      </c>
      <c r="K120" s="85" t="str">
        <f>IF(ISNUMBER(SEARCH("수",$H120)),1,"")</f>
      </c>
      <c r="L120" s="85" t="str">
        <f>IF(ISNUMBER(SEARCH("목",$H120)),1,"")</f>
      </c>
      <c r="M120" s="85" t="str">
        <f>IF(ISNUMBER(SEARCH("금",$H120)),1,"")</f>
      </c>
      <c r="N120" s="85" t="str">
        <f>IF(ISNUMBER(SEARCH("토1",$H120)),1,"")</f>
      </c>
      <c r="O120" s="85" t="str">
        <f>IF(ISNUMBER(SEARCH("토2",$H120)),1,"")</f>
      </c>
      <c r="P120" s="85" t="str">
        <f>IF(ISNUMBER(SEARCH("토3",$H120)),1,"")</f>
      </c>
      <c r="Q120" s="85" t="str">
        <f>IF(ISNUMBER(SEARCH("일1",$H120)),1,"")</f>
      </c>
      <c r="R120" s="85" t="str">
        <f>IF(ISNUMBER(SEARCH("일2",$H120)),1,"")</f>
      </c>
      <c r="S120" s="85" t="str">
        <f>IF(ISNUMBER(SEARCH("일3",$H120)),1,"")</f>
      </c>
      <c r="T120" s="85" t="n">
        <f>SUM(I120:S120)</f>
        <v>0</v>
      </c>
      <c r="U120" s="175" t="str"/>
    </row>
    <row r="121" ht="23" customHeight="1">
      <c r="A121" s="84" t="n">
        <v>11</v>
      </c>
      <c r="B121" s="171" t="str"/>
      <c r="C121" s="171" t="str"/>
      <c r="D121" s="171" t="str"/>
      <c r="E121" s="172" t="str"/>
      <c r="F121" s="172" t="str"/>
      <c r="G121" s="173" t="str"/>
      <c r="H121" s="174" t="str"/>
      <c r="I121" s="85" t="str">
        <f>IF(ISNUMBER(SEARCH("월",$H121)),1,"")</f>
      </c>
      <c r="J121" s="85" t="str">
        <f>IF(ISNUMBER(SEARCH("화",$H121)),1,"")</f>
      </c>
      <c r="K121" s="85" t="str">
        <f>IF(ISNUMBER(SEARCH("수",$H121)),1,"")</f>
      </c>
      <c r="L121" s="85" t="str">
        <f>IF(ISNUMBER(SEARCH("목",$H121)),1,"")</f>
      </c>
      <c r="M121" s="85" t="str">
        <f>IF(ISNUMBER(SEARCH("금",$H121)),1,"")</f>
      </c>
      <c r="N121" s="85" t="str">
        <f>IF(ISNUMBER(SEARCH("토1",$H121)),1,"")</f>
      </c>
      <c r="O121" s="85" t="str">
        <f>IF(ISNUMBER(SEARCH("토2",$H121)),1,"")</f>
      </c>
      <c r="P121" s="85" t="str">
        <f>IF(ISNUMBER(SEARCH("토3",$H121)),1,"")</f>
      </c>
      <c r="Q121" s="85" t="str">
        <f>IF(ISNUMBER(SEARCH("일1",$H121)),1,"")</f>
      </c>
      <c r="R121" s="85" t="str">
        <f>IF(ISNUMBER(SEARCH("일2",$H121)),1,"")</f>
      </c>
      <c r="S121" s="85" t="str">
        <f>IF(ISNUMBER(SEARCH("일3",$H121)),1,"")</f>
      </c>
      <c r="T121" s="85" t="n">
        <f>SUM(I121:S121)</f>
        <v>0</v>
      </c>
      <c r="U121" s="175" t="str"/>
    </row>
    <row r="122" ht="23" customHeight="1">
      <c r="A122" s="84" t="n">
        <v>12</v>
      </c>
      <c r="B122" s="171" t="str"/>
      <c r="C122" s="171" t="str"/>
      <c r="D122" s="171" t="str"/>
      <c r="E122" s="172" t="str"/>
      <c r="F122" s="172" t="str"/>
      <c r="G122" s="173" t="str"/>
      <c r="H122" s="174" t="str"/>
      <c r="I122" s="85" t="str">
        <f>IF(ISNUMBER(SEARCH("월",$H122)),1,"")</f>
      </c>
      <c r="J122" s="85" t="str">
        <f>IF(ISNUMBER(SEARCH("화",$H122)),1,"")</f>
      </c>
      <c r="K122" s="85" t="str">
        <f>IF(ISNUMBER(SEARCH("수",$H122)),1,"")</f>
      </c>
      <c r="L122" s="85" t="str">
        <f>IF(ISNUMBER(SEARCH("목",$H122)),1,"")</f>
      </c>
      <c r="M122" s="85" t="str">
        <f>IF(ISNUMBER(SEARCH("금",$H122)),1,"")</f>
      </c>
      <c r="N122" s="85" t="str">
        <f>IF(ISNUMBER(SEARCH("토1",$H122)),1,"")</f>
      </c>
      <c r="O122" s="85" t="str">
        <f>IF(ISNUMBER(SEARCH("토2",$H122)),1,"")</f>
      </c>
      <c r="P122" s="85" t="str">
        <f>IF(ISNUMBER(SEARCH("토3",$H122)),1,"")</f>
      </c>
      <c r="Q122" s="85" t="str">
        <f>IF(ISNUMBER(SEARCH("일1",$H122)),1,"")</f>
      </c>
      <c r="R122" s="85" t="str">
        <f>IF(ISNUMBER(SEARCH("일2",$H122)),1,"")</f>
      </c>
      <c r="S122" s="85" t="str">
        <f>IF(ISNUMBER(SEARCH("일3",$H122)),1,"")</f>
      </c>
      <c r="T122" s="85" t="n">
        <f>SUM(I122:S122)</f>
        <v>0</v>
      </c>
      <c r="U122" s="175" t="str"/>
    </row>
    <row r="123" ht="23" customHeight="1">
      <c r="A123" s="84" t="n">
        <v>13</v>
      </c>
      <c r="B123" s="171" t="str"/>
      <c r="C123" s="171" t="str"/>
      <c r="D123" s="171" t="str"/>
      <c r="E123" s="172" t="str"/>
      <c r="F123" s="172" t="str"/>
      <c r="G123" s="173" t="str"/>
      <c r="H123" s="174" t="str"/>
      <c r="I123" s="85" t="str">
        <f>IF(ISNUMBER(SEARCH("월",$H123)),1,"")</f>
      </c>
      <c r="J123" s="85" t="str">
        <f>IF(ISNUMBER(SEARCH("화",$H123)),1,"")</f>
      </c>
      <c r="K123" s="85" t="str">
        <f>IF(ISNUMBER(SEARCH("수",$H123)),1,"")</f>
      </c>
      <c r="L123" s="85" t="str">
        <f>IF(ISNUMBER(SEARCH("목",$H123)),1,"")</f>
      </c>
      <c r="M123" s="85" t="str">
        <f>IF(ISNUMBER(SEARCH("금",$H123)),1,"")</f>
      </c>
      <c r="N123" s="85" t="str">
        <f>IF(ISNUMBER(SEARCH("토1",$H123)),1,"")</f>
      </c>
      <c r="O123" s="85" t="str">
        <f>IF(ISNUMBER(SEARCH("토2",$H123)),1,"")</f>
      </c>
      <c r="P123" s="85" t="str">
        <f>IF(ISNUMBER(SEARCH("토3",$H123)),1,"")</f>
      </c>
      <c r="Q123" s="85" t="str">
        <f>IF(ISNUMBER(SEARCH("일1",$H123)),1,"")</f>
      </c>
      <c r="R123" s="85" t="str">
        <f>IF(ISNUMBER(SEARCH("일2",$H123)),1,"")</f>
      </c>
      <c r="S123" s="85" t="str">
        <f>IF(ISNUMBER(SEARCH("일3",$H123)),1,"")</f>
      </c>
      <c r="T123" s="85" t="n">
        <f>SUM(I123:S123)</f>
        <v>0</v>
      </c>
      <c r="U123" s="175" t="str"/>
    </row>
    <row r="124" ht="23" customHeight="1">
      <c r="A124" s="84" t="n">
        <v>14</v>
      </c>
      <c r="B124" s="171" t="str"/>
      <c r="C124" s="171" t="str"/>
      <c r="D124" s="171" t="str"/>
      <c r="E124" s="172" t="str"/>
      <c r="F124" s="172" t="str"/>
      <c r="G124" s="173" t="str"/>
      <c r="H124" s="174" t="str"/>
      <c r="I124" s="85" t="str">
        <f>IF(ISNUMBER(SEARCH("월",$H124)),1,"")</f>
      </c>
      <c r="J124" s="85" t="str">
        <f>IF(ISNUMBER(SEARCH("화",$H124)),1,"")</f>
      </c>
      <c r="K124" s="85" t="str">
        <f>IF(ISNUMBER(SEARCH("수",$H124)),1,"")</f>
      </c>
      <c r="L124" s="85" t="str">
        <f>IF(ISNUMBER(SEARCH("목",$H124)),1,"")</f>
      </c>
      <c r="M124" s="85" t="str">
        <f>IF(ISNUMBER(SEARCH("금",$H124)),1,"")</f>
      </c>
      <c r="N124" s="85" t="str">
        <f>IF(ISNUMBER(SEARCH("토1",$H124)),1,"")</f>
      </c>
      <c r="O124" s="85" t="str">
        <f>IF(ISNUMBER(SEARCH("토2",$H124)),1,"")</f>
      </c>
      <c r="P124" s="85" t="str">
        <f>IF(ISNUMBER(SEARCH("토3",$H124)),1,"")</f>
      </c>
      <c r="Q124" s="85" t="str">
        <f>IF(ISNUMBER(SEARCH("일1",$H124)),1,"")</f>
      </c>
      <c r="R124" s="85" t="str">
        <f>IF(ISNUMBER(SEARCH("일2",$H124)),1,"")</f>
      </c>
      <c r="S124" s="85" t="str">
        <f>IF(ISNUMBER(SEARCH("일3",$H124)),1,"")</f>
      </c>
      <c r="T124" s="85" t="n">
        <f>SUM(I124:S124)</f>
        <v>0</v>
      </c>
      <c r="U124" s="175" t="str"/>
    </row>
    <row r="125" ht="23" customHeight="1">
      <c r="A125" s="84" t="n">
        <v>15</v>
      </c>
      <c r="B125" s="171" t="str"/>
      <c r="C125" s="171" t="str"/>
      <c r="D125" s="171" t="str"/>
      <c r="E125" s="172" t="str"/>
      <c r="F125" s="172" t="str"/>
      <c r="G125" s="173" t="str"/>
      <c r="H125" s="174" t="str"/>
      <c r="I125" s="85" t="str">
        <f>IF(ISNUMBER(SEARCH("월",$H125)),1,"")</f>
      </c>
      <c r="J125" s="85" t="str">
        <f>IF(ISNUMBER(SEARCH("화",$H125)),1,"")</f>
      </c>
      <c r="K125" s="85" t="str">
        <f>IF(ISNUMBER(SEARCH("수",$H125)),1,"")</f>
      </c>
      <c r="L125" s="85" t="str">
        <f>IF(ISNUMBER(SEARCH("목",$H125)),1,"")</f>
      </c>
      <c r="M125" s="85" t="str">
        <f>IF(ISNUMBER(SEARCH("금",$H125)),1,"")</f>
      </c>
      <c r="N125" s="85" t="str">
        <f>IF(ISNUMBER(SEARCH("토1",$H125)),1,"")</f>
      </c>
      <c r="O125" s="85" t="str">
        <f>IF(ISNUMBER(SEARCH("토2",$H125)),1,"")</f>
      </c>
      <c r="P125" s="85" t="str">
        <f>IF(ISNUMBER(SEARCH("토3",$H125)),1,"")</f>
      </c>
      <c r="Q125" s="85" t="str">
        <f>IF(ISNUMBER(SEARCH("일1",$H125)),1,"")</f>
      </c>
      <c r="R125" s="85" t="str">
        <f>IF(ISNUMBER(SEARCH("일2",$H125)),1,"")</f>
      </c>
      <c r="S125" s="85" t="str">
        <f>IF(ISNUMBER(SEARCH("일3",$H125)),1,"")</f>
      </c>
      <c r="T125" s="85" t="n">
        <f>SUM(I125:S125)</f>
        <v>0</v>
      </c>
      <c r="U125" s="175" t="str"/>
    </row>
    <row r="126" ht="23" customHeight="1">
      <c r="A126" s="84" t="n">
        <v>16</v>
      </c>
      <c r="B126" s="171" t="str"/>
      <c r="C126" s="171" t="str"/>
      <c r="D126" s="171" t="str"/>
      <c r="E126" s="172" t="str"/>
      <c r="F126" s="172" t="str"/>
      <c r="G126" s="173" t="str"/>
      <c r="H126" s="174" t="str"/>
      <c r="I126" s="85" t="str">
        <f>IF(ISNUMBER(SEARCH("월",$H126)),1,"")</f>
      </c>
      <c r="J126" s="85" t="str">
        <f>IF(ISNUMBER(SEARCH("화",$H126)),1,"")</f>
      </c>
      <c r="K126" s="85" t="str">
        <f>IF(ISNUMBER(SEARCH("수",$H126)),1,"")</f>
      </c>
      <c r="L126" s="85" t="str">
        <f>IF(ISNUMBER(SEARCH("목",$H126)),1,"")</f>
      </c>
      <c r="M126" s="85" t="str">
        <f>IF(ISNUMBER(SEARCH("금",$H126)),1,"")</f>
      </c>
      <c r="N126" s="85" t="str">
        <f>IF(ISNUMBER(SEARCH("토1",$H126)),1,"")</f>
      </c>
      <c r="O126" s="85" t="str">
        <f>IF(ISNUMBER(SEARCH("토2",$H126)),1,"")</f>
      </c>
      <c r="P126" s="85" t="str">
        <f>IF(ISNUMBER(SEARCH("토3",$H126)),1,"")</f>
      </c>
      <c r="Q126" s="85" t="str">
        <f>IF(ISNUMBER(SEARCH("일1",$H126)),1,"")</f>
      </c>
      <c r="R126" s="85" t="str">
        <f>IF(ISNUMBER(SEARCH("일2",$H126)),1,"")</f>
      </c>
      <c r="S126" s="85" t="str">
        <f>IF(ISNUMBER(SEARCH("일3",$H126)),1,"")</f>
      </c>
      <c r="T126" s="85" t="n">
        <f>SUM(I126:S126)</f>
        <v>0</v>
      </c>
      <c r="U126" s="175" t="str"/>
    </row>
    <row r="127" ht="23" customHeight="1">
      <c r="A127" s="84" t="n">
        <v>17</v>
      </c>
      <c r="B127" s="171" t="str"/>
      <c r="C127" s="171" t="str"/>
      <c r="D127" s="171" t="str"/>
      <c r="E127" s="172" t="str"/>
      <c r="F127" s="172" t="str"/>
      <c r="G127" s="173" t="str"/>
      <c r="H127" s="174" t="str"/>
      <c r="I127" s="85" t="str">
        <f>IF(ISNUMBER(SEARCH("월",$H127)),1,"")</f>
      </c>
      <c r="J127" s="85" t="str">
        <f>IF(ISNUMBER(SEARCH("화",$H127)),1,"")</f>
      </c>
      <c r="K127" s="85" t="str">
        <f>IF(ISNUMBER(SEARCH("수",$H127)),1,"")</f>
      </c>
      <c r="L127" s="85" t="str">
        <f>IF(ISNUMBER(SEARCH("목",$H127)),1,"")</f>
      </c>
      <c r="M127" s="85" t="str">
        <f>IF(ISNUMBER(SEARCH("금",$H127)),1,"")</f>
      </c>
      <c r="N127" s="85" t="str">
        <f>IF(ISNUMBER(SEARCH("토1",$H127)),1,"")</f>
      </c>
      <c r="O127" s="85" t="str">
        <f>IF(ISNUMBER(SEARCH("토2",$H127)),1,"")</f>
      </c>
      <c r="P127" s="85" t="str">
        <f>IF(ISNUMBER(SEARCH("토3",$H127)),1,"")</f>
      </c>
      <c r="Q127" s="85" t="str">
        <f>IF(ISNUMBER(SEARCH("일1",$H127)),1,"")</f>
      </c>
      <c r="R127" s="85" t="str">
        <f>IF(ISNUMBER(SEARCH("일2",$H127)),1,"")</f>
      </c>
      <c r="S127" s="85" t="str">
        <f>IF(ISNUMBER(SEARCH("일3",$H127)),1,"")</f>
      </c>
      <c r="T127" s="85" t="n">
        <f>SUM(I127:S127)</f>
        <v>0</v>
      </c>
      <c r="U127" s="175" t="str"/>
    </row>
    <row r="128" ht="23" customHeight="1">
      <c r="A128" s="84" t="n">
        <v>18</v>
      </c>
      <c r="B128" s="171" t="str"/>
      <c r="C128" s="171" t="str"/>
      <c r="D128" s="171" t="str"/>
      <c r="E128" s="172" t="str"/>
      <c r="F128" s="172" t="str"/>
      <c r="G128" s="173" t="str"/>
      <c r="H128" s="174" t="str"/>
      <c r="I128" s="85" t="str">
        <f>IF(ISNUMBER(SEARCH("월",$H128)),1,"")</f>
      </c>
      <c r="J128" s="85" t="str">
        <f>IF(ISNUMBER(SEARCH("화",$H128)),1,"")</f>
      </c>
      <c r="K128" s="85" t="str">
        <f>IF(ISNUMBER(SEARCH("수",$H128)),1,"")</f>
      </c>
      <c r="L128" s="85" t="str">
        <f>IF(ISNUMBER(SEARCH("목",$H128)),1,"")</f>
      </c>
      <c r="M128" s="85" t="str">
        <f>IF(ISNUMBER(SEARCH("금",$H128)),1,"")</f>
      </c>
      <c r="N128" s="85" t="str">
        <f>IF(ISNUMBER(SEARCH("토1",$H128)),1,"")</f>
      </c>
      <c r="O128" s="85" t="str">
        <f>IF(ISNUMBER(SEARCH("토2",$H128)),1,"")</f>
      </c>
      <c r="P128" s="85" t="str">
        <f>IF(ISNUMBER(SEARCH("토3",$H128)),1,"")</f>
      </c>
      <c r="Q128" s="85" t="str">
        <f>IF(ISNUMBER(SEARCH("일1",$H128)),1,"")</f>
      </c>
      <c r="R128" s="85" t="str">
        <f>IF(ISNUMBER(SEARCH("일2",$H128)),1,"")</f>
      </c>
      <c r="S128" s="85" t="str">
        <f>IF(ISNUMBER(SEARCH("일3",$H128)),1,"")</f>
      </c>
      <c r="T128" s="85" t="n">
        <f>SUM(I128:S128)</f>
        <v>0</v>
      </c>
      <c r="U128" s="175" t="str"/>
    </row>
    <row r="129" ht="23" customHeight="1">
      <c r="A129" s="84" t="n">
        <v>19</v>
      </c>
      <c r="B129" s="171" t="str"/>
      <c r="C129" s="171" t="str"/>
      <c r="D129" s="171" t="str"/>
      <c r="E129" s="172" t="str"/>
      <c r="F129" s="172" t="str"/>
      <c r="G129" s="173" t="str"/>
      <c r="H129" s="174" t="str"/>
      <c r="I129" s="85" t="str">
        <f>IF(ISNUMBER(SEARCH("월",$H129)),1,"")</f>
      </c>
      <c r="J129" s="85" t="str">
        <f>IF(ISNUMBER(SEARCH("화",$H129)),1,"")</f>
      </c>
      <c r="K129" s="85" t="str">
        <f>IF(ISNUMBER(SEARCH("수",$H129)),1,"")</f>
      </c>
      <c r="L129" s="85" t="str">
        <f>IF(ISNUMBER(SEARCH("목",$H129)),1,"")</f>
      </c>
      <c r="M129" s="85" t="str">
        <f>IF(ISNUMBER(SEARCH("금",$H129)),1,"")</f>
      </c>
      <c r="N129" s="85" t="str">
        <f>IF(ISNUMBER(SEARCH("토1",$H129)),1,"")</f>
      </c>
      <c r="O129" s="85" t="str">
        <f>IF(ISNUMBER(SEARCH("토2",$H129)),1,"")</f>
      </c>
      <c r="P129" s="85" t="str">
        <f>IF(ISNUMBER(SEARCH("토3",$H129)),1,"")</f>
      </c>
      <c r="Q129" s="85" t="str">
        <f>IF(ISNUMBER(SEARCH("일1",$H129)),1,"")</f>
      </c>
      <c r="R129" s="85" t="str">
        <f>IF(ISNUMBER(SEARCH("일2",$H129)),1,"")</f>
      </c>
      <c r="S129" s="85" t="str">
        <f>IF(ISNUMBER(SEARCH("일3",$H129)),1,"")</f>
      </c>
      <c r="T129" s="85" t="n">
        <f>SUM(I129:S129)</f>
        <v>0</v>
      </c>
      <c r="U129" s="175" t="str"/>
    </row>
    <row r="130" ht="23" customHeight="1">
      <c r="A130" s="84" t="n">
        <v>20</v>
      </c>
      <c r="B130" s="171" t="str"/>
      <c r="C130" s="171" t="str"/>
      <c r="D130" s="171" t="str"/>
      <c r="E130" s="172" t="str"/>
      <c r="F130" s="172" t="str"/>
      <c r="G130" s="173" t="str"/>
      <c r="H130" s="174" t="str"/>
      <c r="I130" s="85" t="str">
        <f>IF(ISNUMBER(SEARCH("월",$H130)),1,"")</f>
      </c>
      <c r="J130" s="85" t="str">
        <f>IF(ISNUMBER(SEARCH("화",$H130)),1,"")</f>
      </c>
      <c r="K130" s="85" t="str">
        <f>IF(ISNUMBER(SEARCH("수",$H130)),1,"")</f>
      </c>
      <c r="L130" s="85" t="str">
        <f>IF(ISNUMBER(SEARCH("목",$H130)),1,"")</f>
      </c>
      <c r="M130" s="85" t="str">
        <f>IF(ISNUMBER(SEARCH("금",$H130)),1,"")</f>
      </c>
      <c r="N130" s="85" t="str">
        <f>IF(ISNUMBER(SEARCH("토1",$H130)),1,"")</f>
      </c>
      <c r="O130" s="85" t="str">
        <f>IF(ISNUMBER(SEARCH("토2",$H130)),1,"")</f>
      </c>
      <c r="P130" s="85" t="str">
        <f>IF(ISNUMBER(SEARCH("토3",$H130)),1,"")</f>
      </c>
      <c r="Q130" s="85" t="str">
        <f>IF(ISNUMBER(SEARCH("일1",$H130)),1,"")</f>
      </c>
      <c r="R130" s="85" t="str">
        <f>IF(ISNUMBER(SEARCH("일2",$H130)),1,"")</f>
      </c>
      <c r="S130" s="85" t="str">
        <f>IF(ISNUMBER(SEARCH("일3",$H130)),1,"")</f>
      </c>
      <c r="T130" s="85" t="n">
        <f>SUM(I130:S130)</f>
        <v>0</v>
      </c>
      <c r="U130" s="175" t="str"/>
    </row>
    <row r="131" ht="27" customHeight="1">
      <c r="A131" s="168" t="str"/>
      <c r="B131" s="169"/>
      <c r="C131" s="169"/>
      <c r="D131" s="169"/>
      <c r="E131" s="169"/>
      <c r="F131" s="169"/>
      <c r="G131" s="169"/>
      <c r="H131" s="169"/>
      <c r="I131" s="169"/>
      <c r="J131" s="169"/>
      <c r="K131" s="169"/>
      <c r="L131" s="169"/>
      <c r="M131" s="169"/>
      <c r="N131" s="169"/>
      <c r="O131" s="169"/>
      <c r="P131" s="169"/>
      <c r="Q131" s="169"/>
      <c r="R131" s="169"/>
      <c r="S131" s="169"/>
      <c r="T131" s="169"/>
      <c r="U131" s="170"/>
    </row>
    <row r="132" ht="23" customHeight="1">
      <c r="A132" s="84" t="n">
        <v>1</v>
      </c>
      <c r="B132" s="171" t="str"/>
      <c r="C132" s="171" t="str"/>
      <c r="D132" s="171" t="str"/>
      <c r="E132" s="172" t="str"/>
      <c r="F132" s="172" t="str"/>
      <c r="G132" s="173" t="str"/>
      <c r="H132" s="174" t="str"/>
      <c r="I132" s="85" t="str">
        <f>IF(ISNUMBER(SEARCH("월",$H132)),1,"")</f>
      </c>
      <c r="J132" s="85" t="str">
        <f>IF(ISNUMBER(SEARCH("화",$H132)),1,"")</f>
      </c>
      <c r="K132" s="85" t="str">
        <f>IF(ISNUMBER(SEARCH("수",$H132)),1,"")</f>
      </c>
      <c r="L132" s="85" t="str">
        <f>IF(ISNUMBER(SEARCH("목",$H132)),1,"")</f>
      </c>
      <c r="M132" s="85" t="str">
        <f>IF(ISNUMBER(SEARCH("금",$H132)),1,"")</f>
      </c>
      <c r="N132" s="85" t="str">
        <f>IF(ISNUMBER(SEARCH("토1",$H132)),1,"")</f>
      </c>
      <c r="O132" s="85" t="str">
        <f>IF(ISNUMBER(SEARCH("토2",$H132)),1,"")</f>
      </c>
      <c r="P132" s="85" t="str">
        <f>IF(ISNUMBER(SEARCH("토3",$H132)),1,"")</f>
      </c>
      <c r="Q132" s="85" t="str">
        <f>IF(ISNUMBER(SEARCH("일1",$H132)),1,"")</f>
      </c>
      <c r="R132" s="85" t="str">
        <f>IF(ISNUMBER(SEARCH("일2",$H132)),1,"")</f>
      </c>
      <c r="S132" s="85" t="str">
        <f>IF(ISNUMBER(SEARCH("일3",$H132)),1,"")</f>
      </c>
      <c r="T132" s="85" t="n">
        <f>SUM(I132:S132)</f>
        <v>0</v>
      </c>
      <c r="U132" s="175" t="str"/>
    </row>
    <row r="133" ht="23" customHeight="1">
      <c r="A133" s="84" t="n">
        <v>2</v>
      </c>
      <c r="B133" s="171" t="str"/>
      <c r="C133" s="171" t="str"/>
      <c r="D133" s="171" t="str"/>
      <c r="E133" s="172" t="str"/>
      <c r="F133" s="172" t="str"/>
      <c r="G133" s="173" t="str"/>
      <c r="H133" s="174" t="str"/>
      <c r="I133" s="85" t="str">
        <f>IF(ISNUMBER(SEARCH("월",$H133)),1,"")</f>
      </c>
      <c r="J133" s="85" t="str">
        <f>IF(ISNUMBER(SEARCH("화",$H133)),1,"")</f>
      </c>
      <c r="K133" s="85" t="str">
        <f>IF(ISNUMBER(SEARCH("수",$H133)),1,"")</f>
      </c>
      <c r="L133" s="85" t="str">
        <f>IF(ISNUMBER(SEARCH("목",$H133)),1,"")</f>
      </c>
      <c r="M133" s="85" t="str">
        <f>IF(ISNUMBER(SEARCH("금",$H133)),1,"")</f>
      </c>
      <c r="N133" s="85" t="str">
        <f>IF(ISNUMBER(SEARCH("토1",$H133)),1,"")</f>
      </c>
      <c r="O133" s="85" t="str">
        <f>IF(ISNUMBER(SEARCH("토2",$H133)),1,"")</f>
      </c>
      <c r="P133" s="85" t="str">
        <f>IF(ISNUMBER(SEARCH("토3",$H133)),1,"")</f>
      </c>
      <c r="Q133" s="85" t="str">
        <f>IF(ISNUMBER(SEARCH("일1",$H133)),1,"")</f>
      </c>
      <c r="R133" s="85" t="str">
        <f>IF(ISNUMBER(SEARCH("일2",$H133)),1,"")</f>
      </c>
      <c r="S133" s="85" t="str">
        <f>IF(ISNUMBER(SEARCH("일3",$H133)),1,"")</f>
      </c>
      <c r="T133" s="85" t="n">
        <f>SUM(I133:S133)</f>
        <v>0</v>
      </c>
      <c r="U133" s="175" t="str"/>
    </row>
    <row r="134" ht="23" customHeight="1">
      <c r="A134" s="84" t="n">
        <v>3</v>
      </c>
      <c r="B134" s="171" t="str"/>
      <c r="C134" s="171" t="str"/>
      <c r="D134" s="171" t="str"/>
      <c r="E134" s="172" t="str"/>
      <c r="F134" s="172" t="str"/>
      <c r="G134" s="173" t="str"/>
      <c r="H134" s="174" t="str"/>
      <c r="I134" s="85" t="str">
        <f>IF(ISNUMBER(SEARCH("월",$H134)),1,"")</f>
      </c>
      <c r="J134" s="85" t="str">
        <f>IF(ISNUMBER(SEARCH("화",$H134)),1,"")</f>
      </c>
      <c r="K134" s="85" t="str">
        <f>IF(ISNUMBER(SEARCH("수",$H134)),1,"")</f>
      </c>
      <c r="L134" s="85" t="str">
        <f>IF(ISNUMBER(SEARCH("목",$H134)),1,"")</f>
      </c>
      <c r="M134" s="85" t="str">
        <f>IF(ISNUMBER(SEARCH("금",$H134)),1,"")</f>
      </c>
      <c r="N134" s="85" t="str">
        <f>IF(ISNUMBER(SEARCH("토1",$H134)),1,"")</f>
      </c>
      <c r="O134" s="85" t="str">
        <f>IF(ISNUMBER(SEARCH("토2",$H134)),1,"")</f>
      </c>
      <c r="P134" s="85" t="str">
        <f>IF(ISNUMBER(SEARCH("토3",$H134)),1,"")</f>
      </c>
      <c r="Q134" s="85" t="str">
        <f>IF(ISNUMBER(SEARCH("일1",$H134)),1,"")</f>
      </c>
      <c r="R134" s="85" t="str">
        <f>IF(ISNUMBER(SEARCH("일2",$H134)),1,"")</f>
      </c>
      <c r="S134" s="85" t="str">
        <f>IF(ISNUMBER(SEARCH("일3",$H134)),1,"")</f>
      </c>
      <c r="T134" s="85" t="n">
        <f>SUM(I134:S134)</f>
        <v>0</v>
      </c>
      <c r="U134" s="175" t="str"/>
    </row>
    <row r="135" ht="23" customHeight="1">
      <c r="A135" s="84" t="n">
        <v>4</v>
      </c>
      <c r="B135" s="171" t="str"/>
      <c r="C135" s="171" t="str"/>
      <c r="D135" s="171" t="str"/>
      <c r="E135" s="172" t="str"/>
      <c r="F135" s="172" t="str"/>
      <c r="G135" s="173" t="str"/>
      <c r="H135" s="174" t="str"/>
      <c r="I135" s="85" t="str">
        <f>IF(ISNUMBER(SEARCH("월",$H135)),1,"")</f>
      </c>
      <c r="J135" s="85" t="str">
        <f>IF(ISNUMBER(SEARCH("화",$H135)),1,"")</f>
      </c>
      <c r="K135" s="85" t="str">
        <f>IF(ISNUMBER(SEARCH("수",$H135)),1,"")</f>
      </c>
      <c r="L135" s="85" t="str">
        <f>IF(ISNUMBER(SEARCH("목",$H135)),1,"")</f>
      </c>
      <c r="M135" s="85" t="str">
        <f>IF(ISNUMBER(SEARCH("금",$H135)),1,"")</f>
      </c>
      <c r="N135" s="85" t="str">
        <f>IF(ISNUMBER(SEARCH("토1",$H135)),1,"")</f>
      </c>
      <c r="O135" s="85" t="str">
        <f>IF(ISNUMBER(SEARCH("토2",$H135)),1,"")</f>
      </c>
      <c r="P135" s="85" t="str">
        <f>IF(ISNUMBER(SEARCH("토3",$H135)),1,"")</f>
      </c>
      <c r="Q135" s="85" t="str">
        <f>IF(ISNUMBER(SEARCH("일1",$H135)),1,"")</f>
      </c>
      <c r="R135" s="85" t="str">
        <f>IF(ISNUMBER(SEARCH("일2",$H135)),1,"")</f>
      </c>
      <c r="S135" s="85" t="str">
        <f>IF(ISNUMBER(SEARCH("일3",$H135)),1,"")</f>
      </c>
      <c r="T135" s="85" t="n">
        <f>SUM(I135:S135)</f>
        <v>0</v>
      </c>
      <c r="U135" s="175" t="str"/>
    </row>
    <row r="136" ht="23" customHeight="1">
      <c r="A136" s="84" t="n">
        <v>5</v>
      </c>
      <c r="B136" s="171" t="str"/>
      <c r="C136" s="171" t="str"/>
      <c r="D136" s="171" t="str"/>
      <c r="E136" s="172" t="str"/>
      <c r="F136" s="172" t="str"/>
      <c r="G136" s="173" t="str"/>
      <c r="H136" s="174" t="str"/>
      <c r="I136" s="85" t="str">
        <f>IF(ISNUMBER(SEARCH("월",$H136)),1,"")</f>
      </c>
      <c r="J136" s="85" t="str">
        <f>IF(ISNUMBER(SEARCH("화",$H136)),1,"")</f>
      </c>
      <c r="K136" s="85" t="str">
        <f>IF(ISNUMBER(SEARCH("수",$H136)),1,"")</f>
      </c>
      <c r="L136" s="85" t="str">
        <f>IF(ISNUMBER(SEARCH("목",$H136)),1,"")</f>
      </c>
      <c r="M136" s="85" t="str">
        <f>IF(ISNUMBER(SEARCH("금",$H136)),1,"")</f>
      </c>
      <c r="N136" s="85" t="str">
        <f>IF(ISNUMBER(SEARCH("토1",$H136)),1,"")</f>
      </c>
      <c r="O136" s="85" t="str">
        <f>IF(ISNUMBER(SEARCH("토2",$H136)),1,"")</f>
      </c>
      <c r="P136" s="85" t="str">
        <f>IF(ISNUMBER(SEARCH("토3",$H136)),1,"")</f>
      </c>
      <c r="Q136" s="85" t="str">
        <f>IF(ISNUMBER(SEARCH("일1",$H136)),1,"")</f>
      </c>
      <c r="R136" s="85" t="str">
        <f>IF(ISNUMBER(SEARCH("일2",$H136)),1,"")</f>
      </c>
      <c r="S136" s="85" t="str">
        <f>IF(ISNUMBER(SEARCH("일3",$H136)),1,"")</f>
      </c>
      <c r="T136" s="85" t="n">
        <f>SUM(I136:S136)</f>
        <v>0</v>
      </c>
      <c r="U136" s="175" t="str"/>
    </row>
    <row r="137" ht="23" customHeight="1">
      <c r="A137" s="84" t="n">
        <v>6</v>
      </c>
      <c r="B137" s="171" t="str"/>
      <c r="C137" s="171" t="str"/>
      <c r="D137" s="171" t="str"/>
      <c r="E137" s="172" t="str"/>
      <c r="F137" s="172" t="str"/>
      <c r="G137" s="173" t="str"/>
      <c r="H137" s="174" t="str"/>
      <c r="I137" s="85" t="str">
        <f>IF(ISNUMBER(SEARCH("월",$H137)),1,"")</f>
      </c>
      <c r="J137" s="85" t="str">
        <f>IF(ISNUMBER(SEARCH("화",$H137)),1,"")</f>
      </c>
      <c r="K137" s="85" t="str">
        <f>IF(ISNUMBER(SEARCH("수",$H137)),1,"")</f>
      </c>
      <c r="L137" s="85" t="str">
        <f>IF(ISNUMBER(SEARCH("목",$H137)),1,"")</f>
      </c>
      <c r="M137" s="85" t="str">
        <f>IF(ISNUMBER(SEARCH("금",$H137)),1,"")</f>
      </c>
      <c r="N137" s="85" t="str">
        <f>IF(ISNUMBER(SEARCH("토1",$H137)),1,"")</f>
      </c>
      <c r="O137" s="85" t="str">
        <f>IF(ISNUMBER(SEARCH("토2",$H137)),1,"")</f>
      </c>
      <c r="P137" s="85" t="str">
        <f>IF(ISNUMBER(SEARCH("토3",$H137)),1,"")</f>
      </c>
      <c r="Q137" s="85" t="str">
        <f>IF(ISNUMBER(SEARCH("일1",$H137)),1,"")</f>
      </c>
      <c r="R137" s="85" t="str">
        <f>IF(ISNUMBER(SEARCH("일2",$H137)),1,"")</f>
      </c>
      <c r="S137" s="85" t="str">
        <f>IF(ISNUMBER(SEARCH("일3",$H137)),1,"")</f>
      </c>
      <c r="T137" s="85" t="n">
        <f>SUM(I137:S137)</f>
        <v>0</v>
      </c>
      <c r="U137" s="175" t="str"/>
    </row>
    <row r="138" ht="23" customHeight="1">
      <c r="A138" s="84" t="n">
        <v>7</v>
      </c>
      <c r="B138" s="171" t="str"/>
      <c r="C138" s="171" t="str"/>
      <c r="D138" s="171" t="str"/>
      <c r="E138" s="172" t="str"/>
      <c r="F138" s="172" t="str"/>
      <c r="G138" s="173" t="str"/>
      <c r="H138" s="174" t="str"/>
      <c r="I138" s="85" t="str">
        <f>IF(ISNUMBER(SEARCH("월",$H138)),1,"")</f>
      </c>
      <c r="J138" s="85" t="str">
        <f>IF(ISNUMBER(SEARCH("화",$H138)),1,"")</f>
      </c>
      <c r="K138" s="85" t="str">
        <f>IF(ISNUMBER(SEARCH("수",$H138)),1,"")</f>
      </c>
      <c r="L138" s="85" t="str">
        <f>IF(ISNUMBER(SEARCH("목",$H138)),1,"")</f>
      </c>
      <c r="M138" s="85" t="str">
        <f>IF(ISNUMBER(SEARCH("금",$H138)),1,"")</f>
      </c>
      <c r="N138" s="85" t="str">
        <f>IF(ISNUMBER(SEARCH("토1",$H138)),1,"")</f>
      </c>
      <c r="O138" s="85" t="str">
        <f>IF(ISNUMBER(SEARCH("토2",$H138)),1,"")</f>
      </c>
      <c r="P138" s="85" t="str">
        <f>IF(ISNUMBER(SEARCH("토3",$H138)),1,"")</f>
      </c>
      <c r="Q138" s="85" t="str">
        <f>IF(ISNUMBER(SEARCH("일1",$H138)),1,"")</f>
      </c>
      <c r="R138" s="85" t="str">
        <f>IF(ISNUMBER(SEARCH("일2",$H138)),1,"")</f>
      </c>
      <c r="S138" s="85" t="str">
        <f>IF(ISNUMBER(SEARCH("일3",$H138)),1,"")</f>
      </c>
      <c r="T138" s="85" t="n">
        <f>SUM(I138:S138)</f>
        <v>0</v>
      </c>
      <c r="U138" s="175" t="str"/>
    </row>
    <row r="139" ht="23" customHeight="1">
      <c r="A139" s="84" t="n">
        <v>8</v>
      </c>
      <c r="B139" s="171" t="str"/>
      <c r="C139" s="171" t="str"/>
      <c r="D139" s="171" t="str"/>
      <c r="E139" s="172" t="str"/>
      <c r="F139" s="172" t="str"/>
      <c r="G139" s="173" t="str"/>
      <c r="H139" s="174" t="str"/>
      <c r="I139" s="85" t="str">
        <f>IF(ISNUMBER(SEARCH("월",$H139)),1,"")</f>
      </c>
      <c r="J139" s="85" t="str">
        <f>IF(ISNUMBER(SEARCH("화",$H139)),1,"")</f>
      </c>
      <c r="K139" s="85" t="str">
        <f>IF(ISNUMBER(SEARCH("수",$H139)),1,"")</f>
      </c>
      <c r="L139" s="85" t="str">
        <f>IF(ISNUMBER(SEARCH("목",$H139)),1,"")</f>
      </c>
      <c r="M139" s="85" t="str">
        <f>IF(ISNUMBER(SEARCH("금",$H139)),1,"")</f>
      </c>
      <c r="N139" s="85" t="str">
        <f>IF(ISNUMBER(SEARCH("토1",$H139)),1,"")</f>
      </c>
      <c r="O139" s="85" t="str">
        <f>IF(ISNUMBER(SEARCH("토2",$H139)),1,"")</f>
      </c>
      <c r="P139" s="85" t="str">
        <f>IF(ISNUMBER(SEARCH("토3",$H139)),1,"")</f>
      </c>
      <c r="Q139" s="85" t="str">
        <f>IF(ISNUMBER(SEARCH("일1",$H139)),1,"")</f>
      </c>
      <c r="R139" s="85" t="str">
        <f>IF(ISNUMBER(SEARCH("일2",$H139)),1,"")</f>
      </c>
      <c r="S139" s="85" t="str">
        <f>IF(ISNUMBER(SEARCH("일3",$H139)),1,"")</f>
      </c>
      <c r="T139" s="85" t="n">
        <f>SUM(I139:S139)</f>
        <v>0</v>
      </c>
      <c r="U139" s="175" t="str"/>
    </row>
    <row r="140" ht="23" customHeight="1">
      <c r="A140" s="84" t="n">
        <v>9</v>
      </c>
      <c r="B140" s="171" t="str"/>
      <c r="C140" s="171" t="str"/>
      <c r="D140" s="171" t="str"/>
      <c r="E140" s="172" t="str"/>
      <c r="F140" s="172" t="str"/>
      <c r="G140" s="173" t="str"/>
      <c r="H140" s="174" t="str"/>
      <c r="I140" s="85" t="str">
        <f>IF(ISNUMBER(SEARCH("월",$H140)),1,"")</f>
      </c>
      <c r="J140" s="85" t="str">
        <f>IF(ISNUMBER(SEARCH("화",$H140)),1,"")</f>
      </c>
      <c r="K140" s="85" t="str">
        <f>IF(ISNUMBER(SEARCH("수",$H140)),1,"")</f>
      </c>
      <c r="L140" s="85" t="str">
        <f>IF(ISNUMBER(SEARCH("목",$H140)),1,"")</f>
      </c>
      <c r="M140" s="85" t="str">
        <f>IF(ISNUMBER(SEARCH("금",$H140)),1,"")</f>
      </c>
      <c r="N140" s="85" t="str">
        <f>IF(ISNUMBER(SEARCH("토1",$H140)),1,"")</f>
      </c>
      <c r="O140" s="85" t="str">
        <f>IF(ISNUMBER(SEARCH("토2",$H140)),1,"")</f>
      </c>
      <c r="P140" s="85" t="str">
        <f>IF(ISNUMBER(SEARCH("토3",$H140)),1,"")</f>
      </c>
      <c r="Q140" s="85" t="str">
        <f>IF(ISNUMBER(SEARCH("일1",$H140)),1,"")</f>
      </c>
      <c r="R140" s="85" t="str">
        <f>IF(ISNUMBER(SEARCH("일2",$H140)),1,"")</f>
      </c>
      <c r="S140" s="85" t="str">
        <f>IF(ISNUMBER(SEARCH("일3",$H140)),1,"")</f>
      </c>
      <c r="T140" s="85" t="n">
        <f>SUM(I140:S140)</f>
        <v>0</v>
      </c>
      <c r="U140" s="175" t="str"/>
    </row>
    <row r="141" ht="23" customHeight="1">
      <c r="A141" s="84" t="n">
        <v>10</v>
      </c>
      <c r="B141" s="171" t="str"/>
      <c r="C141" s="171" t="str"/>
      <c r="D141" s="171" t="str"/>
      <c r="E141" s="172" t="str"/>
      <c r="F141" s="172" t="str"/>
      <c r="G141" s="173" t="str"/>
      <c r="H141" s="174" t="str"/>
      <c r="I141" s="85" t="str">
        <f>IF(ISNUMBER(SEARCH("월",$H141)),1,"")</f>
      </c>
      <c r="J141" s="85" t="str">
        <f>IF(ISNUMBER(SEARCH("화",$H141)),1,"")</f>
      </c>
      <c r="K141" s="85" t="str">
        <f>IF(ISNUMBER(SEARCH("수",$H141)),1,"")</f>
      </c>
      <c r="L141" s="85" t="str">
        <f>IF(ISNUMBER(SEARCH("목",$H141)),1,"")</f>
      </c>
      <c r="M141" s="85" t="str">
        <f>IF(ISNUMBER(SEARCH("금",$H141)),1,"")</f>
      </c>
      <c r="N141" s="85" t="str">
        <f>IF(ISNUMBER(SEARCH("토1",$H141)),1,"")</f>
      </c>
      <c r="O141" s="85" t="str">
        <f>IF(ISNUMBER(SEARCH("토2",$H141)),1,"")</f>
      </c>
      <c r="P141" s="85" t="str">
        <f>IF(ISNUMBER(SEARCH("토3",$H141)),1,"")</f>
      </c>
      <c r="Q141" s="85" t="str">
        <f>IF(ISNUMBER(SEARCH("일1",$H141)),1,"")</f>
      </c>
      <c r="R141" s="85" t="str">
        <f>IF(ISNUMBER(SEARCH("일2",$H141)),1,"")</f>
      </c>
      <c r="S141" s="85" t="str">
        <f>IF(ISNUMBER(SEARCH("일3",$H141)),1,"")</f>
      </c>
      <c r="T141" s="85" t="n">
        <f>SUM(I141:S141)</f>
        <v>0</v>
      </c>
      <c r="U141" s="175" t="str"/>
    </row>
    <row r="142" ht="23" customHeight="1">
      <c r="A142" s="84" t="n">
        <v>11</v>
      </c>
      <c r="B142" s="171" t="str"/>
      <c r="C142" s="171" t="str"/>
      <c r="D142" s="171" t="str"/>
      <c r="E142" s="172" t="str"/>
      <c r="F142" s="172" t="str"/>
      <c r="G142" s="173" t="str"/>
      <c r="H142" s="174" t="str"/>
      <c r="I142" s="85" t="str">
        <f>IF(ISNUMBER(SEARCH("월",$H142)),1,"")</f>
      </c>
      <c r="J142" s="85" t="str">
        <f>IF(ISNUMBER(SEARCH("화",$H142)),1,"")</f>
      </c>
      <c r="K142" s="85" t="str">
        <f>IF(ISNUMBER(SEARCH("수",$H142)),1,"")</f>
      </c>
      <c r="L142" s="85" t="str">
        <f>IF(ISNUMBER(SEARCH("목",$H142)),1,"")</f>
      </c>
      <c r="M142" s="85" t="str">
        <f>IF(ISNUMBER(SEARCH("금",$H142)),1,"")</f>
      </c>
      <c r="N142" s="85" t="str">
        <f>IF(ISNUMBER(SEARCH("토1",$H142)),1,"")</f>
      </c>
      <c r="O142" s="85" t="str">
        <f>IF(ISNUMBER(SEARCH("토2",$H142)),1,"")</f>
      </c>
      <c r="P142" s="85" t="str">
        <f>IF(ISNUMBER(SEARCH("토3",$H142)),1,"")</f>
      </c>
      <c r="Q142" s="85" t="str">
        <f>IF(ISNUMBER(SEARCH("일1",$H142)),1,"")</f>
      </c>
      <c r="R142" s="85" t="str">
        <f>IF(ISNUMBER(SEARCH("일2",$H142)),1,"")</f>
      </c>
      <c r="S142" s="85" t="str">
        <f>IF(ISNUMBER(SEARCH("일3",$H142)),1,"")</f>
      </c>
      <c r="T142" s="85" t="n">
        <f>SUM(I142:S142)</f>
        <v>0</v>
      </c>
      <c r="U142" s="175" t="str"/>
    </row>
    <row r="143" ht="23" customHeight="1">
      <c r="A143" s="84" t="n">
        <v>12</v>
      </c>
      <c r="B143" s="171" t="str"/>
      <c r="C143" s="171" t="str"/>
      <c r="D143" s="171" t="str"/>
      <c r="E143" s="172" t="str"/>
      <c r="F143" s="172" t="str"/>
      <c r="G143" s="173" t="str"/>
      <c r="H143" s="174" t="str"/>
      <c r="I143" s="85" t="str">
        <f>IF(ISNUMBER(SEARCH("월",$H143)),1,"")</f>
      </c>
      <c r="J143" s="85" t="str">
        <f>IF(ISNUMBER(SEARCH("화",$H143)),1,"")</f>
      </c>
      <c r="K143" s="85" t="str">
        <f>IF(ISNUMBER(SEARCH("수",$H143)),1,"")</f>
      </c>
      <c r="L143" s="85" t="str">
        <f>IF(ISNUMBER(SEARCH("목",$H143)),1,"")</f>
      </c>
      <c r="M143" s="85" t="str">
        <f>IF(ISNUMBER(SEARCH("금",$H143)),1,"")</f>
      </c>
      <c r="N143" s="85" t="str">
        <f>IF(ISNUMBER(SEARCH("토1",$H143)),1,"")</f>
      </c>
      <c r="O143" s="85" t="str">
        <f>IF(ISNUMBER(SEARCH("토2",$H143)),1,"")</f>
      </c>
      <c r="P143" s="85" t="str">
        <f>IF(ISNUMBER(SEARCH("토3",$H143)),1,"")</f>
      </c>
      <c r="Q143" s="85" t="str">
        <f>IF(ISNUMBER(SEARCH("일1",$H143)),1,"")</f>
      </c>
      <c r="R143" s="85" t="str">
        <f>IF(ISNUMBER(SEARCH("일2",$H143)),1,"")</f>
      </c>
      <c r="S143" s="85" t="str">
        <f>IF(ISNUMBER(SEARCH("일3",$H143)),1,"")</f>
      </c>
      <c r="T143" s="85" t="n">
        <f>SUM(I143:S143)</f>
        <v>0</v>
      </c>
      <c r="U143" s="175" t="str"/>
    </row>
    <row r="144" ht="23" customHeight="1">
      <c r="A144" s="84" t="n">
        <v>13</v>
      </c>
      <c r="B144" s="171" t="str"/>
      <c r="C144" s="171" t="str"/>
      <c r="D144" s="171" t="str"/>
      <c r="E144" s="172" t="str"/>
      <c r="F144" s="172" t="str"/>
      <c r="G144" s="173" t="str"/>
      <c r="H144" s="174" t="str"/>
      <c r="I144" s="85" t="str">
        <f>IF(ISNUMBER(SEARCH("월",$H144)),1,"")</f>
      </c>
      <c r="J144" s="85" t="str">
        <f>IF(ISNUMBER(SEARCH("화",$H144)),1,"")</f>
      </c>
      <c r="K144" s="85" t="str">
        <f>IF(ISNUMBER(SEARCH("수",$H144)),1,"")</f>
      </c>
      <c r="L144" s="85" t="str">
        <f>IF(ISNUMBER(SEARCH("목",$H144)),1,"")</f>
      </c>
      <c r="M144" s="85" t="str">
        <f>IF(ISNUMBER(SEARCH("금",$H144)),1,"")</f>
      </c>
      <c r="N144" s="85" t="str">
        <f>IF(ISNUMBER(SEARCH("토1",$H144)),1,"")</f>
      </c>
      <c r="O144" s="85" t="str">
        <f>IF(ISNUMBER(SEARCH("토2",$H144)),1,"")</f>
      </c>
      <c r="P144" s="85" t="str">
        <f>IF(ISNUMBER(SEARCH("토3",$H144)),1,"")</f>
      </c>
      <c r="Q144" s="85" t="str">
        <f>IF(ISNUMBER(SEARCH("일1",$H144)),1,"")</f>
      </c>
      <c r="R144" s="85" t="str">
        <f>IF(ISNUMBER(SEARCH("일2",$H144)),1,"")</f>
      </c>
      <c r="S144" s="85" t="str">
        <f>IF(ISNUMBER(SEARCH("일3",$H144)),1,"")</f>
      </c>
      <c r="T144" s="85" t="n">
        <f>SUM(I144:S144)</f>
        <v>0</v>
      </c>
      <c r="U144" s="175" t="str"/>
    </row>
    <row r="145" ht="23" customHeight="1">
      <c r="A145" s="84" t="n">
        <v>14</v>
      </c>
      <c r="B145" s="171" t="str"/>
      <c r="C145" s="171" t="str"/>
      <c r="D145" s="171" t="str"/>
      <c r="E145" s="172" t="str"/>
      <c r="F145" s="172" t="str"/>
      <c r="G145" s="173" t="str"/>
      <c r="H145" s="174" t="str"/>
      <c r="I145" s="85" t="str">
        <f>IF(ISNUMBER(SEARCH("월",$H145)),1,"")</f>
      </c>
      <c r="J145" s="85" t="str">
        <f>IF(ISNUMBER(SEARCH("화",$H145)),1,"")</f>
      </c>
      <c r="K145" s="85" t="str">
        <f>IF(ISNUMBER(SEARCH("수",$H145)),1,"")</f>
      </c>
      <c r="L145" s="85" t="str">
        <f>IF(ISNUMBER(SEARCH("목",$H145)),1,"")</f>
      </c>
      <c r="M145" s="85" t="str">
        <f>IF(ISNUMBER(SEARCH("금",$H145)),1,"")</f>
      </c>
      <c r="N145" s="85" t="str">
        <f>IF(ISNUMBER(SEARCH("토1",$H145)),1,"")</f>
      </c>
      <c r="O145" s="85" t="str">
        <f>IF(ISNUMBER(SEARCH("토2",$H145)),1,"")</f>
      </c>
      <c r="P145" s="85" t="str">
        <f>IF(ISNUMBER(SEARCH("토3",$H145)),1,"")</f>
      </c>
      <c r="Q145" s="85" t="str">
        <f>IF(ISNUMBER(SEARCH("일1",$H145)),1,"")</f>
      </c>
      <c r="R145" s="85" t="str">
        <f>IF(ISNUMBER(SEARCH("일2",$H145)),1,"")</f>
      </c>
      <c r="S145" s="85" t="str">
        <f>IF(ISNUMBER(SEARCH("일3",$H145)),1,"")</f>
      </c>
      <c r="T145" s="85" t="n">
        <f>SUM(I145:S145)</f>
        <v>0</v>
      </c>
      <c r="U145" s="175" t="str"/>
    </row>
    <row r="146" ht="23" customHeight="1">
      <c r="A146" s="84" t="n">
        <v>15</v>
      </c>
      <c r="B146" s="171" t="str"/>
      <c r="C146" s="171" t="str"/>
      <c r="D146" s="171" t="str"/>
      <c r="E146" s="172" t="str"/>
      <c r="F146" s="172" t="str"/>
      <c r="G146" s="173" t="str"/>
      <c r="H146" s="174" t="str"/>
      <c r="I146" s="85" t="str">
        <f>IF(ISNUMBER(SEARCH("월",$H146)),1,"")</f>
      </c>
      <c r="J146" s="85" t="str">
        <f>IF(ISNUMBER(SEARCH("화",$H146)),1,"")</f>
      </c>
      <c r="K146" s="85" t="str">
        <f>IF(ISNUMBER(SEARCH("수",$H146)),1,"")</f>
      </c>
      <c r="L146" s="85" t="str">
        <f>IF(ISNUMBER(SEARCH("목",$H146)),1,"")</f>
      </c>
      <c r="M146" s="85" t="str">
        <f>IF(ISNUMBER(SEARCH("금",$H146)),1,"")</f>
      </c>
      <c r="N146" s="85" t="str">
        <f>IF(ISNUMBER(SEARCH("토1",$H146)),1,"")</f>
      </c>
      <c r="O146" s="85" t="str">
        <f>IF(ISNUMBER(SEARCH("토2",$H146)),1,"")</f>
      </c>
      <c r="P146" s="85" t="str">
        <f>IF(ISNUMBER(SEARCH("토3",$H146)),1,"")</f>
      </c>
      <c r="Q146" s="85" t="str">
        <f>IF(ISNUMBER(SEARCH("일1",$H146)),1,"")</f>
      </c>
      <c r="R146" s="85" t="str">
        <f>IF(ISNUMBER(SEARCH("일2",$H146)),1,"")</f>
      </c>
      <c r="S146" s="85" t="str">
        <f>IF(ISNUMBER(SEARCH("일3",$H146)),1,"")</f>
      </c>
      <c r="T146" s="85" t="n">
        <f>SUM(I146:S146)</f>
        <v>0</v>
      </c>
      <c r="U146" s="175" t="str"/>
    </row>
    <row r="147" ht="23" customHeight="1">
      <c r="A147" s="84" t="n">
        <v>16</v>
      </c>
      <c r="B147" s="171" t="str"/>
      <c r="C147" s="171" t="str"/>
      <c r="D147" s="171" t="str"/>
      <c r="E147" s="172" t="str"/>
      <c r="F147" s="172" t="str"/>
      <c r="G147" s="173" t="str"/>
      <c r="H147" s="174" t="str"/>
      <c r="I147" s="85" t="str">
        <f>IF(ISNUMBER(SEARCH("월",$H147)),1,"")</f>
      </c>
      <c r="J147" s="85" t="str">
        <f>IF(ISNUMBER(SEARCH("화",$H147)),1,"")</f>
      </c>
      <c r="K147" s="85" t="str">
        <f>IF(ISNUMBER(SEARCH("수",$H147)),1,"")</f>
      </c>
      <c r="L147" s="85" t="str">
        <f>IF(ISNUMBER(SEARCH("목",$H147)),1,"")</f>
      </c>
      <c r="M147" s="85" t="str">
        <f>IF(ISNUMBER(SEARCH("금",$H147)),1,"")</f>
      </c>
      <c r="N147" s="85" t="str">
        <f>IF(ISNUMBER(SEARCH("토1",$H147)),1,"")</f>
      </c>
      <c r="O147" s="85" t="str">
        <f>IF(ISNUMBER(SEARCH("토2",$H147)),1,"")</f>
      </c>
      <c r="P147" s="85" t="str">
        <f>IF(ISNUMBER(SEARCH("토3",$H147)),1,"")</f>
      </c>
      <c r="Q147" s="85" t="str">
        <f>IF(ISNUMBER(SEARCH("일1",$H147)),1,"")</f>
      </c>
      <c r="R147" s="85" t="str">
        <f>IF(ISNUMBER(SEARCH("일2",$H147)),1,"")</f>
      </c>
      <c r="S147" s="85" t="str">
        <f>IF(ISNUMBER(SEARCH("일3",$H147)),1,"")</f>
      </c>
      <c r="T147" s="85" t="n">
        <f>SUM(I147:S147)</f>
        <v>0</v>
      </c>
      <c r="U147" s="175" t="str"/>
    </row>
    <row r="148" ht="23" customHeight="1">
      <c r="A148" s="84" t="n">
        <v>17</v>
      </c>
      <c r="B148" s="171" t="str"/>
      <c r="C148" s="171" t="str"/>
      <c r="D148" s="171" t="str"/>
      <c r="E148" s="172" t="str"/>
      <c r="F148" s="172" t="str"/>
      <c r="G148" s="173" t="str"/>
      <c r="H148" s="174" t="str"/>
      <c r="I148" s="85" t="str">
        <f>IF(ISNUMBER(SEARCH("월",$H148)),1,"")</f>
      </c>
      <c r="J148" s="85" t="str">
        <f>IF(ISNUMBER(SEARCH("화",$H148)),1,"")</f>
      </c>
      <c r="K148" s="85" t="str">
        <f>IF(ISNUMBER(SEARCH("수",$H148)),1,"")</f>
      </c>
      <c r="L148" s="85" t="str">
        <f>IF(ISNUMBER(SEARCH("목",$H148)),1,"")</f>
      </c>
      <c r="M148" s="85" t="str">
        <f>IF(ISNUMBER(SEARCH("금",$H148)),1,"")</f>
      </c>
      <c r="N148" s="85" t="str">
        <f>IF(ISNUMBER(SEARCH("토1",$H148)),1,"")</f>
      </c>
      <c r="O148" s="85" t="str">
        <f>IF(ISNUMBER(SEARCH("토2",$H148)),1,"")</f>
      </c>
      <c r="P148" s="85" t="str">
        <f>IF(ISNUMBER(SEARCH("토3",$H148)),1,"")</f>
      </c>
      <c r="Q148" s="85" t="str">
        <f>IF(ISNUMBER(SEARCH("일1",$H148)),1,"")</f>
      </c>
      <c r="R148" s="85" t="str">
        <f>IF(ISNUMBER(SEARCH("일2",$H148)),1,"")</f>
      </c>
      <c r="S148" s="85" t="str">
        <f>IF(ISNUMBER(SEARCH("일3",$H148)),1,"")</f>
      </c>
      <c r="T148" s="85" t="n">
        <f>SUM(I148:S148)</f>
        <v>0</v>
      </c>
      <c r="U148" s="175" t="str"/>
    </row>
    <row r="149" ht="23" customHeight="1">
      <c r="A149" s="84" t="n">
        <v>18</v>
      </c>
      <c r="B149" s="171" t="str"/>
      <c r="C149" s="171" t="str"/>
      <c r="D149" s="171" t="str"/>
      <c r="E149" s="172" t="str"/>
      <c r="F149" s="172" t="str"/>
      <c r="G149" s="173" t="str"/>
      <c r="H149" s="174" t="str"/>
      <c r="I149" s="85" t="str">
        <f>IF(ISNUMBER(SEARCH("월",$H149)),1,"")</f>
      </c>
      <c r="J149" s="85" t="str">
        <f>IF(ISNUMBER(SEARCH("화",$H149)),1,"")</f>
      </c>
      <c r="K149" s="85" t="str">
        <f>IF(ISNUMBER(SEARCH("수",$H149)),1,"")</f>
      </c>
      <c r="L149" s="85" t="str">
        <f>IF(ISNUMBER(SEARCH("목",$H149)),1,"")</f>
      </c>
      <c r="M149" s="85" t="str">
        <f>IF(ISNUMBER(SEARCH("금",$H149)),1,"")</f>
      </c>
      <c r="N149" s="85" t="str">
        <f>IF(ISNUMBER(SEARCH("토1",$H149)),1,"")</f>
      </c>
      <c r="O149" s="85" t="str">
        <f>IF(ISNUMBER(SEARCH("토2",$H149)),1,"")</f>
      </c>
      <c r="P149" s="85" t="str">
        <f>IF(ISNUMBER(SEARCH("토3",$H149)),1,"")</f>
      </c>
      <c r="Q149" s="85" t="str">
        <f>IF(ISNUMBER(SEARCH("일1",$H149)),1,"")</f>
      </c>
      <c r="R149" s="85" t="str">
        <f>IF(ISNUMBER(SEARCH("일2",$H149)),1,"")</f>
      </c>
      <c r="S149" s="85" t="str">
        <f>IF(ISNUMBER(SEARCH("일3",$H149)),1,"")</f>
      </c>
      <c r="T149" s="85" t="n">
        <f>SUM(I149:S149)</f>
        <v>0</v>
      </c>
      <c r="U149" s="175" t="str"/>
    </row>
    <row r="150" ht="23" customHeight="1">
      <c r="A150" s="84" t="n">
        <v>19</v>
      </c>
      <c r="B150" s="171" t="str"/>
      <c r="C150" s="171" t="str"/>
      <c r="D150" s="171" t="str"/>
      <c r="E150" s="172" t="str"/>
      <c r="F150" s="172" t="str"/>
      <c r="G150" s="173" t="str"/>
      <c r="H150" s="174" t="str"/>
      <c r="I150" s="85" t="str">
        <f>IF(ISNUMBER(SEARCH("월",$H150)),1,"")</f>
      </c>
      <c r="J150" s="85" t="str">
        <f>IF(ISNUMBER(SEARCH("화",$H150)),1,"")</f>
      </c>
      <c r="K150" s="85" t="str">
        <f>IF(ISNUMBER(SEARCH("수",$H150)),1,"")</f>
      </c>
      <c r="L150" s="85" t="str">
        <f>IF(ISNUMBER(SEARCH("목",$H150)),1,"")</f>
      </c>
      <c r="M150" s="85" t="str">
        <f>IF(ISNUMBER(SEARCH("금",$H150)),1,"")</f>
      </c>
      <c r="N150" s="85" t="str">
        <f>IF(ISNUMBER(SEARCH("토1",$H150)),1,"")</f>
      </c>
      <c r="O150" s="85" t="str">
        <f>IF(ISNUMBER(SEARCH("토2",$H150)),1,"")</f>
      </c>
      <c r="P150" s="85" t="str">
        <f>IF(ISNUMBER(SEARCH("토3",$H150)),1,"")</f>
      </c>
      <c r="Q150" s="85" t="str">
        <f>IF(ISNUMBER(SEARCH("일1",$H150)),1,"")</f>
      </c>
      <c r="R150" s="85" t="str">
        <f>IF(ISNUMBER(SEARCH("일2",$H150)),1,"")</f>
      </c>
      <c r="S150" s="85" t="str">
        <f>IF(ISNUMBER(SEARCH("일3",$H150)),1,"")</f>
      </c>
      <c r="T150" s="85" t="n">
        <f>SUM(I150:S150)</f>
        <v>0</v>
      </c>
      <c r="U150" s="175" t="str"/>
    </row>
    <row r="151" ht="23" customHeight="1">
      <c r="A151" s="84" t="n">
        <v>20</v>
      </c>
      <c r="B151" s="171" t="str"/>
      <c r="C151" s="171" t="str"/>
      <c r="D151" s="171" t="str"/>
      <c r="E151" s="172" t="str"/>
      <c r="F151" s="172" t="str"/>
      <c r="G151" s="173" t="str"/>
      <c r="H151" s="174" t="str"/>
      <c r="I151" s="85" t="str">
        <f>IF(ISNUMBER(SEARCH("월",$H151)),1,"")</f>
      </c>
      <c r="J151" s="85" t="str">
        <f>IF(ISNUMBER(SEARCH("화",$H151)),1,"")</f>
      </c>
      <c r="K151" s="85" t="str">
        <f>IF(ISNUMBER(SEARCH("수",$H151)),1,"")</f>
      </c>
      <c r="L151" s="85" t="str">
        <f>IF(ISNUMBER(SEARCH("목",$H151)),1,"")</f>
      </c>
      <c r="M151" s="85" t="str">
        <f>IF(ISNUMBER(SEARCH("금",$H151)),1,"")</f>
      </c>
      <c r="N151" s="85" t="str">
        <f>IF(ISNUMBER(SEARCH("토1",$H151)),1,"")</f>
      </c>
      <c r="O151" s="85" t="str">
        <f>IF(ISNUMBER(SEARCH("토2",$H151)),1,"")</f>
      </c>
      <c r="P151" s="85" t="str">
        <f>IF(ISNUMBER(SEARCH("토3",$H151)),1,"")</f>
      </c>
      <c r="Q151" s="85" t="str">
        <f>IF(ISNUMBER(SEARCH("일1",$H151)),1,"")</f>
      </c>
      <c r="R151" s="85" t="str">
        <f>IF(ISNUMBER(SEARCH("일2",$H151)),1,"")</f>
      </c>
      <c r="S151" s="85" t="str">
        <f>IF(ISNUMBER(SEARCH("일3",$H151)),1,"")</f>
      </c>
      <c r="T151" s="85" t="n">
        <f>SUM(I151:S151)</f>
        <v>0</v>
      </c>
      <c r="U151" s="175" t="str"/>
    </row>
    <row r="152" ht="27" customHeight="1">
      <c r="A152" s="168" t="str"/>
      <c r="B152" s="169"/>
      <c r="C152" s="169"/>
      <c r="D152" s="169"/>
      <c r="E152" s="169"/>
      <c r="F152" s="169"/>
      <c r="G152" s="169"/>
      <c r="H152" s="169"/>
      <c r="I152" s="169"/>
      <c r="J152" s="169"/>
      <c r="K152" s="169"/>
      <c r="L152" s="169"/>
      <c r="M152" s="169"/>
      <c r="N152" s="169"/>
      <c r="O152" s="169"/>
      <c r="P152" s="169"/>
      <c r="Q152" s="169"/>
      <c r="R152" s="169"/>
      <c r="S152" s="169"/>
      <c r="T152" s="169"/>
      <c r="U152" s="170"/>
    </row>
    <row r="153" ht="23" customHeight="1">
      <c r="A153" s="84" t="n">
        <v>1</v>
      </c>
      <c r="B153" s="171" t="str"/>
      <c r="C153" s="171" t="str"/>
      <c r="D153" s="171" t="str"/>
      <c r="E153" s="172" t="str"/>
      <c r="F153" s="172" t="str"/>
      <c r="G153" s="173" t="str"/>
      <c r="H153" s="174" t="str"/>
      <c r="I153" s="85" t="str">
        <f>IF(ISNUMBER(SEARCH("월",$H153)),1,"")</f>
      </c>
      <c r="J153" s="85" t="str">
        <f>IF(ISNUMBER(SEARCH("화",$H153)),1,"")</f>
      </c>
      <c r="K153" s="85" t="str">
        <f>IF(ISNUMBER(SEARCH("수",$H153)),1,"")</f>
      </c>
      <c r="L153" s="85" t="str">
        <f>IF(ISNUMBER(SEARCH("목",$H153)),1,"")</f>
      </c>
      <c r="M153" s="85" t="str">
        <f>IF(ISNUMBER(SEARCH("금",$H153)),1,"")</f>
      </c>
      <c r="N153" s="85" t="str">
        <f>IF(ISNUMBER(SEARCH("토1",$H153)),1,"")</f>
      </c>
      <c r="O153" s="85" t="str">
        <f>IF(ISNUMBER(SEARCH("토2",$H153)),1,"")</f>
      </c>
      <c r="P153" s="85" t="str">
        <f>IF(ISNUMBER(SEARCH("토3",$H153)),1,"")</f>
      </c>
      <c r="Q153" s="85" t="str">
        <f>IF(ISNUMBER(SEARCH("일1",$H153)),1,"")</f>
      </c>
      <c r="R153" s="85" t="str">
        <f>IF(ISNUMBER(SEARCH("일2",$H153)),1,"")</f>
      </c>
      <c r="S153" s="85" t="str">
        <f>IF(ISNUMBER(SEARCH("일3",$H153)),1,"")</f>
      </c>
      <c r="T153" s="85" t="n">
        <f>SUM(I153:S153)</f>
        <v>0</v>
      </c>
      <c r="U153" s="175" t="str"/>
    </row>
    <row r="154" ht="23" customHeight="1">
      <c r="A154" s="84" t="n">
        <v>2</v>
      </c>
      <c r="B154" s="171" t="str"/>
      <c r="C154" s="171" t="str"/>
      <c r="D154" s="171" t="str"/>
      <c r="E154" s="172" t="str"/>
      <c r="F154" s="172" t="str"/>
      <c r="G154" s="173" t="str"/>
      <c r="H154" s="174" t="str"/>
      <c r="I154" s="85" t="str">
        <f>IF(ISNUMBER(SEARCH("월",$H154)),1,"")</f>
      </c>
      <c r="J154" s="85" t="str">
        <f>IF(ISNUMBER(SEARCH("화",$H154)),1,"")</f>
      </c>
      <c r="K154" s="85" t="str">
        <f>IF(ISNUMBER(SEARCH("수",$H154)),1,"")</f>
      </c>
      <c r="L154" s="85" t="str">
        <f>IF(ISNUMBER(SEARCH("목",$H154)),1,"")</f>
      </c>
      <c r="M154" s="85" t="str">
        <f>IF(ISNUMBER(SEARCH("금",$H154)),1,"")</f>
      </c>
      <c r="N154" s="85" t="str">
        <f>IF(ISNUMBER(SEARCH("토1",$H154)),1,"")</f>
      </c>
      <c r="O154" s="85" t="str">
        <f>IF(ISNUMBER(SEARCH("토2",$H154)),1,"")</f>
      </c>
      <c r="P154" s="85" t="str">
        <f>IF(ISNUMBER(SEARCH("토3",$H154)),1,"")</f>
      </c>
      <c r="Q154" s="85" t="str">
        <f>IF(ISNUMBER(SEARCH("일1",$H154)),1,"")</f>
      </c>
      <c r="R154" s="85" t="str">
        <f>IF(ISNUMBER(SEARCH("일2",$H154)),1,"")</f>
      </c>
      <c r="S154" s="85" t="str">
        <f>IF(ISNUMBER(SEARCH("일3",$H154)),1,"")</f>
      </c>
      <c r="T154" s="85" t="n">
        <f>SUM(I154:S154)</f>
        <v>0</v>
      </c>
      <c r="U154" s="175" t="str"/>
    </row>
    <row r="155" ht="23" customHeight="1">
      <c r="A155" s="84" t="n">
        <v>3</v>
      </c>
      <c r="B155" s="171" t="str"/>
      <c r="C155" s="171" t="str"/>
      <c r="D155" s="171" t="str"/>
      <c r="E155" s="172" t="str"/>
      <c r="F155" s="172" t="str"/>
      <c r="G155" s="173" t="str"/>
      <c r="H155" s="174" t="str"/>
      <c r="I155" s="85" t="str">
        <f>IF(ISNUMBER(SEARCH("월",$H155)),1,"")</f>
      </c>
      <c r="J155" s="85" t="str">
        <f>IF(ISNUMBER(SEARCH("화",$H155)),1,"")</f>
      </c>
      <c r="K155" s="85" t="str">
        <f>IF(ISNUMBER(SEARCH("수",$H155)),1,"")</f>
      </c>
      <c r="L155" s="85" t="str">
        <f>IF(ISNUMBER(SEARCH("목",$H155)),1,"")</f>
      </c>
      <c r="M155" s="85" t="str">
        <f>IF(ISNUMBER(SEARCH("금",$H155)),1,"")</f>
      </c>
      <c r="N155" s="85" t="str">
        <f>IF(ISNUMBER(SEARCH("토1",$H155)),1,"")</f>
      </c>
      <c r="O155" s="85" t="str">
        <f>IF(ISNUMBER(SEARCH("토2",$H155)),1,"")</f>
      </c>
      <c r="P155" s="85" t="str">
        <f>IF(ISNUMBER(SEARCH("토3",$H155)),1,"")</f>
      </c>
      <c r="Q155" s="85" t="str">
        <f>IF(ISNUMBER(SEARCH("일1",$H155)),1,"")</f>
      </c>
      <c r="R155" s="85" t="str">
        <f>IF(ISNUMBER(SEARCH("일2",$H155)),1,"")</f>
      </c>
      <c r="S155" s="85" t="str">
        <f>IF(ISNUMBER(SEARCH("일3",$H155)),1,"")</f>
      </c>
      <c r="T155" s="85" t="n">
        <f>SUM(I155:S155)</f>
        <v>0</v>
      </c>
      <c r="U155" s="175" t="str"/>
    </row>
    <row r="156" ht="23" customHeight="1">
      <c r="A156" s="84" t="n">
        <v>4</v>
      </c>
      <c r="B156" s="171" t="str"/>
      <c r="C156" s="171" t="str"/>
      <c r="D156" s="171" t="str"/>
      <c r="E156" s="172" t="str"/>
      <c r="F156" s="172" t="str"/>
      <c r="G156" s="173" t="str"/>
      <c r="H156" s="174" t="str"/>
      <c r="I156" s="85" t="str">
        <f>IF(ISNUMBER(SEARCH("월",$H156)),1,"")</f>
      </c>
      <c r="J156" s="85" t="str">
        <f>IF(ISNUMBER(SEARCH("화",$H156)),1,"")</f>
      </c>
      <c r="K156" s="85" t="str">
        <f>IF(ISNUMBER(SEARCH("수",$H156)),1,"")</f>
      </c>
      <c r="L156" s="85" t="str">
        <f>IF(ISNUMBER(SEARCH("목",$H156)),1,"")</f>
      </c>
      <c r="M156" s="85" t="str">
        <f>IF(ISNUMBER(SEARCH("금",$H156)),1,"")</f>
      </c>
      <c r="N156" s="85" t="str">
        <f>IF(ISNUMBER(SEARCH("토1",$H156)),1,"")</f>
      </c>
      <c r="O156" s="85" t="str">
        <f>IF(ISNUMBER(SEARCH("토2",$H156)),1,"")</f>
      </c>
      <c r="P156" s="85" t="str">
        <f>IF(ISNUMBER(SEARCH("토3",$H156)),1,"")</f>
      </c>
      <c r="Q156" s="85" t="str">
        <f>IF(ISNUMBER(SEARCH("일1",$H156)),1,"")</f>
      </c>
      <c r="R156" s="85" t="str">
        <f>IF(ISNUMBER(SEARCH("일2",$H156)),1,"")</f>
      </c>
      <c r="S156" s="85" t="str">
        <f>IF(ISNUMBER(SEARCH("일3",$H156)),1,"")</f>
      </c>
      <c r="T156" s="85" t="n">
        <f>SUM(I156:S156)</f>
        <v>0</v>
      </c>
      <c r="U156" s="175" t="str"/>
    </row>
    <row r="157" ht="23" customHeight="1">
      <c r="A157" s="84" t="n">
        <v>5</v>
      </c>
      <c r="B157" s="171" t="str"/>
      <c r="C157" s="171" t="str"/>
      <c r="D157" s="171" t="str"/>
      <c r="E157" s="172" t="str"/>
      <c r="F157" s="172" t="str"/>
      <c r="G157" s="173" t="str"/>
      <c r="H157" s="174" t="str"/>
      <c r="I157" s="85" t="str">
        <f>IF(ISNUMBER(SEARCH("월",$H157)),1,"")</f>
      </c>
      <c r="J157" s="85" t="str">
        <f>IF(ISNUMBER(SEARCH("화",$H157)),1,"")</f>
      </c>
      <c r="K157" s="85" t="str">
        <f>IF(ISNUMBER(SEARCH("수",$H157)),1,"")</f>
      </c>
      <c r="L157" s="85" t="str">
        <f>IF(ISNUMBER(SEARCH("목",$H157)),1,"")</f>
      </c>
      <c r="M157" s="85" t="str">
        <f>IF(ISNUMBER(SEARCH("금",$H157)),1,"")</f>
      </c>
      <c r="N157" s="85" t="str">
        <f>IF(ISNUMBER(SEARCH("토1",$H157)),1,"")</f>
      </c>
      <c r="O157" s="85" t="str">
        <f>IF(ISNUMBER(SEARCH("토2",$H157)),1,"")</f>
      </c>
      <c r="P157" s="85" t="str">
        <f>IF(ISNUMBER(SEARCH("토3",$H157)),1,"")</f>
      </c>
      <c r="Q157" s="85" t="str">
        <f>IF(ISNUMBER(SEARCH("일1",$H157)),1,"")</f>
      </c>
      <c r="R157" s="85" t="str">
        <f>IF(ISNUMBER(SEARCH("일2",$H157)),1,"")</f>
      </c>
      <c r="S157" s="85" t="str">
        <f>IF(ISNUMBER(SEARCH("일3",$H157)),1,"")</f>
      </c>
      <c r="T157" s="85" t="n">
        <f>SUM(I157:S157)</f>
        <v>0</v>
      </c>
      <c r="U157" s="175" t="str"/>
    </row>
    <row r="158" ht="23" customHeight="1">
      <c r="A158" s="84" t="n">
        <v>6</v>
      </c>
      <c r="B158" s="171" t="str"/>
      <c r="C158" s="171" t="str"/>
      <c r="D158" s="171" t="str"/>
      <c r="E158" s="172" t="str"/>
      <c r="F158" s="172" t="str"/>
      <c r="G158" s="173" t="str"/>
      <c r="H158" s="174" t="str"/>
      <c r="I158" s="85" t="str">
        <f>IF(ISNUMBER(SEARCH("월",$H158)),1,"")</f>
      </c>
      <c r="J158" s="85" t="str">
        <f>IF(ISNUMBER(SEARCH("화",$H158)),1,"")</f>
      </c>
      <c r="K158" s="85" t="str">
        <f>IF(ISNUMBER(SEARCH("수",$H158)),1,"")</f>
      </c>
      <c r="L158" s="85" t="str">
        <f>IF(ISNUMBER(SEARCH("목",$H158)),1,"")</f>
      </c>
      <c r="M158" s="85" t="str">
        <f>IF(ISNUMBER(SEARCH("금",$H158)),1,"")</f>
      </c>
      <c r="N158" s="85" t="str">
        <f>IF(ISNUMBER(SEARCH("토1",$H158)),1,"")</f>
      </c>
      <c r="O158" s="85" t="str">
        <f>IF(ISNUMBER(SEARCH("토2",$H158)),1,"")</f>
      </c>
      <c r="P158" s="85" t="str">
        <f>IF(ISNUMBER(SEARCH("토3",$H158)),1,"")</f>
      </c>
      <c r="Q158" s="85" t="str">
        <f>IF(ISNUMBER(SEARCH("일1",$H158)),1,"")</f>
      </c>
      <c r="R158" s="85" t="str">
        <f>IF(ISNUMBER(SEARCH("일2",$H158)),1,"")</f>
      </c>
      <c r="S158" s="85" t="str">
        <f>IF(ISNUMBER(SEARCH("일3",$H158)),1,"")</f>
      </c>
      <c r="T158" s="85" t="n">
        <f>SUM(I158:S158)</f>
        <v>0</v>
      </c>
      <c r="U158" s="175" t="str"/>
    </row>
    <row r="159" ht="23" customHeight="1">
      <c r="A159" s="84" t="n">
        <v>7</v>
      </c>
      <c r="B159" s="171" t="str"/>
      <c r="C159" s="171" t="str"/>
      <c r="D159" s="171" t="str"/>
      <c r="E159" s="172" t="str"/>
      <c r="F159" s="172" t="str"/>
      <c r="G159" s="173" t="str"/>
      <c r="H159" s="174" t="str"/>
      <c r="I159" s="85" t="str">
        <f>IF(ISNUMBER(SEARCH("월",$H159)),1,"")</f>
      </c>
      <c r="J159" s="85" t="str">
        <f>IF(ISNUMBER(SEARCH("화",$H159)),1,"")</f>
      </c>
      <c r="K159" s="85" t="str">
        <f>IF(ISNUMBER(SEARCH("수",$H159)),1,"")</f>
      </c>
      <c r="L159" s="85" t="str">
        <f>IF(ISNUMBER(SEARCH("목",$H159)),1,"")</f>
      </c>
      <c r="M159" s="85" t="str">
        <f>IF(ISNUMBER(SEARCH("금",$H159)),1,"")</f>
      </c>
      <c r="N159" s="85" t="str">
        <f>IF(ISNUMBER(SEARCH("토1",$H159)),1,"")</f>
      </c>
      <c r="O159" s="85" t="str">
        <f>IF(ISNUMBER(SEARCH("토2",$H159)),1,"")</f>
      </c>
      <c r="P159" s="85" t="str">
        <f>IF(ISNUMBER(SEARCH("토3",$H159)),1,"")</f>
      </c>
      <c r="Q159" s="85" t="str">
        <f>IF(ISNUMBER(SEARCH("일1",$H159)),1,"")</f>
      </c>
      <c r="R159" s="85" t="str">
        <f>IF(ISNUMBER(SEARCH("일2",$H159)),1,"")</f>
      </c>
      <c r="S159" s="85" t="str">
        <f>IF(ISNUMBER(SEARCH("일3",$H159)),1,"")</f>
      </c>
      <c r="T159" s="85" t="n">
        <f>SUM(I159:S159)</f>
        <v>0</v>
      </c>
      <c r="U159" s="175" t="str"/>
    </row>
    <row r="160" ht="23" customHeight="1">
      <c r="A160" s="84" t="n">
        <v>8</v>
      </c>
      <c r="B160" s="171" t="str"/>
      <c r="C160" s="171" t="str"/>
      <c r="D160" s="171" t="str"/>
      <c r="E160" s="172" t="str"/>
      <c r="F160" s="172" t="str"/>
      <c r="G160" s="173" t="str"/>
      <c r="H160" s="174" t="str"/>
      <c r="I160" s="85" t="str">
        <f>IF(ISNUMBER(SEARCH("월",$H160)),1,"")</f>
      </c>
      <c r="J160" s="85" t="str">
        <f>IF(ISNUMBER(SEARCH("화",$H160)),1,"")</f>
      </c>
      <c r="K160" s="85" t="str">
        <f>IF(ISNUMBER(SEARCH("수",$H160)),1,"")</f>
      </c>
      <c r="L160" s="85" t="str">
        <f>IF(ISNUMBER(SEARCH("목",$H160)),1,"")</f>
      </c>
      <c r="M160" s="85" t="str">
        <f>IF(ISNUMBER(SEARCH("금",$H160)),1,"")</f>
      </c>
      <c r="N160" s="85" t="str">
        <f>IF(ISNUMBER(SEARCH("토1",$H160)),1,"")</f>
      </c>
      <c r="O160" s="85" t="str">
        <f>IF(ISNUMBER(SEARCH("토2",$H160)),1,"")</f>
      </c>
      <c r="P160" s="85" t="str">
        <f>IF(ISNUMBER(SEARCH("토3",$H160)),1,"")</f>
      </c>
      <c r="Q160" s="85" t="str">
        <f>IF(ISNUMBER(SEARCH("일1",$H160)),1,"")</f>
      </c>
      <c r="R160" s="85" t="str">
        <f>IF(ISNUMBER(SEARCH("일2",$H160)),1,"")</f>
      </c>
      <c r="S160" s="85" t="str">
        <f>IF(ISNUMBER(SEARCH("일3",$H160)),1,"")</f>
      </c>
      <c r="T160" s="85" t="n">
        <f>SUM(I160:S160)</f>
        <v>0</v>
      </c>
      <c r="U160" s="175" t="str"/>
    </row>
    <row r="161" ht="23" customHeight="1">
      <c r="A161" s="84" t="n">
        <v>9</v>
      </c>
      <c r="B161" s="171" t="str"/>
      <c r="C161" s="171" t="str"/>
      <c r="D161" s="171" t="str"/>
      <c r="E161" s="172" t="str"/>
      <c r="F161" s="172" t="str"/>
      <c r="G161" s="173" t="str"/>
      <c r="H161" s="174" t="str"/>
      <c r="I161" s="85" t="str">
        <f>IF(ISNUMBER(SEARCH("월",$H161)),1,"")</f>
      </c>
      <c r="J161" s="85" t="str">
        <f>IF(ISNUMBER(SEARCH("화",$H161)),1,"")</f>
      </c>
      <c r="K161" s="85" t="str">
        <f>IF(ISNUMBER(SEARCH("수",$H161)),1,"")</f>
      </c>
      <c r="L161" s="85" t="str">
        <f>IF(ISNUMBER(SEARCH("목",$H161)),1,"")</f>
      </c>
      <c r="M161" s="85" t="str">
        <f>IF(ISNUMBER(SEARCH("금",$H161)),1,"")</f>
      </c>
      <c r="N161" s="85" t="str">
        <f>IF(ISNUMBER(SEARCH("토1",$H161)),1,"")</f>
      </c>
      <c r="O161" s="85" t="str">
        <f>IF(ISNUMBER(SEARCH("토2",$H161)),1,"")</f>
      </c>
      <c r="P161" s="85" t="str">
        <f>IF(ISNUMBER(SEARCH("토3",$H161)),1,"")</f>
      </c>
      <c r="Q161" s="85" t="str">
        <f>IF(ISNUMBER(SEARCH("일1",$H161)),1,"")</f>
      </c>
      <c r="R161" s="85" t="str">
        <f>IF(ISNUMBER(SEARCH("일2",$H161)),1,"")</f>
      </c>
      <c r="S161" s="85" t="str">
        <f>IF(ISNUMBER(SEARCH("일3",$H161)),1,"")</f>
      </c>
      <c r="T161" s="85" t="n">
        <f>SUM(I161:S161)</f>
        <v>0</v>
      </c>
      <c r="U161" s="175" t="str"/>
    </row>
    <row r="162" ht="23" customHeight="1">
      <c r="A162" s="84" t="n">
        <v>10</v>
      </c>
      <c r="B162" s="171" t="str"/>
      <c r="C162" s="171" t="str"/>
      <c r="D162" s="171" t="str"/>
      <c r="E162" s="172" t="str"/>
      <c r="F162" s="172" t="str"/>
      <c r="G162" s="173" t="str"/>
      <c r="H162" s="174" t="str"/>
      <c r="I162" s="85" t="str">
        <f>IF(ISNUMBER(SEARCH("월",$H162)),1,"")</f>
      </c>
      <c r="J162" s="85" t="str">
        <f>IF(ISNUMBER(SEARCH("화",$H162)),1,"")</f>
      </c>
      <c r="K162" s="85" t="str">
        <f>IF(ISNUMBER(SEARCH("수",$H162)),1,"")</f>
      </c>
      <c r="L162" s="85" t="str">
        <f>IF(ISNUMBER(SEARCH("목",$H162)),1,"")</f>
      </c>
      <c r="M162" s="85" t="str">
        <f>IF(ISNUMBER(SEARCH("금",$H162)),1,"")</f>
      </c>
      <c r="N162" s="85" t="str">
        <f>IF(ISNUMBER(SEARCH("토1",$H162)),1,"")</f>
      </c>
      <c r="O162" s="85" t="str">
        <f>IF(ISNUMBER(SEARCH("토2",$H162)),1,"")</f>
      </c>
      <c r="P162" s="85" t="str">
        <f>IF(ISNUMBER(SEARCH("토3",$H162)),1,"")</f>
      </c>
      <c r="Q162" s="85" t="str">
        <f>IF(ISNUMBER(SEARCH("일1",$H162)),1,"")</f>
      </c>
      <c r="R162" s="85" t="str">
        <f>IF(ISNUMBER(SEARCH("일2",$H162)),1,"")</f>
      </c>
      <c r="S162" s="85" t="str">
        <f>IF(ISNUMBER(SEARCH("일3",$H162)),1,"")</f>
      </c>
      <c r="T162" s="85" t="n">
        <f>SUM(I162:S162)</f>
        <v>0</v>
      </c>
      <c r="U162" s="175" t="str"/>
    </row>
    <row r="163" ht="23" customHeight="1">
      <c r="A163" s="84" t="n">
        <v>11</v>
      </c>
      <c r="B163" s="171" t="str"/>
      <c r="C163" s="171" t="str"/>
      <c r="D163" s="171" t="str"/>
      <c r="E163" s="172" t="str"/>
      <c r="F163" s="172" t="str"/>
      <c r="G163" s="173" t="str"/>
      <c r="H163" s="174" t="str"/>
      <c r="I163" s="85" t="str">
        <f>IF(ISNUMBER(SEARCH("월",$H163)),1,"")</f>
      </c>
      <c r="J163" s="85" t="str">
        <f>IF(ISNUMBER(SEARCH("화",$H163)),1,"")</f>
      </c>
      <c r="K163" s="85" t="str">
        <f>IF(ISNUMBER(SEARCH("수",$H163)),1,"")</f>
      </c>
      <c r="L163" s="85" t="str">
        <f>IF(ISNUMBER(SEARCH("목",$H163)),1,"")</f>
      </c>
      <c r="M163" s="85" t="str">
        <f>IF(ISNUMBER(SEARCH("금",$H163)),1,"")</f>
      </c>
      <c r="N163" s="85" t="str">
        <f>IF(ISNUMBER(SEARCH("토1",$H163)),1,"")</f>
      </c>
      <c r="O163" s="85" t="str">
        <f>IF(ISNUMBER(SEARCH("토2",$H163)),1,"")</f>
      </c>
      <c r="P163" s="85" t="str">
        <f>IF(ISNUMBER(SEARCH("토3",$H163)),1,"")</f>
      </c>
      <c r="Q163" s="85" t="str">
        <f>IF(ISNUMBER(SEARCH("일1",$H163)),1,"")</f>
      </c>
      <c r="R163" s="85" t="str">
        <f>IF(ISNUMBER(SEARCH("일2",$H163)),1,"")</f>
      </c>
      <c r="S163" s="85" t="str">
        <f>IF(ISNUMBER(SEARCH("일3",$H163)),1,"")</f>
      </c>
      <c r="T163" s="85" t="n">
        <f>SUM(I163:S163)</f>
        <v>0</v>
      </c>
      <c r="U163" s="175" t="str"/>
    </row>
    <row r="164" ht="23" customHeight="1">
      <c r="A164" s="84" t="n">
        <v>12</v>
      </c>
      <c r="B164" s="171" t="str"/>
      <c r="C164" s="171" t="str"/>
      <c r="D164" s="171" t="str"/>
      <c r="E164" s="172" t="str"/>
      <c r="F164" s="172" t="str"/>
      <c r="G164" s="173" t="str"/>
      <c r="H164" s="174" t="str"/>
      <c r="I164" s="85" t="str">
        <f>IF(ISNUMBER(SEARCH("월",$H164)),1,"")</f>
      </c>
      <c r="J164" s="85" t="str">
        <f>IF(ISNUMBER(SEARCH("화",$H164)),1,"")</f>
      </c>
      <c r="K164" s="85" t="str">
        <f>IF(ISNUMBER(SEARCH("수",$H164)),1,"")</f>
      </c>
      <c r="L164" s="85" t="str">
        <f>IF(ISNUMBER(SEARCH("목",$H164)),1,"")</f>
      </c>
      <c r="M164" s="85" t="str">
        <f>IF(ISNUMBER(SEARCH("금",$H164)),1,"")</f>
      </c>
      <c r="N164" s="85" t="str">
        <f>IF(ISNUMBER(SEARCH("토1",$H164)),1,"")</f>
      </c>
      <c r="O164" s="85" t="str">
        <f>IF(ISNUMBER(SEARCH("토2",$H164)),1,"")</f>
      </c>
      <c r="P164" s="85" t="str">
        <f>IF(ISNUMBER(SEARCH("토3",$H164)),1,"")</f>
      </c>
      <c r="Q164" s="85" t="str">
        <f>IF(ISNUMBER(SEARCH("일1",$H164)),1,"")</f>
      </c>
      <c r="R164" s="85" t="str">
        <f>IF(ISNUMBER(SEARCH("일2",$H164)),1,"")</f>
      </c>
      <c r="S164" s="85" t="str">
        <f>IF(ISNUMBER(SEARCH("일3",$H164)),1,"")</f>
      </c>
      <c r="T164" s="85" t="n">
        <f>SUM(I164:S164)</f>
        <v>0</v>
      </c>
      <c r="U164" s="175" t="str"/>
    </row>
    <row r="165" ht="23" customHeight="1">
      <c r="A165" s="84" t="n">
        <v>13</v>
      </c>
      <c r="B165" s="171" t="str"/>
      <c r="C165" s="171" t="str"/>
      <c r="D165" s="171" t="str"/>
      <c r="E165" s="172" t="str"/>
      <c r="F165" s="172" t="str"/>
      <c r="G165" s="173" t="str"/>
      <c r="H165" s="174" t="str"/>
      <c r="I165" s="85" t="str">
        <f>IF(ISNUMBER(SEARCH("월",$H165)),1,"")</f>
      </c>
      <c r="J165" s="85" t="str">
        <f>IF(ISNUMBER(SEARCH("화",$H165)),1,"")</f>
      </c>
      <c r="K165" s="85" t="str">
        <f>IF(ISNUMBER(SEARCH("수",$H165)),1,"")</f>
      </c>
      <c r="L165" s="85" t="str">
        <f>IF(ISNUMBER(SEARCH("목",$H165)),1,"")</f>
      </c>
      <c r="M165" s="85" t="str">
        <f>IF(ISNUMBER(SEARCH("금",$H165)),1,"")</f>
      </c>
      <c r="N165" s="85" t="str">
        <f>IF(ISNUMBER(SEARCH("토1",$H165)),1,"")</f>
      </c>
      <c r="O165" s="85" t="str">
        <f>IF(ISNUMBER(SEARCH("토2",$H165)),1,"")</f>
      </c>
      <c r="P165" s="85" t="str">
        <f>IF(ISNUMBER(SEARCH("토3",$H165)),1,"")</f>
      </c>
      <c r="Q165" s="85" t="str">
        <f>IF(ISNUMBER(SEARCH("일1",$H165)),1,"")</f>
      </c>
      <c r="R165" s="85" t="str">
        <f>IF(ISNUMBER(SEARCH("일2",$H165)),1,"")</f>
      </c>
      <c r="S165" s="85" t="str">
        <f>IF(ISNUMBER(SEARCH("일3",$H165)),1,"")</f>
      </c>
      <c r="T165" s="85" t="n">
        <f>SUM(I165:S165)</f>
        <v>0</v>
      </c>
      <c r="U165" s="175" t="str"/>
    </row>
    <row r="166" ht="23" customHeight="1">
      <c r="A166" s="84" t="n">
        <v>14</v>
      </c>
      <c r="B166" s="171" t="str"/>
      <c r="C166" s="171" t="str"/>
      <c r="D166" s="171" t="str"/>
      <c r="E166" s="172" t="str"/>
      <c r="F166" s="172" t="str"/>
      <c r="G166" s="173" t="str"/>
      <c r="H166" s="174" t="str"/>
      <c r="I166" s="85" t="str">
        <f>IF(ISNUMBER(SEARCH("월",$H166)),1,"")</f>
      </c>
      <c r="J166" s="85" t="str">
        <f>IF(ISNUMBER(SEARCH("화",$H166)),1,"")</f>
      </c>
      <c r="K166" s="85" t="str">
        <f>IF(ISNUMBER(SEARCH("수",$H166)),1,"")</f>
      </c>
      <c r="L166" s="85" t="str">
        <f>IF(ISNUMBER(SEARCH("목",$H166)),1,"")</f>
      </c>
      <c r="M166" s="85" t="str">
        <f>IF(ISNUMBER(SEARCH("금",$H166)),1,"")</f>
      </c>
      <c r="N166" s="85" t="str">
        <f>IF(ISNUMBER(SEARCH("토1",$H166)),1,"")</f>
      </c>
      <c r="O166" s="85" t="str">
        <f>IF(ISNUMBER(SEARCH("토2",$H166)),1,"")</f>
      </c>
      <c r="P166" s="85" t="str">
        <f>IF(ISNUMBER(SEARCH("토3",$H166)),1,"")</f>
      </c>
      <c r="Q166" s="85" t="str">
        <f>IF(ISNUMBER(SEARCH("일1",$H166)),1,"")</f>
      </c>
      <c r="R166" s="85" t="str">
        <f>IF(ISNUMBER(SEARCH("일2",$H166)),1,"")</f>
      </c>
      <c r="S166" s="85" t="str">
        <f>IF(ISNUMBER(SEARCH("일3",$H166)),1,"")</f>
      </c>
      <c r="T166" s="85" t="n">
        <f>SUM(I166:S166)</f>
        <v>0</v>
      </c>
      <c r="U166" s="175" t="str"/>
    </row>
    <row r="167" ht="23" customHeight="1">
      <c r="A167" s="84" t="n">
        <v>15</v>
      </c>
      <c r="B167" s="171" t="str"/>
      <c r="C167" s="171" t="str"/>
      <c r="D167" s="171" t="str"/>
      <c r="E167" s="172" t="str"/>
      <c r="F167" s="172" t="str"/>
      <c r="G167" s="173" t="str"/>
      <c r="H167" s="174" t="str"/>
      <c r="I167" s="85" t="str">
        <f>IF(ISNUMBER(SEARCH("월",$H167)),1,"")</f>
      </c>
      <c r="J167" s="85" t="str">
        <f>IF(ISNUMBER(SEARCH("화",$H167)),1,"")</f>
      </c>
      <c r="K167" s="85" t="str">
        <f>IF(ISNUMBER(SEARCH("수",$H167)),1,"")</f>
      </c>
      <c r="L167" s="85" t="str">
        <f>IF(ISNUMBER(SEARCH("목",$H167)),1,"")</f>
      </c>
      <c r="M167" s="85" t="str">
        <f>IF(ISNUMBER(SEARCH("금",$H167)),1,"")</f>
      </c>
      <c r="N167" s="85" t="str">
        <f>IF(ISNUMBER(SEARCH("토1",$H167)),1,"")</f>
      </c>
      <c r="O167" s="85" t="str">
        <f>IF(ISNUMBER(SEARCH("토2",$H167)),1,"")</f>
      </c>
      <c r="P167" s="85" t="str">
        <f>IF(ISNUMBER(SEARCH("토3",$H167)),1,"")</f>
      </c>
      <c r="Q167" s="85" t="str">
        <f>IF(ISNUMBER(SEARCH("일1",$H167)),1,"")</f>
      </c>
      <c r="R167" s="85" t="str">
        <f>IF(ISNUMBER(SEARCH("일2",$H167)),1,"")</f>
      </c>
      <c r="S167" s="85" t="str">
        <f>IF(ISNUMBER(SEARCH("일3",$H167)),1,"")</f>
      </c>
      <c r="T167" s="85" t="n">
        <f>SUM(I167:S167)</f>
        <v>0</v>
      </c>
      <c r="U167" s="175" t="str"/>
    </row>
    <row r="168" ht="23" customHeight="1">
      <c r="A168" s="84" t="n">
        <v>16</v>
      </c>
      <c r="B168" s="171" t="str"/>
      <c r="C168" s="171" t="str"/>
      <c r="D168" s="171" t="str"/>
      <c r="E168" s="172" t="str"/>
      <c r="F168" s="172" t="str"/>
      <c r="G168" s="173" t="str"/>
      <c r="H168" s="174" t="str"/>
      <c r="I168" s="85" t="str">
        <f>IF(ISNUMBER(SEARCH("월",$H168)),1,"")</f>
      </c>
      <c r="J168" s="85" t="str">
        <f>IF(ISNUMBER(SEARCH("화",$H168)),1,"")</f>
      </c>
      <c r="K168" s="85" t="str">
        <f>IF(ISNUMBER(SEARCH("수",$H168)),1,"")</f>
      </c>
      <c r="L168" s="85" t="str">
        <f>IF(ISNUMBER(SEARCH("목",$H168)),1,"")</f>
      </c>
      <c r="M168" s="85" t="str">
        <f>IF(ISNUMBER(SEARCH("금",$H168)),1,"")</f>
      </c>
      <c r="N168" s="85" t="str">
        <f>IF(ISNUMBER(SEARCH("토1",$H168)),1,"")</f>
      </c>
      <c r="O168" s="85" t="str">
        <f>IF(ISNUMBER(SEARCH("토2",$H168)),1,"")</f>
      </c>
      <c r="P168" s="85" t="str">
        <f>IF(ISNUMBER(SEARCH("토3",$H168)),1,"")</f>
      </c>
      <c r="Q168" s="85" t="str">
        <f>IF(ISNUMBER(SEARCH("일1",$H168)),1,"")</f>
      </c>
      <c r="R168" s="85" t="str">
        <f>IF(ISNUMBER(SEARCH("일2",$H168)),1,"")</f>
      </c>
      <c r="S168" s="85" t="str">
        <f>IF(ISNUMBER(SEARCH("일3",$H168)),1,"")</f>
      </c>
      <c r="T168" s="85" t="n">
        <f>SUM(I168:S168)</f>
        <v>0</v>
      </c>
      <c r="U168" s="175" t="str"/>
    </row>
    <row r="169" ht="23" customHeight="1">
      <c r="A169" s="84" t="n">
        <v>17</v>
      </c>
      <c r="B169" s="171" t="str"/>
      <c r="C169" s="171" t="str"/>
      <c r="D169" s="171" t="str"/>
      <c r="E169" s="172" t="str"/>
      <c r="F169" s="172" t="str"/>
      <c r="G169" s="173" t="str"/>
      <c r="H169" s="174" t="str"/>
      <c r="I169" s="85" t="str">
        <f>IF(ISNUMBER(SEARCH("월",$H169)),1,"")</f>
      </c>
      <c r="J169" s="85" t="str">
        <f>IF(ISNUMBER(SEARCH("화",$H169)),1,"")</f>
      </c>
      <c r="K169" s="85" t="str">
        <f>IF(ISNUMBER(SEARCH("수",$H169)),1,"")</f>
      </c>
      <c r="L169" s="85" t="str">
        <f>IF(ISNUMBER(SEARCH("목",$H169)),1,"")</f>
      </c>
      <c r="M169" s="85" t="str">
        <f>IF(ISNUMBER(SEARCH("금",$H169)),1,"")</f>
      </c>
      <c r="N169" s="85" t="str">
        <f>IF(ISNUMBER(SEARCH("토1",$H169)),1,"")</f>
      </c>
      <c r="O169" s="85" t="str">
        <f>IF(ISNUMBER(SEARCH("토2",$H169)),1,"")</f>
      </c>
      <c r="P169" s="85" t="str">
        <f>IF(ISNUMBER(SEARCH("토3",$H169)),1,"")</f>
      </c>
      <c r="Q169" s="85" t="str">
        <f>IF(ISNUMBER(SEARCH("일1",$H169)),1,"")</f>
      </c>
      <c r="R169" s="85" t="str">
        <f>IF(ISNUMBER(SEARCH("일2",$H169)),1,"")</f>
      </c>
      <c r="S169" s="85" t="str">
        <f>IF(ISNUMBER(SEARCH("일3",$H169)),1,"")</f>
      </c>
      <c r="T169" s="85" t="n">
        <f>SUM(I169:S169)</f>
        <v>0</v>
      </c>
      <c r="U169" s="175" t="str"/>
    </row>
    <row r="170" ht="23" customHeight="1">
      <c r="A170" s="84" t="n">
        <v>18</v>
      </c>
      <c r="B170" s="171" t="str"/>
      <c r="C170" s="171" t="str"/>
      <c r="D170" s="171" t="str"/>
      <c r="E170" s="172" t="str"/>
      <c r="F170" s="172" t="str"/>
      <c r="G170" s="173" t="str"/>
      <c r="H170" s="174" t="str"/>
      <c r="I170" s="85" t="str">
        <f>IF(ISNUMBER(SEARCH("월",$H170)),1,"")</f>
      </c>
      <c r="J170" s="85" t="str">
        <f>IF(ISNUMBER(SEARCH("화",$H170)),1,"")</f>
      </c>
      <c r="K170" s="85" t="str">
        <f>IF(ISNUMBER(SEARCH("수",$H170)),1,"")</f>
      </c>
      <c r="L170" s="85" t="str">
        <f>IF(ISNUMBER(SEARCH("목",$H170)),1,"")</f>
      </c>
      <c r="M170" s="85" t="str">
        <f>IF(ISNUMBER(SEARCH("금",$H170)),1,"")</f>
      </c>
      <c r="N170" s="85" t="str">
        <f>IF(ISNUMBER(SEARCH("토1",$H170)),1,"")</f>
      </c>
      <c r="O170" s="85" t="str">
        <f>IF(ISNUMBER(SEARCH("토2",$H170)),1,"")</f>
      </c>
      <c r="P170" s="85" t="str">
        <f>IF(ISNUMBER(SEARCH("토3",$H170)),1,"")</f>
      </c>
      <c r="Q170" s="85" t="str">
        <f>IF(ISNUMBER(SEARCH("일1",$H170)),1,"")</f>
      </c>
      <c r="R170" s="85" t="str">
        <f>IF(ISNUMBER(SEARCH("일2",$H170)),1,"")</f>
      </c>
      <c r="S170" s="85" t="str">
        <f>IF(ISNUMBER(SEARCH("일3",$H170)),1,"")</f>
      </c>
      <c r="T170" s="85" t="n">
        <f>SUM(I170:S170)</f>
        <v>0</v>
      </c>
      <c r="U170" s="175" t="str"/>
    </row>
    <row r="171" ht="23" customHeight="1">
      <c r="A171" s="84" t="n">
        <v>19</v>
      </c>
      <c r="B171" s="171" t="str"/>
      <c r="C171" s="171" t="str"/>
      <c r="D171" s="171" t="str"/>
      <c r="E171" s="172" t="str"/>
      <c r="F171" s="172" t="str"/>
      <c r="G171" s="173" t="str"/>
      <c r="H171" s="174" t="str"/>
      <c r="I171" s="85" t="str">
        <f>IF(ISNUMBER(SEARCH("월",$H171)),1,"")</f>
      </c>
      <c r="J171" s="85" t="str">
        <f>IF(ISNUMBER(SEARCH("화",$H171)),1,"")</f>
      </c>
      <c r="K171" s="85" t="str">
        <f>IF(ISNUMBER(SEARCH("수",$H171)),1,"")</f>
      </c>
      <c r="L171" s="85" t="str">
        <f>IF(ISNUMBER(SEARCH("목",$H171)),1,"")</f>
      </c>
      <c r="M171" s="85" t="str">
        <f>IF(ISNUMBER(SEARCH("금",$H171)),1,"")</f>
      </c>
      <c r="N171" s="85" t="str">
        <f>IF(ISNUMBER(SEARCH("토1",$H171)),1,"")</f>
      </c>
      <c r="O171" s="85" t="str">
        <f>IF(ISNUMBER(SEARCH("토2",$H171)),1,"")</f>
      </c>
      <c r="P171" s="85" t="str">
        <f>IF(ISNUMBER(SEARCH("토3",$H171)),1,"")</f>
      </c>
      <c r="Q171" s="85" t="str">
        <f>IF(ISNUMBER(SEARCH("일1",$H171)),1,"")</f>
      </c>
      <c r="R171" s="85" t="str">
        <f>IF(ISNUMBER(SEARCH("일2",$H171)),1,"")</f>
      </c>
      <c r="S171" s="85" t="str">
        <f>IF(ISNUMBER(SEARCH("일3",$H171)),1,"")</f>
      </c>
      <c r="T171" s="85" t="n">
        <f>SUM(I171:S171)</f>
        <v>0</v>
      </c>
      <c r="U171" s="175" t="str"/>
    </row>
    <row r="172" ht="23" customHeight="1">
      <c r="A172" s="84" t="n">
        <v>20</v>
      </c>
      <c r="B172" s="171" t="str"/>
      <c r="C172" s="171" t="str"/>
      <c r="D172" s="171" t="str"/>
      <c r="E172" s="172" t="str"/>
      <c r="F172" s="172" t="str"/>
      <c r="G172" s="173" t="str"/>
      <c r="H172" s="174" t="str"/>
      <c r="I172" s="85" t="str">
        <f>IF(ISNUMBER(SEARCH("월",$H172)),1,"")</f>
      </c>
      <c r="J172" s="85" t="str">
        <f>IF(ISNUMBER(SEARCH("화",$H172)),1,"")</f>
      </c>
      <c r="K172" s="85" t="str">
        <f>IF(ISNUMBER(SEARCH("수",$H172)),1,"")</f>
      </c>
      <c r="L172" s="85" t="str">
        <f>IF(ISNUMBER(SEARCH("목",$H172)),1,"")</f>
      </c>
      <c r="M172" s="85" t="str">
        <f>IF(ISNUMBER(SEARCH("금",$H172)),1,"")</f>
      </c>
      <c r="N172" s="85" t="str">
        <f>IF(ISNUMBER(SEARCH("토1",$H172)),1,"")</f>
      </c>
      <c r="O172" s="85" t="str">
        <f>IF(ISNUMBER(SEARCH("토2",$H172)),1,"")</f>
      </c>
      <c r="P172" s="85" t="str">
        <f>IF(ISNUMBER(SEARCH("토3",$H172)),1,"")</f>
      </c>
      <c r="Q172" s="85" t="str">
        <f>IF(ISNUMBER(SEARCH("일1",$H172)),1,"")</f>
      </c>
      <c r="R172" s="85" t="str">
        <f>IF(ISNUMBER(SEARCH("일2",$H172)),1,"")</f>
      </c>
      <c r="S172" s="85" t="str">
        <f>IF(ISNUMBER(SEARCH("일3",$H172)),1,"")</f>
      </c>
      <c r="T172" s="85" t="n">
        <f>SUM(I172:S172)</f>
        <v>0</v>
      </c>
      <c r="U172" s="175" t="str"/>
    </row>
    <row r="173" ht="27" customHeight="1">
      <c r="A173" s="168" t="str"/>
      <c r="B173" s="169"/>
      <c r="C173" s="169"/>
      <c r="D173" s="169"/>
      <c r="E173" s="169"/>
      <c r="F173" s="169"/>
      <c r="G173" s="169"/>
      <c r="H173" s="169"/>
      <c r="I173" s="169"/>
      <c r="J173" s="169"/>
      <c r="K173" s="169"/>
      <c r="L173" s="169"/>
      <c r="M173" s="169"/>
      <c r="N173" s="169"/>
      <c r="O173" s="169"/>
      <c r="P173" s="169"/>
      <c r="Q173" s="169"/>
      <c r="R173" s="169"/>
      <c r="S173" s="169"/>
      <c r="T173" s="169"/>
      <c r="U173" s="170"/>
    </row>
    <row r="174" ht="23" customHeight="1">
      <c r="A174" s="84" t="n">
        <v>1</v>
      </c>
      <c r="B174" s="171" t="str"/>
      <c r="C174" s="171" t="str"/>
      <c r="D174" s="171" t="str"/>
      <c r="E174" s="172" t="str"/>
      <c r="F174" s="172" t="str"/>
      <c r="G174" s="173" t="str"/>
      <c r="H174" s="174" t="str"/>
      <c r="I174" s="85" t="str">
        <f>IF(ISNUMBER(SEARCH("월",$H174)),1,"")</f>
      </c>
      <c r="J174" s="85" t="str">
        <f>IF(ISNUMBER(SEARCH("화",$H174)),1,"")</f>
      </c>
      <c r="K174" s="85" t="str">
        <f>IF(ISNUMBER(SEARCH("수",$H174)),1,"")</f>
      </c>
      <c r="L174" s="85" t="str">
        <f>IF(ISNUMBER(SEARCH("목",$H174)),1,"")</f>
      </c>
      <c r="M174" s="85" t="str">
        <f>IF(ISNUMBER(SEARCH("금",$H174)),1,"")</f>
      </c>
      <c r="N174" s="85" t="str">
        <f>IF(ISNUMBER(SEARCH("토1",$H174)),1,"")</f>
      </c>
      <c r="O174" s="85" t="str">
        <f>IF(ISNUMBER(SEARCH("토2",$H174)),1,"")</f>
      </c>
      <c r="P174" s="85" t="str">
        <f>IF(ISNUMBER(SEARCH("토3",$H174)),1,"")</f>
      </c>
      <c r="Q174" s="85" t="str">
        <f>IF(ISNUMBER(SEARCH("일1",$H174)),1,"")</f>
      </c>
      <c r="R174" s="85" t="str">
        <f>IF(ISNUMBER(SEARCH("일2",$H174)),1,"")</f>
      </c>
      <c r="S174" s="85" t="str">
        <f>IF(ISNUMBER(SEARCH("일3",$H174)),1,"")</f>
      </c>
      <c r="T174" s="85" t="n">
        <f>SUM(I174:S174)</f>
        <v>0</v>
      </c>
      <c r="U174" s="175" t="str"/>
    </row>
    <row r="175" ht="23" customHeight="1">
      <c r="A175" s="84" t="n">
        <v>2</v>
      </c>
      <c r="B175" s="171" t="str"/>
      <c r="C175" s="171" t="str"/>
      <c r="D175" s="171" t="str"/>
      <c r="E175" s="172" t="str"/>
      <c r="F175" s="172" t="str"/>
      <c r="G175" s="173" t="str"/>
      <c r="H175" s="174" t="str"/>
      <c r="I175" s="85" t="str">
        <f>IF(ISNUMBER(SEARCH("월",$H175)),1,"")</f>
      </c>
      <c r="J175" s="85" t="str">
        <f>IF(ISNUMBER(SEARCH("화",$H175)),1,"")</f>
      </c>
      <c r="K175" s="85" t="str">
        <f>IF(ISNUMBER(SEARCH("수",$H175)),1,"")</f>
      </c>
      <c r="L175" s="85" t="str">
        <f>IF(ISNUMBER(SEARCH("목",$H175)),1,"")</f>
      </c>
      <c r="M175" s="85" t="str">
        <f>IF(ISNUMBER(SEARCH("금",$H175)),1,"")</f>
      </c>
      <c r="N175" s="85" t="str">
        <f>IF(ISNUMBER(SEARCH("토1",$H175)),1,"")</f>
      </c>
      <c r="O175" s="85" t="str">
        <f>IF(ISNUMBER(SEARCH("토2",$H175)),1,"")</f>
      </c>
      <c r="P175" s="85" t="str">
        <f>IF(ISNUMBER(SEARCH("토3",$H175)),1,"")</f>
      </c>
      <c r="Q175" s="85" t="str">
        <f>IF(ISNUMBER(SEARCH("일1",$H175)),1,"")</f>
      </c>
      <c r="R175" s="85" t="str">
        <f>IF(ISNUMBER(SEARCH("일2",$H175)),1,"")</f>
      </c>
      <c r="S175" s="85" t="str">
        <f>IF(ISNUMBER(SEARCH("일3",$H175)),1,"")</f>
      </c>
      <c r="T175" s="85" t="n">
        <f>SUM(I175:S175)</f>
        <v>0</v>
      </c>
      <c r="U175" s="175" t="str"/>
    </row>
    <row r="176" ht="23" customHeight="1">
      <c r="A176" s="84" t="n">
        <v>3</v>
      </c>
      <c r="B176" s="171" t="str"/>
      <c r="C176" s="171" t="str"/>
      <c r="D176" s="171" t="str"/>
      <c r="E176" s="172" t="str"/>
      <c r="F176" s="172" t="str"/>
      <c r="G176" s="173" t="str"/>
      <c r="H176" s="174" t="str"/>
      <c r="I176" s="85" t="str">
        <f>IF(ISNUMBER(SEARCH("월",$H176)),1,"")</f>
      </c>
      <c r="J176" s="85" t="str">
        <f>IF(ISNUMBER(SEARCH("화",$H176)),1,"")</f>
      </c>
      <c r="K176" s="85" t="str">
        <f>IF(ISNUMBER(SEARCH("수",$H176)),1,"")</f>
      </c>
      <c r="L176" s="85" t="str">
        <f>IF(ISNUMBER(SEARCH("목",$H176)),1,"")</f>
      </c>
      <c r="M176" s="85" t="str">
        <f>IF(ISNUMBER(SEARCH("금",$H176)),1,"")</f>
      </c>
      <c r="N176" s="85" t="str">
        <f>IF(ISNUMBER(SEARCH("토1",$H176)),1,"")</f>
      </c>
      <c r="O176" s="85" t="str">
        <f>IF(ISNUMBER(SEARCH("토2",$H176)),1,"")</f>
      </c>
      <c r="P176" s="85" t="str">
        <f>IF(ISNUMBER(SEARCH("토3",$H176)),1,"")</f>
      </c>
      <c r="Q176" s="85" t="str">
        <f>IF(ISNUMBER(SEARCH("일1",$H176)),1,"")</f>
      </c>
      <c r="R176" s="85" t="str">
        <f>IF(ISNUMBER(SEARCH("일2",$H176)),1,"")</f>
      </c>
      <c r="S176" s="85" t="str">
        <f>IF(ISNUMBER(SEARCH("일3",$H176)),1,"")</f>
      </c>
      <c r="T176" s="85" t="n">
        <f>SUM(I176:S176)</f>
        <v>0</v>
      </c>
      <c r="U176" s="175" t="str"/>
    </row>
    <row r="177" ht="23" customHeight="1">
      <c r="A177" s="84" t="n">
        <v>4</v>
      </c>
      <c r="B177" s="171" t="str"/>
      <c r="C177" s="171" t="str"/>
      <c r="D177" s="171" t="str"/>
      <c r="E177" s="172" t="str"/>
      <c r="F177" s="172" t="str"/>
      <c r="G177" s="173" t="str"/>
      <c r="H177" s="174" t="str"/>
      <c r="I177" s="85" t="str">
        <f>IF(ISNUMBER(SEARCH("월",$H177)),1,"")</f>
      </c>
      <c r="J177" s="85" t="str">
        <f>IF(ISNUMBER(SEARCH("화",$H177)),1,"")</f>
      </c>
      <c r="K177" s="85" t="str">
        <f>IF(ISNUMBER(SEARCH("수",$H177)),1,"")</f>
      </c>
      <c r="L177" s="85" t="str">
        <f>IF(ISNUMBER(SEARCH("목",$H177)),1,"")</f>
      </c>
      <c r="M177" s="85" t="str">
        <f>IF(ISNUMBER(SEARCH("금",$H177)),1,"")</f>
      </c>
      <c r="N177" s="85" t="str">
        <f>IF(ISNUMBER(SEARCH("토1",$H177)),1,"")</f>
      </c>
      <c r="O177" s="85" t="str">
        <f>IF(ISNUMBER(SEARCH("토2",$H177)),1,"")</f>
      </c>
      <c r="P177" s="85" t="str">
        <f>IF(ISNUMBER(SEARCH("토3",$H177)),1,"")</f>
      </c>
      <c r="Q177" s="85" t="str">
        <f>IF(ISNUMBER(SEARCH("일1",$H177)),1,"")</f>
      </c>
      <c r="R177" s="85" t="str">
        <f>IF(ISNUMBER(SEARCH("일2",$H177)),1,"")</f>
      </c>
      <c r="S177" s="85" t="str">
        <f>IF(ISNUMBER(SEARCH("일3",$H177)),1,"")</f>
      </c>
      <c r="T177" s="85" t="n">
        <f>SUM(I177:S177)</f>
        <v>0</v>
      </c>
      <c r="U177" s="175" t="str"/>
    </row>
    <row r="178" ht="23" customHeight="1">
      <c r="A178" s="84" t="n">
        <v>5</v>
      </c>
      <c r="B178" s="171" t="str"/>
      <c r="C178" s="171" t="str"/>
      <c r="D178" s="171" t="str"/>
      <c r="E178" s="172" t="str"/>
      <c r="F178" s="172" t="str"/>
      <c r="G178" s="173" t="str"/>
      <c r="H178" s="174" t="str"/>
      <c r="I178" s="85" t="str">
        <f>IF(ISNUMBER(SEARCH("월",$H178)),1,"")</f>
      </c>
      <c r="J178" s="85" t="str">
        <f>IF(ISNUMBER(SEARCH("화",$H178)),1,"")</f>
      </c>
      <c r="K178" s="85" t="str">
        <f>IF(ISNUMBER(SEARCH("수",$H178)),1,"")</f>
      </c>
      <c r="L178" s="85" t="str">
        <f>IF(ISNUMBER(SEARCH("목",$H178)),1,"")</f>
      </c>
      <c r="M178" s="85" t="str">
        <f>IF(ISNUMBER(SEARCH("금",$H178)),1,"")</f>
      </c>
      <c r="N178" s="85" t="str">
        <f>IF(ISNUMBER(SEARCH("토1",$H178)),1,"")</f>
      </c>
      <c r="O178" s="85" t="str">
        <f>IF(ISNUMBER(SEARCH("토2",$H178)),1,"")</f>
      </c>
      <c r="P178" s="85" t="str">
        <f>IF(ISNUMBER(SEARCH("토3",$H178)),1,"")</f>
      </c>
      <c r="Q178" s="85" t="str">
        <f>IF(ISNUMBER(SEARCH("일1",$H178)),1,"")</f>
      </c>
      <c r="R178" s="85" t="str">
        <f>IF(ISNUMBER(SEARCH("일2",$H178)),1,"")</f>
      </c>
      <c r="S178" s="85" t="str">
        <f>IF(ISNUMBER(SEARCH("일3",$H178)),1,"")</f>
      </c>
      <c r="T178" s="85" t="n">
        <f>SUM(I178:S178)</f>
        <v>0</v>
      </c>
      <c r="U178" s="175" t="str"/>
    </row>
    <row r="179" ht="23" customHeight="1">
      <c r="A179" s="84" t="n">
        <v>6</v>
      </c>
      <c r="B179" s="171" t="str"/>
      <c r="C179" s="171" t="str"/>
      <c r="D179" s="171" t="str"/>
      <c r="E179" s="172" t="str"/>
      <c r="F179" s="172" t="str"/>
      <c r="G179" s="173" t="str"/>
      <c r="H179" s="174" t="str"/>
      <c r="I179" s="85" t="str">
        <f>IF(ISNUMBER(SEARCH("월",$H179)),1,"")</f>
      </c>
      <c r="J179" s="85" t="str">
        <f>IF(ISNUMBER(SEARCH("화",$H179)),1,"")</f>
      </c>
      <c r="K179" s="85" t="str">
        <f>IF(ISNUMBER(SEARCH("수",$H179)),1,"")</f>
      </c>
      <c r="L179" s="85" t="str">
        <f>IF(ISNUMBER(SEARCH("목",$H179)),1,"")</f>
      </c>
      <c r="M179" s="85" t="str">
        <f>IF(ISNUMBER(SEARCH("금",$H179)),1,"")</f>
      </c>
      <c r="N179" s="85" t="str">
        <f>IF(ISNUMBER(SEARCH("토1",$H179)),1,"")</f>
      </c>
      <c r="O179" s="85" t="str">
        <f>IF(ISNUMBER(SEARCH("토2",$H179)),1,"")</f>
      </c>
      <c r="P179" s="85" t="str">
        <f>IF(ISNUMBER(SEARCH("토3",$H179)),1,"")</f>
      </c>
      <c r="Q179" s="85" t="str">
        <f>IF(ISNUMBER(SEARCH("일1",$H179)),1,"")</f>
      </c>
      <c r="R179" s="85" t="str">
        <f>IF(ISNUMBER(SEARCH("일2",$H179)),1,"")</f>
      </c>
      <c r="S179" s="85" t="str">
        <f>IF(ISNUMBER(SEARCH("일3",$H179)),1,"")</f>
      </c>
      <c r="T179" s="85" t="n">
        <f>SUM(I179:S179)</f>
        <v>0</v>
      </c>
      <c r="U179" s="175" t="str"/>
    </row>
    <row r="180" ht="23" customHeight="1">
      <c r="A180" s="84" t="n">
        <v>7</v>
      </c>
      <c r="B180" s="171" t="str"/>
      <c r="C180" s="171" t="str"/>
      <c r="D180" s="171" t="str"/>
      <c r="E180" s="172" t="str"/>
      <c r="F180" s="172" t="str"/>
      <c r="G180" s="173" t="str"/>
      <c r="H180" s="174" t="str"/>
      <c r="I180" s="85" t="str">
        <f>IF(ISNUMBER(SEARCH("월",$H180)),1,"")</f>
      </c>
      <c r="J180" s="85" t="str">
        <f>IF(ISNUMBER(SEARCH("화",$H180)),1,"")</f>
      </c>
      <c r="K180" s="85" t="str">
        <f>IF(ISNUMBER(SEARCH("수",$H180)),1,"")</f>
      </c>
      <c r="L180" s="85" t="str">
        <f>IF(ISNUMBER(SEARCH("목",$H180)),1,"")</f>
      </c>
      <c r="M180" s="85" t="str">
        <f>IF(ISNUMBER(SEARCH("금",$H180)),1,"")</f>
      </c>
      <c r="N180" s="85" t="str">
        <f>IF(ISNUMBER(SEARCH("토1",$H180)),1,"")</f>
      </c>
      <c r="O180" s="85" t="str">
        <f>IF(ISNUMBER(SEARCH("토2",$H180)),1,"")</f>
      </c>
      <c r="P180" s="85" t="str">
        <f>IF(ISNUMBER(SEARCH("토3",$H180)),1,"")</f>
      </c>
      <c r="Q180" s="85" t="str">
        <f>IF(ISNUMBER(SEARCH("일1",$H180)),1,"")</f>
      </c>
      <c r="R180" s="85" t="str">
        <f>IF(ISNUMBER(SEARCH("일2",$H180)),1,"")</f>
      </c>
      <c r="S180" s="85" t="str">
        <f>IF(ISNUMBER(SEARCH("일3",$H180)),1,"")</f>
      </c>
      <c r="T180" s="85" t="n">
        <f>SUM(I180:S180)</f>
        <v>0</v>
      </c>
      <c r="U180" s="175" t="str"/>
    </row>
    <row r="181" ht="23" customHeight="1">
      <c r="A181" s="84" t="n">
        <v>8</v>
      </c>
      <c r="B181" s="171" t="str"/>
      <c r="C181" s="171" t="str"/>
      <c r="D181" s="171" t="str"/>
      <c r="E181" s="172" t="str"/>
      <c r="F181" s="172" t="str"/>
      <c r="G181" s="173" t="str"/>
      <c r="H181" s="174" t="str"/>
      <c r="I181" s="85" t="str">
        <f>IF(ISNUMBER(SEARCH("월",$H181)),1,"")</f>
      </c>
      <c r="J181" s="85" t="str">
        <f>IF(ISNUMBER(SEARCH("화",$H181)),1,"")</f>
      </c>
      <c r="K181" s="85" t="str">
        <f>IF(ISNUMBER(SEARCH("수",$H181)),1,"")</f>
      </c>
      <c r="L181" s="85" t="str">
        <f>IF(ISNUMBER(SEARCH("목",$H181)),1,"")</f>
      </c>
      <c r="M181" s="85" t="str">
        <f>IF(ISNUMBER(SEARCH("금",$H181)),1,"")</f>
      </c>
      <c r="N181" s="85" t="str">
        <f>IF(ISNUMBER(SEARCH("토1",$H181)),1,"")</f>
      </c>
      <c r="O181" s="85" t="str">
        <f>IF(ISNUMBER(SEARCH("토2",$H181)),1,"")</f>
      </c>
      <c r="P181" s="85" t="str">
        <f>IF(ISNUMBER(SEARCH("토3",$H181)),1,"")</f>
      </c>
      <c r="Q181" s="85" t="str">
        <f>IF(ISNUMBER(SEARCH("일1",$H181)),1,"")</f>
      </c>
      <c r="R181" s="85" t="str">
        <f>IF(ISNUMBER(SEARCH("일2",$H181)),1,"")</f>
      </c>
      <c r="S181" s="85" t="str">
        <f>IF(ISNUMBER(SEARCH("일3",$H181)),1,"")</f>
      </c>
      <c r="T181" s="85" t="n">
        <f>SUM(I181:S181)</f>
        <v>0</v>
      </c>
      <c r="U181" s="175" t="str"/>
    </row>
    <row r="182" ht="23" customHeight="1">
      <c r="A182" s="84" t="n">
        <v>9</v>
      </c>
      <c r="B182" s="171" t="str"/>
      <c r="C182" s="171" t="str"/>
      <c r="D182" s="171" t="str"/>
      <c r="E182" s="172" t="str"/>
      <c r="F182" s="172" t="str"/>
      <c r="G182" s="173" t="str"/>
      <c r="H182" s="174" t="str"/>
      <c r="I182" s="85" t="str">
        <f>IF(ISNUMBER(SEARCH("월",$H182)),1,"")</f>
      </c>
      <c r="J182" s="85" t="str">
        <f>IF(ISNUMBER(SEARCH("화",$H182)),1,"")</f>
      </c>
      <c r="K182" s="85" t="str">
        <f>IF(ISNUMBER(SEARCH("수",$H182)),1,"")</f>
      </c>
      <c r="L182" s="85" t="str">
        <f>IF(ISNUMBER(SEARCH("목",$H182)),1,"")</f>
      </c>
      <c r="M182" s="85" t="str">
        <f>IF(ISNUMBER(SEARCH("금",$H182)),1,"")</f>
      </c>
      <c r="N182" s="85" t="str">
        <f>IF(ISNUMBER(SEARCH("토1",$H182)),1,"")</f>
      </c>
      <c r="O182" s="85" t="str">
        <f>IF(ISNUMBER(SEARCH("토2",$H182)),1,"")</f>
      </c>
      <c r="P182" s="85" t="str">
        <f>IF(ISNUMBER(SEARCH("토3",$H182)),1,"")</f>
      </c>
      <c r="Q182" s="85" t="str">
        <f>IF(ISNUMBER(SEARCH("일1",$H182)),1,"")</f>
      </c>
      <c r="R182" s="85" t="str">
        <f>IF(ISNUMBER(SEARCH("일2",$H182)),1,"")</f>
      </c>
      <c r="S182" s="85" t="str">
        <f>IF(ISNUMBER(SEARCH("일3",$H182)),1,"")</f>
      </c>
      <c r="T182" s="85" t="n">
        <f>SUM(I182:S182)</f>
        <v>0</v>
      </c>
      <c r="U182" s="175" t="str"/>
    </row>
    <row r="183" ht="23" customHeight="1">
      <c r="A183" s="84" t="n">
        <v>10</v>
      </c>
      <c r="B183" s="171" t="str"/>
      <c r="C183" s="171" t="str"/>
      <c r="D183" s="171" t="str"/>
      <c r="E183" s="172" t="str"/>
      <c r="F183" s="172" t="str"/>
      <c r="G183" s="173" t="str"/>
      <c r="H183" s="174" t="str"/>
      <c r="I183" s="85" t="str">
        <f>IF(ISNUMBER(SEARCH("월",$H183)),1,"")</f>
      </c>
      <c r="J183" s="85" t="str">
        <f>IF(ISNUMBER(SEARCH("화",$H183)),1,"")</f>
      </c>
      <c r="K183" s="85" t="str">
        <f>IF(ISNUMBER(SEARCH("수",$H183)),1,"")</f>
      </c>
      <c r="L183" s="85" t="str">
        <f>IF(ISNUMBER(SEARCH("목",$H183)),1,"")</f>
      </c>
      <c r="M183" s="85" t="str">
        <f>IF(ISNUMBER(SEARCH("금",$H183)),1,"")</f>
      </c>
      <c r="N183" s="85" t="str">
        <f>IF(ISNUMBER(SEARCH("토1",$H183)),1,"")</f>
      </c>
      <c r="O183" s="85" t="str">
        <f>IF(ISNUMBER(SEARCH("토2",$H183)),1,"")</f>
      </c>
      <c r="P183" s="85" t="str">
        <f>IF(ISNUMBER(SEARCH("토3",$H183)),1,"")</f>
      </c>
      <c r="Q183" s="85" t="str">
        <f>IF(ISNUMBER(SEARCH("일1",$H183)),1,"")</f>
      </c>
      <c r="R183" s="85" t="str">
        <f>IF(ISNUMBER(SEARCH("일2",$H183)),1,"")</f>
      </c>
      <c r="S183" s="85" t="str">
        <f>IF(ISNUMBER(SEARCH("일3",$H183)),1,"")</f>
      </c>
      <c r="T183" s="85" t="n">
        <f>SUM(I183:S183)</f>
        <v>0</v>
      </c>
      <c r="U183" s="175" t="str"/>
    </row>
    <row r="184" ht="23" customHeight="1">
      <c r="A184" s="84" t="n">
        <v>11</v>
      </c>
      <c r="B184" s="171" t="str"/>
      <c r="C184" s="171" t="str"/>
      <c r="D184" s="171" t="str"/>
      <c r="E184" s="172" t="str"/>
      <c r="F184" s="172" t="str"/>
      <c r="G184" s="173" t="str"/>
      <c r="H184" s="174" t="str"/>
      <c r="I184" s="85" t="str">
        <f>IF(ISNUMBER(SEARCH("월",$H184)),1,"")</f>
      </c>
      <c r="J184" s="85" t="str">
        <f>IF(ISNUMBER(SEARCH("화",$H184)),1,"")</f>
      </c>
      <c r="K184" s="85" t="str">
        <f>IF(ISNUMBER(SEARCH("수",$H184)),1,"")</f>
      </c>
      <c r="L184" s="85" t="str">
        <f>IF(ISNUMBER(SEARCH("목",$H184)),1,"")</f>
      </c>
      <c r="M184" s="85" t="str">
        <f>IF(ISNUMBER(SEARCH("금",$H184)),1,"")</f>
      </c>
      <c r="N184" s="85" t="str">
        <f>IF(ISNUMBER(SEARCH("토1",$H184)),1,"")</f>
      </c>
      <c r="O184" s="85" t="str">
        <f>IF(ISNUMBER(SEARCH("토2",$H184)),1,"")</f>
      </c>
      <c r="P184" s="85" t="str">
        <f>IF(ISNUMBER(SEARCH("토3",$H184)),1,"")</f>
      </c>
      <c r="Q184" s="85" t="str">
        <f>IF(ISNUMBER(SEARCH("일1",$H184)),1,"")</f>
      </c>
      <c r="R184" s="85" t="str">
        <f>IF(ISNUMBER(SEARCH("일2",$H184)),1,"")</f>
      </c>
      <c r="S184" s="85" t="str">
        <f>IF(ISNUMBER(SEARCH("일3",$H184)),1,"")</f>
      </c>
      <c r="T184" s="85" t="n">
        <f>SUM(I184:S184)</f>
        <v>0</v>
      </c>
      <c r="U184" s="175" t="str"/>
    </row>
    <row r="185" ht="23" customHeight="1">
      <c r="A185" s="84" t="n">
        <v>12</v>
      </c>
      <c r="B185" s="171" t="str"/>
      <c r="C185" s="171" t="str"/>
      <c r="D185" s="171" t="str"/>
      <c r="E185" s="172" t="str"/>
      <c r="F185" s="172" t="str"/>
      <c r="G185" s="173" t="str"/>
      <c r="H185" s="174" t="str"/>
      <c r="I185" s="85" t="str">
        <f>IF(ISNUMBER(SEARCH("월",$H185)),1,"")</f>
      </c>
      <c r="J185" s="85" t="str">
        <f>IF(ISNUMBER(SEARCH("화",$H185)),1,"")</f>
      </c>
      <c r="K185" s="85" t="str">
        <f>IF(ISNUMBER(SEARCH("수",$H185)),1,"")</f>
      </c>
      <c r="L185" s="85" t="str">
        <f>IF(ISNUMBER(SEARCH("목",$H185)),1,"")</f>
      </c>
      <c r="M185" s="85" t="str">
        <f>IF(ISNUMBER(SEARCH("금",$H185)),1,"")</f>
      </c>
      <c r="N185" s="85" t="str">
        <f>IF(ISNUMBER(SEARCH("토1",$H185)),1,"")</f>
      </c>
      <c r="O185" s="85" t="str">
        <f>IF(ISNUMBER(SEARCH("토2",$H185)),1,"")</f>
      </c>
      <c r="P185" s="85" t="str">
        <f>IF(ISNUMBER(SEARCH("토3",$H185)),1,"")</f>
      </c>
      <c r="Q185" s="85" t="str">
        <f>IF(ISNUMBER(SEARCH("일1",$H185)),1,"")</f>
      </c>
      <c r="R185" s="85" t="str">
        <f>IF(ISNUMBER(SEARCH("일2",$H185)),1,"")</f>
      </c>
      <c r="S185" s="85" t="str">
        <f>IF(ISNUMBER(SEARCH("일3",$H185)),1,"")</f>
      </c>
      <c r="T185" s="85" t="n">
        <f>SUM(I185:S185)</f>
        <v>0</v>
      </c>
      <c r="U185" s="175" t="str"/>
    </row>
    <row r="186" ht="23" customHeight="1">
      <c r="A186" s="84" t="n">
        <v>13</v>
      </c>
      <c r="B186" s="171" t="str"/>
      <c r="C186" s="171" t="str"/>
      <c r="D186" s="171" t="str"/>
      <c r="E186" s="172" t="str"/>
      <c r="F186" s="172" t="str"/>
      <c r="G186" s="173" t="str"/>
      <c r="H186" s="174" t="str"/>
      <c r="I186" s="85" t="str">
        <f>IF(ISNUMBER(SEARCH("월",$H186)),1,"")</f>
      </c>
      <c r="J186" s="85" t="str">
        <f>IF(ISNUMBER(SEARCH("화",$H186)),1,"")</f>
      </c>
      <c r="K186" s="85" t="str">
        <f>IF(ISNUMBER(SEARCH("수",$H186)),1,"")</f>
      </c>
      <c r="L186" s="85" t="str">
        <f>IF(ISNUMBER(SEARCH("목",$H186)),1,"")</f>
      </c>
      <c r="M186" s="85" t="str">
        <f>IF(ISNUMBER(SEARCH("금",$H186)),1,"")</f>
      </c>
      <c r="N186" s="85" t="str">
        <f>IF(ISNUMBER(SEARCH("토1",$H186)),1,"")</f>
      </c>
      <c r="O186" s="85" t="str">
        <f>IF(ISNUMBER(SEARCH("토2",$H186)),1,"")</f>
      </c>
      <c r="P186" s="85" t="str">
        <f>IF(ISNUMBER(SEARCH("토3",$H186)),1,"")</f>
      </c>
      <c r="Q186" s="85" t="str">
        <f>IF(ISNUMBER(SEARCH("일1",$H186)),1,"")</f>
      </c>
      <c r="R186" s="85" t="str">
        <f>IF(ISNUMBER(SEARCH("일2",$H186)),1,"")</f>
      </c>
      <c r="S186" s="85" t="str">
        <f>IF(ISNUMBER(SEARCH("일3",$H186)),1,"")</f>
      </c>
      <c r="T186" s="85" t="n">
        <f>SUM(I186:S186)</f>
        <v>0</v>
      </c>
      <c r="U186" s="175" t="str"/>
    </row>
    <row r="187" ht="23" customHeight="1">
      <c r="A187" s="84" t="n">
        <v>14</v>
      </c>
      <c r="B187" s="171" t="str"/>
      <c r="C187" s="171" t="str"/>
      <c r="D187" s="171" t="str"/>
      <c r="E187" s="172" t="str"/>
      <c r="F187" s="172" t="str"/>
      <c r="G187" s="173" t="str"/>
      <c r="H187" s="174" t="str"/>
      <c r="I187" s="85" t="str">
        <f>IF(ISNUMBER(SEARCH("월",$H187)),1,"")</f>
      </c>
      <c r="J187" s="85" t="str">
        <f>IF(ISNUMBER(SEARCH("화",$H187)),1,"")</f>
      </c>
      <c r="K187" s="85" t="str">
        <f>IF(ISNUMBER(SEARCH("수",$H187)),1,"")</f>
      </c>
      <c r="L187" s="85" t="str">
        <f>IF(ISNUMBER(SEARCH("목",$H187)),1,"")</f>
      </c>
      <c r="M187" s="85" t="str">
        <f>IF(ISNUMBER(SEARCH("금",$H187)),1,"")</f>
      </c>
      <c r="N187" s="85" t="str">
        <f>IF(ISNUMBER(SEARCH("토1",$H187)),1,"")</f>
      </c>
      <c r="O187" s="85" t="str">
        <f>IF(ISNUMBER(SEARCH("토2",$H187)),1,"")</f>
      </c>
      <c r="P187" s="85" t="str">
        <f>IF(ISNUMBER(SEARCH("토3",$H187)),1,"")</f>
      </c>
      <c r="Q187" s="85" t="str">
        <f>IF(ISNUMBER(SEARCH("일1",$H187)),1,"")</f>
      </c>
      <c r="R187" s="85" t="str">
        <f>IF(ISNUMBER(SEARCH("일2",$H187)),1,"")</f>
      </c>
      <c r="S187" s="85" t="str">
        <f>IF(ISNUMBER(SEARCH("일3",$H187)),1,"")</f>
      </c>
      <c r="T187" s="85" t="n">
        <f>SUM(I187:S187)</f>
        <v>0</v>
      </c>
      <c r="U187" s="175" t="str"/>
    </row>
    <row r="188" ht="23" customHeight="1">
      <c r="A188" s="84" t="n">
        <v>15</v>
      </c>
      <c r="B188" s="171" t="str"/>
      <c r="C188" s="171" t="str"/>
      <c r="D188" s="171" t="str"/>
      <c r="E188" s="172" t="str"/>
      <c r="F188" s="172" t="str"/>
      <c r="G188" s="173" t="str"/>
      <c r="H188" s="174" t="str"/>
      <c r="I188" s="85" t="str">
        <f>IF(ISNUMBER(SEARCH("월",$H188)),1,"")</f>
      </c>
      <c r="J188" s="85" t="str">
        <f>IF(ISNUMBER(SEARCH("화",$H188)),1,"")</f>
      </c>
      <c r="K188" s="85" t="str">
        <f>IF(ISNUMBER(SEARCH("수",$H188)),1,"")</f>
      </c>
      <c r="L188" s="85" t="str">
        <f>IF(ISNUMBER(SEARCH("목",$H188)),1,"")</f>
      </c>
      <c r="M188" s="85" t="str">
        <f>IF(ISNUMBER(SEARCH("금",$H188)),1,"")</f>
      </c>
      <c r="N188" s="85" t="str">
        <f>IF(ISNUMBER(SEARCH("토1",$H188)),1,"")</f>
      </c>
      <c r="O188" s="85" t="str">
        <f>IF(ISNUMBER(SEARCH("토2",$H188)),1,"")</f>
      </c>
      <c r="P188" s="85" t="str">
        <f>IF(ISNUMBER(SEARCH("토3",$H188)),1,"")</f>
      </c>
      <c r="Q188" s="85" t="str">
        <f>IF(ISNUMBER(SEARCH("일1",$H188)),1,"")</f>
      </c>
      <c r="R188" s="85" t="str">
        <f>IF(ISNUMBER(SEARCH("일2",$H188)),1,"")</f>
      </c>
      <c r="S188" s="85" t="str">
        <f>IF(ISNUMBER(SEARCH("일3",$H188)),1,"")</f>
      </c>
      <c r="T188" s="85" t="n">
        <f>SUM(I188:S188)</f>
        <v>0</v>
      </c>
      <c r="U188" s="175" t="str"/>
    </row>
    <row r="189" ht="23" customHeight="1">
      <c r="A189" s="84" t="n">
        <v>16</v>
      </c>
      <c r="B189" s="171" t="str"/>
      <c r="C189" s="171" t="str"/>
      <c r="D189" s="171" t="str"/>
      <c r="E189" s="172" t="str"/>
      <c r="F189" s="172" t="str"/>
      <c r="G189" s="173" t="str"/>
      <c r="H189" s="174" t="str"/>
      <c r="I189" s="85" t="str">
        <f>IF(ISNUMBER(SEARCH("월",$H189)),1,"")</f>
      </c>
      <c r="J189" s="85" t="str">
        <f>IF(ISNUMBER(SEARCH("화",$H189)),1,"")</f>
      </c>
      <c r="K189" s="85" t="str">
        <f>IF(ISNUMBER(SEARCH("수",$H189)),1,"")</f>
      </c>
      <c r="L189" s="85" t="str">
        <f>IF(ISNUMBER(SEARCH("목",$H189)),1,"")</f>
      </c>
      <c r="M189" s="85" t="str">
        <f>IF(ISNUMBER(SEARCH("금",$H189)),1,"")</f>
      </c>
      <c r="N189" s="85" t="str">
        <f>IF(ISNUMBER(SEARCH("토1",$H189)),1,"")</f>
      </c>
      <c r="O189" s="85" t="str">
        <f>IF(ISNUMBER(SEARCH("토2",$H189)),1,"")</f>
      </c>
      <c r="P189" s="85" t="str">
        <f>IF(ISNUMBER(SEARCH("토3",$H189)),1,"")</f>
      </c>
      <c r="Q189" s="85" t="str">
        <f>IF(ISNUMBER(SEARCH("일1",$H189)),1,"")</f>
      </c>
      <c r="R189" s="85" t="str">
        <f>IF(ISNUMBER(SEARCH("일2",$H189)),1,"")</f>
      </c>
      <c r="S189" s="85" t="str">
        <f>IF(ISNUMBER(SEARCH("일3",$H189)),1,"")</f>
      </c>
      <c r="T189" s="85" t="n">
        <f>SUM(I189:S189)</f>
        <v>0</v>
      </c>
      <c r="U189" s="175" t="str"/>
    </row>
    <row r="190" ht="23" customHeight="1">
      <c r="A190" s="84" t="n">
        <v>17</v>
      </c>
      <c r="B190" s="171" t="str"/>
      <c r="C190" s="171" t="str"/>
      <c r="D190" s="171" t="str"/>
      <c r="E190" s="172" t="str"/>
      <c r="F190" s="172" t="str"/>
      <c r="G190" s="173" t="str"/>
      <c r="H190" s="174" t="str"/>
      <c r="I190" s="85" t="str">
        <f>IF(ISNUMBER(SEARCH("월",$H190)),1,"")</f>
      </c>
      <c r="J190" s="85" t="str">
        <f>IF(ISNUMBER(SEARCH("화",$H190)),1,"")</f>
      </c>
      <c r="K190" s="85" t="str">
        <f>IF(ISNUMBER(SEARCH("수",$H190)),1,"")</f>
      </c>
      <c r="L190" s="85" t="str">
        <f>IF(ISNUMBER(SEARCH("목",$H190)),1,"")</f>
      </c>
      <c r="M190" s="85" t="str">
        <f>IF(ISNUMBER(SEARCH("금",$H190)),1,"")</f>
      </c>
      <c r="N190" s="85" t="str">
        <f>IF(ISNUMBER(SEARCH("토1",$H190)),1,"")</f>
      </c>
      <c r="O190" s="85" t="str">
        <f>IF(ISNUMBER(SEARCH("토2",$H190)),1,"")</f>
      </c>
      <c r="P190" s="85" t="str">
        <f>IF(ISNUMBER(SEARCH("토3",$H190)),1,"")</f>
      </c>
      <c r="Q190" s="85" t="str">
        <f>IF(ISNUMBER(SEARCH("일1",$H190)),1,"")</f>
      </c>
      <c r="R190" s="85" t="str">
        <f>IF(ISNUMBER(SEARCH("일2",$H190)),1,"")</f>
      </c>
      <c r="S190" s="85" t="str">
        <f>IF(ISNUMBER(SEARCH("일3",$H190)),1,"")</f>
      </c>
      <c r="T190" s="85" t="n">
        <f>SUM(I190:S190)</f>
        <v>0</v>
      </c>
      <c r="U190" s="175" t="str"/>
    </row>
    <row r="191" ht="23" customHeight="1">
      <c r="A191" s="84" t="n">
        <v>18</v>
      </c>
      <c r="B191" s="171" t="str"/>
      <c r="C191" s="171" t="str"/>
      <c r="D191" s="171" t="str"/>
      <c r="E191" s="172" t="str"/>
      <c r="F191" s="172" t="str"/>
      <c r="G191" s="173" t="str"/>
      <c r="H191" s="174" t="str"/>
      <c r="I191" s="85" t="str">
        <f>IF(ISNUMBER(SEARCH("월",$H191)),1,"")</f>
      </c>
      <c r="J191" s="85" t="str">
        <f>IF(ISNUMBER(SEARCH("화",$H191)),1,"")</f>
      </c>
      <c r="K191" s="85" t="str">
        <f>IF(ISNUMBER(SEARCH("수",$H191)),1,"")</f>
      </c>
      <c r="L191" s="85" t="str">
        <f>IF(ISNUMBER(SEARCH("목",$H191)),1,"")</f>
      </c>
      <c r="M191" s="85" t="str">
        <f>IF(ISNUMBER(SEARCH("금",$H191)),1,"")</f>
      </c>
      <c r="N191" s="85" t="str">
        <f>IF(ISNUMBER(SEARCH("토1",$H191)),1,"")</f>
      </c>
      <c r="O191" s="85" t="str">
        <f>IF(ISNUMBER(SEARCH("토2",$H191)),1,"")</f>
      </c>
      <c r="P191" s="85" t="str">
        <f>IF(ISNUMBER(SEARCH("토3",$H191)),1,"")</f>
      </c>
      <c r="Q191" s="85" t="str">
        <f>IF(ISNUMBER(SEARCH("일1",$H191)),1,"")</f>
      </c>
      <c r="R191" s="85" t="str">
        <f>IF(ISNUMBER(SEARCH("일2",$H191)),1,"")</f>
      </c>
      <c r="S191" s="85" t="str">
        <f>IF(ISNUMBER(SEARCH("일3",$H191)),1,"")</f>
      </c>
      <c r="T191" s="85" t="n">
        <f>SUM(I191:S191)</f>
        <v>0</v>
      </c>
      <c r="U191" s="175" t="str"/>
    </row>
    <row r="192" ht="23" customHeight="1">
      <c r="A192" s="84" t="n">
        <v>19</v>
      </c>
      <c r="B192" s="171" t="str"/>
      <c r="C192" s="171" t="str"/>
      <c r="D192" s="171" t="str"/>
      <c r="E192" s="172" t="str"/>
      <c r="F192" s="172" t="str"/>
      <c r="G192" s="173" t="str"/>
      <c r="H192" s="174" t="str"/>
      <c r="I192" s="85" t="str">
        <f>IF(ISNUMBER(SEARCH("월",$H192)),1,"")</f>
      </c>
      <c r="J192" s="85" t="str">
        <f>IF(ISNUMBER(SEARCH("화",$H192)),1,"")</f>
      </c>
      <c r="K192" s="85" t="str">
        <f>IF(ISNUMBER(SEARCH("수",$H192)),1,"")</f>
      </c>
      <c r="L192" s="85" t="str">
        <f>IF(ISNUMBER(SEARCH("목",$H192)),1,"")</f>
      </c>
      <c r="M192" s="85" t="str">
        <f>IF(ISNUMBER(SEARCH("금",$H192)),1,"")</f>
      </c>
      <c r="N192" s="85" t="str">
        <f>IF(ISNUMBER(SEARCH("토1",$H192)),1,"")</f>
      </c>
      <c r="O192" s="85" t="str">
        <f>IF(ISNUMBER(SEARCH("토2",$H192)),1,"")</f>
      </c>
      <c r="P192" s="85" t="str">
        <f>IF(ISNUMBER(SEARCH("토3",$H192)),1,"")</f>
      </c>
      <c r="Q192" s="85" t="str">
        <f>IF(ISNUMBER(SEARCH("일1",$H192)),1,"")</f>
      </c>
      <c r="R192" s="85" t="str">
        <f>IF(ISNUMBER(SEARCH("일2",$H192)),1,"")</f>
      </c>
      <c r="S192" s="85" t="str">
        <f>IF(ISNUMBER(SEARCH("일3",$H192)),1,"")</f>
      </c>
      <c r="T192" s="85" t="n">
        <f>SUM(I192:S192)</f>
        <v>0</v>
      </c>
      <c r="U192" s="175" t="str"/>
    </row>
    <row r="193" ht="23" customHeight="1">
      <c r="A193" s="84" t="n">
        <v>20</v>
      </c>
      <c r="B193" s="171" t="str"/>
      <c r="C193" s="171" t="str"/>
      <c r="D193" s="171" t="str"/>
      <c r="E193" s="172" t="str"/>
      <c r="F193" s="172" t="str"/>
      <c r="G193" s="173" t="str"/>
      <c r="H193" s="174" t="str"/>
      <c r="I193" s="85" t="str">
        <f>IF(ISNUMBER(SEARCH("월",$H193)),1,"")</f>
      </c>
      <c r="J193" s="85" t="str">
        <f>IF(ISNUMBER(SEARCH("화",$H193)),1,"")</f>
      </c>
      <c r="K193" s="85" t="str">
        <f>IF(ISNUMBER(SEARCH("수",$H193)),1,"")</f>
      </c>
      <c r="L193" s="85" t="str">
        <f>IF(ISNUMBER(SEARCH("목",$H193)),1,"")</f>
      </c>
      <c r="M193" s="85" t="str">
        <f>IF(ISNUMBER(SEARCH("금",$H193)),1,"")</f>
      </c>
      <c r="N193" s="85" t="str">
        <f>IF(ISNUMBER(SEARCH("토1",$H193)),1,"")</f>
      </c>
      <c r="O193" s="85" t="str">
        <f>IF(ISNUMBER(SEARCH("토2",$H193)),1,"")</f>
      </c>
      <c r="P193" s="85" t="str">
        <f>IF(ISNUMBER(SEARCH("토3",$H193)),1,"")</f>
      </c>
      <c r="Q193" s="85" t="str">
        <f>IF(ISNUMBER(SEARCH("일1",$H193)),1,"")</f>
      </c>
      <c r="R193" s="85" t="str">
        <f>IF(ISNUMBER(SEARCH("일2",$H193)),1,"")</f>
      </c>
      <c r="S193" s="85" t="str">
        <f>IF(ISNUMBER(SEARCH("일3",$H193)),1,"")</f>
      </c>
      <c r="T193" s="85" t="n">
        <f>SUM(I193:S193)</f>
        <v>0</v>
      </c>
      <c r="U193" s="175" t="str"/>
    </row>
    <row r="194" ht="27" customHeight="1">
      <c r="A194" s="168" t="str"/>
      <c r="B194" s="169"/>
      <c r="C194" s="169"/>
      <c r="D194" s="169"/>
      <c r="E194" s="169"/>
      <c r="F194" s="169"/>
      <c r="G194" s="169"/>
      <c r="H194" s="169"/>
      <c r="I194" s="169"/>
      <c r="J194" s="169"/>
      <c r="K194" s="169"/>
      <c r="L194" s="169"/>
      <c r="M194" s="169"/>
      <c r="N194" s="169"/>
      <c r="O194" s="169"/>
      <c r="P194" s="169"/>
      <c r="Q194" s="169"/>
      <c r="R194" s="169"/>
      <c r="S194" s="169"/>
      <c r="T194" s="169"/>
      <c r="U194" s="170"/>
    </row>
    <row r="195" ht="23" customHeight="1">
      <c r="A195" s="84" t="n">
        <v>1</v>
      </c>
      <c r="B195" s="171" t="str"/>
      <c r="C195" s="171" t="str"/>
      <c r="D195" s="171" t="str"/>
      <c r="E195" s="172" t="str"/>
      <c r="F195" s="172" t="str"/>
      <c r="G195" s="173" t="str"/>
      <c r="H195" s="174" t="str"/>
      <c r="I195" s="85" t="str">
        <f>IF(ISNUMBER(SEARCH("월",$H195)),1,"")</f>
      </c>
      <c r="J195" s="85" t="str">
        <f>IF(ISNUMBER(SEARCH("화",$H195)),1,"")</f>
      </c>
      <c r="K195" s="85" t="str">
        <f>IF(ISNUMBER(SEARCH("수",$H195)),1,"")</f>
      </c>
      <c r="L195" s="85" t="str">
        <f>IF(ISNUMBER(SEARCH("목",$H195)),1,"")</f>
      </c>
      <c r="M195" s="85" t="str">
        <f>IF(ISNUMBER(SEARCH("금",$H195)),1,"")</f>
      </c>
      <c r="N195" s="85" t="str">
        <f>IF(ISNUMBER(SEARCH("토1",$H195)),1,"")</f>
      </c>
      <c r="O195" s="85" t="str">
        <f>IF(ISNUMBER(SEARCH("토2",$H195)),1,"")</f>
      </c>
      <c r="P195" s="85" t="str">
        <f>IF(ISNUMBER(SEARCH("토3",$H195)),1,"")</f>
      </c>
      <c r="Q195" s="85" t="str">
        <f>IF(ISNUMBER(SEARCH("일1",$H195)),1,"")</f>
      </c>
      <c r="R195" s="85" t="str">
        <f>IF(ISNUMBER(SEARCH("일2",$H195)),1,"")</f>
      </c>
      <c r="S195" s="85" t="str">
        <f>IF(ISNUMBER(SEARCH("일3",$H195)),1,"")</f>
      </c>
      <c r="T195" s="85" t="n">
        <f>SUM(I195:S195)</f>
        <v>0</v>
      </c>
      <c r="U195" s="175" t="str"/>
    </row>
    <row r="196" ht="23" customHeight="1">
      <c r="A196" s="84" t="n">
        <v>2</v>
      </c>
      <c r="B196" s="171" t="str"/>
      <c r="C196" s="171" t="str"/>
      <c r="D196" s="171" t="str"/>
      <c r="E196" s="172" t="str"/>
      <c r="F196" s="172" t="str"/>
      <c r="G196" s="173" t="str"/>
      <c r="H196" s="174" t="str"/>
      <c r="I196" s="85" t="str">
        <f>IF(ISNUMBER(SEARCH("월",$H196)),1,"")</f>
      </c>
      <c r="J196" s="85" t="str">
        <f>IF(ISNUMBER(SEARCH("화",$H196)),1,"")</f>
      </c>
      <c r="K196" s="85" t="str">
        <f>IF(ISNUMBER(SEARCH("수",$H196)),1,"")</f>
      </c>
      <c r="L196" s="85" t="str">
        <f>IF(ISNUMBER(SEARCH("목",$H196)),1,"")</f>
      </c>
      <c r="M196" s="85" t="str">
        <f>IF(ISNUMBER(SEARCH("금",$H196)),1,"")</f>
      </c>
      <c r="N196" s="85" t="str">
        <f>IF(ISNUMBER(SEARCH("토1",$H196)),1,"")</f>
      </c>
      <c r="O196" s="85" t="str">
        <f>IF(ISNUMBER(SEARCH("토2",$H196)),1,"")</f>
      </c>
      <c r="P196" s="85" t="str">
        <f>IF(ISNUMBER(SEARCH("토3",$H196)),1,"")</f>
      </c>
      <c r="Q196" s="85" t="str">
        <f>IF(ISNUMBER(SEARCH("일1",$H196)),1,"")</f>
      </c>
      <c r="R196" s="85" t="str">
        <f>IF(ISNUMBER(SEARCH("일2",$H196)),1,"")</f>
      </c>
      <c r="S196" s="85" t="str">
        <f>IF(ISNUMBER(SEARCH("일3",$H196)),1,"")</f>
      </c>
      <c r="T196" s="85" t="n">
        <f>SUM(I196:S196)</f>
        <v>0</v>
      </c>
      <c r="U196" s="175" t="str"/>
    </row>
    <row r="197" ht="23" customHeight="1">
      <c r="A197" s="84" t="n">
        <v>3</v>
      </c>
      <c r="B197" s="171" t="str"/>
      <c r="C197" s="171" t="str"/>
      <c r="D197" s="171" t="str"/>
      <c r="E197" s="172" t="str"/>
      <c r="F197" s="172" t="str"/>
      <c r="G197" s="173" t="str"/>
      <c r="H197" s="174" t="str"/>
      <c r="I197" s="85" t="str">
        <f>IF(ISNUMBER(SEARCH("월",$H197)),1,"")</f>
      </c>
      <c r="J197" s="85" t="str">
        <f>IF(ISNUMBER(SEARCH("화",$H197)),1,"")</f>
      </c>
      <c r="K197" s="85" t="str">
        <f>IF(ISNUMBER(SEARCH("수",$H197)),1,"")</f>
      </c>
      <c r="L197" s="85" t="str">
        <f>IF(ISNUMBER(SEARCH("목",$H197)),1,"")</f>
      </c>
      <c r="M197" s="85" t="str">
        <f>IF(ISNUMBER(SEARCH("금",$H197)),1,"")</f>
      </c>
      <c r="N197" s="85" t="str">
        <f>IF(ISNUMBER(SEARCH("토1",$H197)),1,"")</f>
      </c>
      <c r="O197" s="85" t="str">
        <f>IF(ISNUMBER(SEARCH("토2",$H197)),1,"")</f>
      </c>
      <c r="P197" s="85" t="str">
        <f>IF(ISNUMBER(SEARCH("토3",$H197)),1,"")</f>
      </c>
      <c r="Q197" s="85" t="str">
        <f>IF(ISNUMBER(SEARCH("일1",$H197)),1,"")</f>
      </c>
      <c r="R197" s="85" t="str">
        <f>IF(ISNUMBER(SEARCH("일2",$H197)),1,"")</f>
      </c>
      <c r="S197" s="85" t="str">
        <f>IF(ISNUMBER(SEARCH("일3",$H197)),1,"")</f>
      </c>
      <c r="T197" s="85" t="n">
        <f>SUM(I197:S197)</f>
        <v>0</v>
      </c>
      <c r="U197" s="175" t="str"/>
    </row>
    <row r="198" ht="23" customHeight="1">
      <c r="A198" s="84" t="n">
        <v>4</v>
      </c>
      <c r="B198" s="171" t="str"/>
      <c r="C198" s="171" t="str"/>
      <c r="D198" s="171" t="str"/>
      <c r="E198" s="172" t="str"/>
      <c r="F198" s="172" t="str"/>
      <c r="G198" s="173" t="str"/>
      <c r="H198" s="174" t="str"/>
      <c r="I198" s="85" t="str">
        <f>IF(ISNUMBER(SEARCH("월",$H198)),1,"")</f>
      </c>
      <c r="J198" s="85" t="str">
        <f>IF(ISNUMBER(SEARCH("화",$H198)),1,"")</f>
      </c>
      <c r="K198" s="85" t="str">
        <f>IF(ISNUMBER(SEARCH("수",$H198)),1,"")</f>
      </c>
      <c r="L198" s="85" t="str">
        <f>IF(ISNUMBER(SEARCH("목",$H198)),1,"")</f>
      </c>
      <c r="M198" s="85" t="str">
        <f>IF(ISNUMBER(SEARCH("금",$H198)),1,"")</f>
      </c>
      <c r="N198" s="85" t="str">
        <f>IF(ISNUMBER(SEARCH("토1",$H198)),1,"")</f>
      </c>
      <c r="O198" s="85" t="str">
        <f>IF(ISNUMBER(SEARCH("토2",$H198)),1,"")</f>
      </c>
      <c r="P198" s="85" t="str">
        <f>IF(ISNUMBER(SEARCH("토3",$H198)),1,"")</f>
      </c>
      <c r="Q198" s="85" t="str">
        <f>IF(ISNUMBER(SEARCH("일1",$H198)),1,"")</f>
      </c>
      <c r="R198" s="85" t="str">
        <f>IF(ISNUMBER(SEARCH("일2",$H198)),1,"")</f>
      </c>
      <c r="S198" s="85" t="str">
        <f>IF(ISNUMBER(SEARCH("일3",$H198)),1,"")</f>
      </c>
      <c r="T198" s="85" t="n">
        <f>SUM(I198:S198)</f>
        <v>0</v>
      </c>
      <c r="U198" s="175" t="str"/>
    </row>
    <row r="199" ht="23" customHeight="1">
      <c r="A199" s="84" t="n">
        <v>5</v>
      </c>
      <c r="B199" s="171" t="str"/>
      <c r="C199" s="171" t="str"/>
      <c r="D199" s="171" t="str"/>
      <c r="E199" s="172" t="str"/>
      <c r="F199" s="172" t="str"/>
      <c r="G199" s="173" t="str"/>
      <c r="H199" s="174" t="str"/>
      <c r="I199" s="85" t="str">
        <f>IF(ISNUMBER(SEARCH("월",$H199)),1,"")</f>
      </c>
      <c r="J199" s="85" t="str">
        <f>IF(ISNUMBER(SEARCH("화",$H199)),1,"")</f>
      </c>
      <c r="K199" s="85" t="str">
        <f>IF(ISNUMBER(SEARCH("수",$H199)),1,"")</f>
      </c>
      <c r="L199" s="85" t="str">
        <f>IF(ISNUMBER(SEARCH("목",$H199)),1,"")</f>
      </c>
      <c r="M199" s="85" t="str">
        <f>IF(ISNUMBER(SEARCH("금",$H199)),1,"")</f>
      </c>
      <c r="N199" s="85" t="str">
        <f>IF(ISNUMBER(SEARCH("토1",$H199)),1,"")</f>
      </c>
      <c r="O199" s="85" t="str">
        <f>IF(ISNUMBER(SEARCH("토2",$H199)),1,"")</f>
      </c>
      <c r="P199" s="85" t="str">
        <f>IF(ISNUMBER(SEARCH("토3",$H199)),1,"")</f>
      </c>
      <c r="Q199" s="85" t="str">
        <f>IF(ISNUMBER(SEARCH("일1",$H199)),1,"")</f>
      </c>
      <c r="R199" s="85" t="str">
        <f>IF(ISNUMBER(SEARCH("일2",$H199)),1,"")</f>
      </c>
      <c r="S199" s="85" t="str">
        <f>IF(ISNUMBER(SEARCH("일3",$H199)),1,"")</f>
      </c>
      <c r="T199" s="85" t="n">
        <f>SUM(I199:S199)</f>
        <v>0</v>
      </c>
      <c r="U199" s="175" t="str"/>
    </row>
    <row r="200" ht="23" customHeight="1">
      <c r="A200" s="84" t="n">
        <v>6</v>
      </c>
      <c r="B200" s="171" t="str"/>
      <c r="C200" s="171" t="str"/>
      <c r="D200" s="171" t="str"/>
      <c r="E200" s="172" t="str"/>
      <c r="F200" s="172" t="str"/>
      <c r="G200" s="173" t="str"/>
      <c r="H200" s="174" t="str"/>
      <c r="I200" s="85" t="str">
        <f>IF(ISNUMBER(SEARCH("월",$H200)),1,"")</f>
      </c>
      <c r="J200" s="85" t="str">
        <f>IF(ISNUMBER(SEARCH("화",$H200)),1,"")</f>
      </c>
      <c r="K200" s="85" t="str">
        <f>IF(ISNUMBER(SEARCH("수",$H200)),1,"")</f>
      </c>
      <c r="L200" s="85" t="str">
        <f>IF(ISNUMBER(SEARCH("목",$H200)),1,"")</f>
      </c>
      <c r="M200" s="85" t="str">
        <f>IF(ISNUMBER(SEARCH("금",$H200)),1,"")</f>
      </c>
      <c r="N200" s="85" t="str">
        <f>IF(ISNUMBER(SEARCH("토1",$H200)),1,"")</f>
      </c>
      <c r="O200" s="85" t="str">
        <f>IF(ISNUMBER(SEARCH("토2",$H200)),1,"")</f>
      </c>
      <c r="P200" s="85" t="str">
        <f>IF(ISNUMBER(SEARCH("토3",$H200)),1,"")</f>
      </c>
      <c r="Q200" s="85" t="str">
        <f>IF(ISNUMBER(SEARCH("일1",$H200)),1,"")</f>
      </c>
      <c r="R200" s="85" t="str">
        <f>IF(ISNUMBER(SEARCH("일2",$H200)),1,"")</f>
      </c>
      <c r="S200" s="85" t="str">
        <f>IF(ISNUMBER(SEARCH("일3",$H200)),1,"")</f>
      </c>
      <c r="T200" s="85" t="n">
        <f>SUM(I200:S200)</f>
        <v>0</v>
      </c>
      <c r="U200" s="175" t="str"/>
    </row>
    <row r="201" ht="23" customHeight="1">
      <c r="A201" s="84" t="n">
        <v>7</v>
      </c>
      <c r="B201" s="171" t="str"/>
      <c r="C201" s="171" t="str"/>
      <c r="D201" s="171" t="str"/>
      <c r="E201" s="172" t="str"/>
      <c r="F201" s="172" t="str"/>
      <c r="G201" s="173" t="str"/>
      <c r="H201" s="174" t="str"/>
      <c r="I201" s="85" t="str">
        <f>IF(ISNUMBER(SEARCH("월",$H201)),1,"")</f>
      </c>
      <c r="J201" s="85" t="str">
        <f>IF(ISNUMBER(SEARCH("화",$H201)),1,"")</f>
      </c>
      <c r="K201" s="85" t="str">
        <f>IF(ISNUMBER(SEARCH("수",$H201)),1,"")</f>
      </c>
      <c r="L201" s="85" t="str">
        <f>IF(ISNUMBER(SEARCH("목",$H201)),1,"")</f>
      </c>
      <c r="M201" s="85" t="str">
        <f>IF(ISNUMBER(SEARCH("금",$H201)),1,"")</f>
      </c>
      <c r="N201" s="85" t="str">
        <f>IF(ISNUMBER(SEARCH("토1",$H201)),1,"")</f>
      </c>
      <c r="O201" s="85" t="str">
        <f>IF(ISNUMBER(SEARCH("토2",$H201)),1,"")</f>
      </c>
      <c r="P201" s="85" t="str">
        <f>IF(ISNUMBER(SEARCH("토3",$H201)),1,"")</f>
      </c>
      <c r="Q201" s="85" t="str">
        <f>IF(ISNUMBER(SEARCH("일1",$H201)),1,"")</f>
      </c>
      <c r="R201" s="85" t="str">
        <f>IF(ISNUMBER(SEARCH("일2",$H201)),1,"")</f>
      </c>
      <c r="S201" s="85" t="str">
        <f>IF(ISNUMBER(SEARCH("일3",$H201)),1,"")</f>
      </c>
      <c r="T201" s="85" t="n">
        <f>SUM(I201:S201)</f>
        <v>0</v>
      </c>
      <c r="U201" s="175" t="str"/>
    </row>
    <row r="202" ht="23" customHeight="1">
      <c r="A202" s="84" t="n">
        <v>8</v>
      </c>
      <c r="B202" s="171" t="str"/>
      <c r="C202" s="171" t="str"/>
      <c r="D202" s="171" t="str"/>
      <c r="E202" s="172" t="str"/>
      <c r="F202" s="172" t="str"/>
      <c r="G202" s="173" t="str"/>
      <c r="H202" s="174" t="str"/>
      <c r="I202" s="85" t="str">
        <f>IF(ISNUMBER(SEARCH("월",$H202)),1,"")</f>
      </c>
      <c r="J202" s="85" t="str">
        <f>IF(ISNUMBER(SEARCH("화",$H202)),1,"")</f>
      </c>
      <c r="K202" s="85" t="str">
        <f>IF(ISNUMBER(SEARCH("수",$H202)),1,"")</f>
      </c>
      <c r="L202" s="85" t="str">
        <f>IF(ISNUMBER(SEARCH("목",$H202)),1,"")</f>
      </c>
      <c r="M202" s="85" t="str">
        <f>IF(ISNUMBER(SEARCH("금",$H202)),1,"")</f>
      </c>
      <c r="N202" s="85" t="str">
        <f>IF(ISNUMBER(SEARCH("토1",$H202)),1,"")</f>
      </c>
      <c r="O202" s="85" t="str">
        <f>IF(ISNUMBER(SEARCH("토2",$H202)),1,"")</f>
      </c>
      <c r="P202" s="85" t="str">
        <f>IF(ISNUMBER(SEARCH("토3",$H202)),1,"")</f>
      </c>
      <c r="Q202" s="85" t="str">
        <f>IF(ISNUMBER(SEARCH("일1",$H202)),1,"")</f>
      </c>
      <c r="R202" s="85" t="str">
        <f>IF(ISNUMBER(SEARCH("일2",$H202)),1,"")</f>
      </c>
      <c r="S202" s="85" t="str">
        <f>IF(ISNUMBER(SEARCH("일3",$H202)),1,"")</f>
      </c>
      <c r="T202" s="85" t="n">
        <f>SUM(I202:S202)</f>
        <v>0</v>
      </c>
      <c r="U202" s="175" t="str"/>
    </row>
    <row r="203" ht="23" customHeight="1">
      <c r="A203" s="84" t="n">
        <v>9</v>
      </c>
      <c r="B203" s="171" t="str"/>
      <c r="C203" s="171" t="str"/>
      <c r="D203" s="171" t="str"/>
      <c r="E203" s="172" t="str"/>
      <c r="F203" s="172" t="str"/>
      <c r="G203" s="173" t="str"/>
      <c r="H203" s="174" t="str"/>
      <c r="I203" s="85" t="str">
        <f>IF(ISNUMBER(SEARCH("월",$H203)),1,"")</f>
      </c>
      <c r="J203" s="85" t="str">
        <f>IF(ISNUMBER(SEARCH("화",$H203)),1,"")</f>
      </c>
      <c r="K203" s="85" t="str">
        <f>IF(ISNUMBER(SEARCH("수",$H203)),1,"")</f>
      </c>
      <c r="L203" s="85" t="str">
        <f>IF(ISNUMBER(SEARCH("목",$H203)),1,"")</f>
      </c>
      <c r="M203" s="85" t="str">
        <f>IF(ISNUMBER(SEARCH("금",$H203)),1,"")</f>
      </c>
      <c r="N203" s="85" t="str">
        <f>IF(ISNUMBER(SEARCH("토1",$H203)),1,"")</f>
      </c>
      <c r="O203" s="85" t="str">
        <f>IF(ISNUMBER(SEARCH("토2",$H203)),1,"")</f>
      </c>
      <c r="P203" s="85" t="str">
        <f>IF(ISNUMBER(SEARCH("토3",$H203)),1,"")</f>
      </c>
      <c r="Q203" s="85" t="str">
        <f>IF(ISNUMBER(SEARCH("일1",$H203)),1,"")</f>
      </c>
      <c r="R203" s="85" t="str">
        <f>IF(ISNUMBER(SEARCH("일2",$H203)),1,"")</f>
      </c>
      <c r="S203" s="85" t="str">
        <f>IF(ISNUMBER(SEARCH("일3",$H203)),1,"")</f>
      </c>
      <c r="T203" s="85" t="n">
        <f>SUM(I203:S203)</f>
        <v>0</v>
      </c>
      <c r="U203" s="175" t="str"/>
    </row>
    <row r="204" ht="23" customHeight="1">
      <c r="A204" s="84" t="n">
        <v>10</v>
      </c>
      <c r="B204" s="171" t="str"/>
      <c r="C204" s="171" t="str"/>
      <c r="D204" s="171" t="str"/>
      <c r="E204" s="172" t="str"/>
      <c r="F204" s="172" t="str"/>
      <c r="G204" s="173" t="str"/>
      <c r="H204" s="174" t="str"/>
      <c r="I204" s="85" t="str">
        <f>IF(ISNUMBER(SEARCH("월",$H204)),1,"")</f>
      </c>
      <c r="J204" s="85" t="str">
        <f>IF(ISNUMBER(SEARCH("화",$H204)),1,"")</f>
      </c>
      <c r="K204" s="85" t="str">
        <f>IF(ISNUMBER(SEARCH("수",$H204)),1,"")</f>
      </c>
      <c r="L204" s="85" t="str">
        <f>IF(ISNUMBER(SEARCH("목",$H204)),1,"")</f>
      </c>
      <c r="M204" s="85" t="str">
        <f>IF(ISNUMBER(SEARCH("금",$H204)),1,"")</f>
      </c>
      <c r="N204" s="85" t="str">
        <f>IF(ISNUMBER(SEARCH("토1",$H204)),1,"")</f>
      </c>
      <c r="O204" s="85" t="str">
        <f>IF(ISNUMBER(SEARCH("토2",$H204)),1,"")</f>
      </c>
      <c r="P204" s="85" t="str">
        <f>IF(ISNUMBER(SEARCH("토3",$H204)),1,"")</f>
      </c>
      <c r="Q204" s="85" t="str">
        <f>IF(ISNUMBER(SEARCH("일1",$H204)),1,"")</f>
      </c>
      <c r="R204" s="85" t="str">
        <f>IF(ISNUMBER(SEARCH("일2",$H204)),1,"")</f>
      </c>
      <c r="S204" s="85" t="str">
        <f>IF(ISNUMBER(SEARCH("일3",$H204)),1,"")</f>
      </c>
      <c r="T204" s="85" t="n">
        <f>SUM(I204:S204)</f>
        <v>0</v>
      </c>
      <c r="U204" s="175" t="str"/>
    </row>
    <row r="205" ht="23" customHeight="1">
      <c r="A205" s="84" t="n">
        <v>11</v>
      </c>
      <c r="B205" s="171" t="str"/>
      <c r="C205" s="171" t="str"/>
      <c r="D205" s="171" t="str"/>
      <c r="E205" s="172" t="str"/>
      <c r="F205" s="172" t="str"/>
      <c r="G205" s="173" t="str"/>
      <c r="H205" s="174" t="str"/>
      <c r="I205" s="85" t="str">
        <f>IF(ISNUMBER(SEARCH("월",$H205)),1,"")</f>
      </c>
      <c r="J205" s="85" t="str">
        <f>IF(ISNUMBER(SEARCH("화",$H205)),1,"")</f>
      </c>
      <c r="K205" s="85" t="str">
        <f>IF(ISNUMBER(SEARCH("수",$H205)),1,"")</f>
      </c>
      <c r="L205" s="85" t="str">
        <f>IF(ISNUMBER(SEARCH("목",$H205)),1,"")</f>
      </c>
      <c r="M205" s="85" t="str">
        <f>IF(ISNUMBER(SEARCH("금",$H205)),1,"")</f>
      </c>
      <c r="N205" s="85" t="str">
        <f>IF(ISNUMBER(SEARCH("토1",$H205)),1,"")</f>
      </c>
      <c r="O205" s="85" t="str">
        <f>IF(ISNUMBER(SEARCH("토2",$H205)),1,"")</f>
      </c>
      <c r="P205" s="85" t="str">
        <f>IF(ISNUMBER(SEARCH("토3",$H205)),1,"")</f>
      </c>
      <c r="Q205" s="85" t="str">
        <f>IF(ISNUMBER(SEARCH("일1",$H205)),1,"")</f>
      </c>
      <c r="R205" s="85" t="str">
        <f>IF(ISNUMBER(SEARCH("일2",$H205)),1,"")</f>
      </c>
      <c r="S205" s="85" t="str">
        <f>IF(ISNUMBER(SEARCH("일3",$H205)),1,"")</f>
      </c>
      <c r="T205" s="85" t="n">
        <f>SUM(I205:S205)</f>
        <v>0</v>
      </c>
      <c r="U205" s="175" t="str"/>
    </row>
    <row r="206" ht="23" customHeight="1">
      <c r="A206" s="84" t="n">
        <v>12</v>
      </c>
      <c r="B206" s="171" t="str"/>
      <c r="C206" s="171" t="str"/>
      <c r="D206" s="171" t="str"/>
      <c r="E206" s="172" t="str"/>
      <c r="F206" s="172" t="str"/>
      <c r="G206" s="173" t="str"/>
      <c r="H206" s="174" t="str"/>
      <c r="I206" s="85" t="str">
        <f>IF(ISNUMBER(SEARCH("월",$H206)),1,"")</f>
      </c>
      <c r="J206" s="85" t="str">
        <f>IF(ISNUMBER(SEARCH("화",$H206)),1,"")</f>
      </c>
      <c r="K206" s="85" t="str">
        <f>IF(ISNUMBER(SEARCH("수",$H206)),1,"")</f>
      </c>
      <c r="L206" s="85" t="str">
        <f>IF(ISNUMBER(SEARCH("목",$H206)),1,"")</f>
      </c>
      <c r="M206" s="85" t="str">
        <f>IF(ISNUMBER(SEARCH("금",$H206)),1,"")</f>
      </c>
      <c r="N206" s="85" t="str">
        <f>IF(ISNUMBER(SEARCH("토1",$H206)),1,"")</f>
      </c>
      <c r="O206" s="85" t="str">
        <f>IF(ISNUMBER(SEARCH("토2",$H206)),1,"")</f>
      </c>
      <c r="P206" s="85" t="str">
        <f>IF(ISNUMBER(SEARCH("토3",$H206)),1,"")</f>
      </c>
      <c r="Q206" s="85" t="str">
        <f>IF(ISNUMBER(SEARCH("일1",$H206)),1,"")</f>
      </c>
      <c r="R206" s="85" t="str">
        <f>IF(ISNUMBER(SEARCH("일2",$H206)),1,"")</f>
      </c>
      <c r="S206" s="85" t="str">
        <f>IF(ISNUMBER(SEARCH("일3",$H206)),1,"")</f>
      </c>
      <c r="T206" s="85" t="n">
        <f>SUM(I206:S206)</f>
        <v>0</v>
      </c>
      <c r="U206" s="175" t="str"/>
    </row>
    <row r="207" ht="23" customHeight="1">
      <c r="A207" s="84" t="n">
        <v>13</v>
      </c>
      <c r="B207" s="171" t="str"/>
      <c r="C207" s="171" t="str"/>
      <c r="D207" s="171" t="str"/>
      <c r="E207" s="172" t="str"/>
      <c r="F207" s="172" t="str"/>
      <c r="G207" s="173" t="str"/>
      <c r="H207" s="174" t="str"/>
      <c r="I207" s="85" t="str">
        <f>IF(ISNUMBER(SEARCH("월",$H207)),1,"")</f>
      </c>
      <c r="J207" s="85" t="str">
        <f>IF(ISNUMBER(SEARCH("화",$H207)),1,"")</f>
      </c>
      <c r="K207" s="85" t="str">
        <f>IF(ISNUMBER(SEARCH("수",$H207)),1,"")</f>
      </c>
      <c r="L207" s="85" t="str">
        <f>IF(ISNUMBER(SEARCH("목",$H207)),1,"")</f>
      </c>
      <c r="M207" s="85" t="str">
        <f>IF(ISNUMBER(SEARCH("금",$H207)),1,"")</f>
      </c>
      <c r="N207" s="85" t="str">
        <f>IF(ISNUMBER(SEARCH("토1",$H207)),1,"")</f>
      </c>
      <c r="O207" s="85" t="str">
        <f>IF(ISNUMBER(SEARCH("토2",$H207)),1,"")</f>
      </c>
      <c r="P207" s="85" t="str">
        <f>IF(ISNUMBER(SEARCH("토3",$H207)),1,"")</f>
      </c>
      <c r="Q207" s="85" t="str">
        <f>IF(ISNUMBER(SEARCH("일1",$H207)),1,"")</f>
      </c>
      <c r="R207" s="85" t="str">
        <f>IF(ISNUMBER(SEARCH("일2",$H207)),1,"")</f>
      </c>
      <c r="S207" s="85" t="str">
        <f>IF(ISNUMBER(SEARCH("일3",$H207)),1,"")</f>
      </c>
      <c r="T207" s="85" t="n">
        <f>SUM(I207:S207)</f>
        <v>0</v>
      </c>
      <c r="U207" s="175" t="str"/>
    </row>
    <row r="208" ht="23" customHeight="1">
      <c r="A208" s="84" t="n">
        <v>14</v>
      </c>
      <c r="B208" s="171" t="str"/>
      <c r="C208" s="171" t="str"/>
      <c r="D208" s="171" t="str"/>
      <c r="E208" s="172" t="str"/>
      <c r="F208" s="172" t="str"/>
      <c r="G208" s="173" t="str"/>
      <c r="H208" s="174" t="str"/>
      <c r="I208" s="85" t="str">
        <f>IF(ISNUMBER(SEARCH("월",$H208)),1,"")</f>
      </c>
      <c r="J208" s="85" t="str">
        <f>IF(ISNUMBER(SEARCH("화",$H208)),1,"")</f>
      </c>
      <c r="K208" s="85" t="str">
        <f>IF(ISNUMBER(SEARCH("수",$H208)),1,"")</f>
      </c>
      <c r="L208" s="85" t="str">
        <f>IF(ISNUMBER(SEARCH("목",$H208)),1,"")</f>
      </c>
      <c r="M208" s="85" t="str">
        <f>IF(ISNUMBER(SEARCH("금",$H208)),1,"")</f>
      </c>
      <c r="N208" s="85" t="str">
        <f>IF(ISNUMBER(SEARCH("토1",$H208)),1,"")</f>
      </c>
      <c r="O208" s="85" t="str">
        <f>IF(ISNUMBER(SEARCH("토2",$H208)),1,"")</f>
      </c>
      <c r="P208" s="85" t="str">
        <f>IF(ISNUMBER(SEARCH("토3",$H208)),1,"")</f>
      </c>
      <c r="Q208" s="85" t="str">
        <f>IF(ISNUMBER(SEARCH("일1",$H208)),1,"")</f>
      </c>
      <c r="R208" s="85" t="str">
        <f>IF(ISNUMBER(SEARCH("일2",$H208)),1,"")</f>
      </c>
      <c r="S208" s="85" t="str">
        <f>IF(ISNUMBER(SEARCH("일3",$H208)),1,"")</f>
      </c>
      <c r="T208" s="85" t="n">
        <f>SUM(I208:S208)</f>
        <v>0</v>
      </c>
      <c r="U208" s="175" t="str"/>
    </row>
    <row r="209" ht="23" customHeight="1">
      <c r="A209" s="84" t="n">
        <v>15</v>
      </c>
      <c r="B209" s="171" t="str"/>
      <c r="C209" s="171" t="str"/>
      <c r="D209" s="171" t="str"/>
      <c r="E209" s="172" t="str"/>
      <c r="F209" s="172" t="str"/>
      <c r="G209" s="173" t="str"/>
      <c r="H209" s="174" t="str"/>
      <c r="I209" s="85" t="str">
        <f>IF(ISNUMBER(SEARCH("월",$H209)),1,"")</f>
      </c>
      <c r="J209" s="85" t="str">
        <f>IF(ISNUMBER(SEARCH("화",$H209)),1,"")</f>
      </c>
      <c r="K209" s="85" t="str">
        <f>IF(ISNUMBER(SEARCH("수",$H209)),1,"")</f>
      </c>
      <c r="L209" s="85" t="str">
        <f>IF(ISNUMBER(SEARCH("목",$H209)),1,"")</f>
      </c>
      <c r="M209" s="85" t="str">
        <f>IF(ISNUMBER(SEARCH("금",$H209)),1,"")</f>
      </c>
      <c r="N209" s="85" t="str">
        <f>IF(ISNUMBER(SEARCH("토1",$H209)),1,"")</f>
      </c>
      <c r="O209" s="85" t="str">
        <f>IF(ISNUMBER(SEARCH("토2",$H209)),1,"")</f>
      </c>
      <c r="P209" s="85" t="str">
        <f>IF(ISNUMBER(SEARCH("토3",$H209)),1,"")</f>
      </c>
      <c r="Q209" s="85" t="str">
        <f>IF(ISNUMBER(SEARCH("일1",$H209)),1,"")</f>
      </c>
      <c r="R209" s="85" t="str">
        <f>IF(ISNUMBER(SEARCH("일2",$H209)),1,"")</f>
      </c>
      <c r="S209" s="85" t="str">
        <f>IF(ISNUMBER(SEARCH("일3",$H209)),1,"")</f>
      </c>
      <c r="T209" s="85" t="n">
        <f>SUM(I209:S209)</f>
        <v>0</v>
      </c>
      <c r="U209" s="175" t="str"/>
    </row>
    <row r="210" ht="23" customHeight="1">
      <c r="A210" s="84" t="n">
        <v>16</v>
      </c>
      <c r="B210" s="171" t="str"/>
      <c r="C210" s="171" t="str"/>
      <c r="D210" s="171" t="str"/>
      <c r="E210" s="172" t="str"/>
      <c r="F210" s="172" t="str"/>
      <c r="G210" s="173" t="str"/>
      <c r="H210" s="174" t="str"/>
      <c r="I210" s="85" t="str">
        <f>IF(ISNUMBER(SEARCH("월",$H210)),1,"")</f>
      </c>
      <c r="J210" s="85" t="str">
        <f>IF(ISNUMBER(SEARCH("화",$H210)),1,"")</f>
      </c>
      <c r="K210" s="85" t="str">
        <f>IF(ISNUMBER(SEARCH("수",$H210)),1,"")</f>
      </c>
      <c r="L210" s="85" t="str">
        <f>IF(ISNUMBER(SEARCH("목",$H210)),1,"")</f>
      </c>
      <c r="M210" s="85" t="str">
        <f>IF(ISNUMBER(SEARCH("금",$H210)),1,"")</f>
      </c>
      <c r="N210" s="85" t="str">
        <f>IF(ISNUMBER(SEARCH("토1",$H210)),1,"")</f>
      </c>
      <c r="O210" s="85" t="str">
        <f>IF(ISNUMBER(SEARCH("토2",$H210)),1,"")</f>
      </c>
      <c r="P210" s="85" t="str">
        <f>IF(ISNUMBER(SEARCH("토3",$H210)),1,"")</f>
      </c>
      <c r="Q210" s="85" t="str">
        <f>IF(ISNUMBER(SEARCH("일1",$H210)),1,"")</f>
      </c>
      <c r="R210" s="85" t="str">
        <f>IF(ISNUMBER(SEARCH("일2",$H210)),1,"")</f>
      </c>
      <c r="S210" s="85" t="str">
        <f>IF(ISNUMBER(SEARCH("일3",$H210)),1,"")</f>
      </c>
      <c r="T210" s="85" t="n">
        <f>SUM(I210:S210)</f>
        <v>0</v>
      </c>
      <c r="U210" s="175" t="str"/>
    </row>
    <row r="211" ht="23" customHeight="1">
      <c r="A211" s="84" t="n">
        <v>17</v>
      </c>
      <c r="B211" s="171" t="str"/>
      <c r="C211" s="171" t="str"/>
      <c r="D211" s="171" t="str"/>
      <c r="E211" s="172" t="str"/>
      <c r="F211" s="172" t="str"/>
      <c r="G211" s="173" t="str"/>
      <c r="H211" s="174" t="str"/>
      <c r="I211" s="85" t="str">
        <f>IF(ISNUMBER(SEARCH("월",$H211)),1,"")</f>
      </c>
      <c r="J211" s="85" t="str">
        <f>IF(ISNUMBER(SEARCH("화",$H211)),1,"")</f>
      </c>
      <c r="K211" s="85" t="str">
        <f>IF(ISNUMBER(SEARCH("수",$H211)),1,"")</f>
      </c>
      <c r="L211" s="85" t="str">
        <f>IF(ISNUMBER(SEARCH("목",$H211)),1,"")</f>
      </c>
      <c r="M211" s="85" t="str">
        <f>IF(ISNUMBER(SEARCH("금",$H211)),1,"")</f>
      </c>
      <c r="N211" s="85" t="str">
        <f>IF(ISNUMBER(SEARCH("토1",$H211)),1,"")</f>
      </c>
      <c r="O211" s="85" t="str">
        <f>IF(ISNUMBER(SEARCH("토2",$H211)),1,"")</f>
      </c>
      <c r="P211" s="85" t="str">
        <f>IF(ISNUMBER(SEARCH("토3",$H211)),1,"")</f>
      </c>
      <c r="Q211" s="85" t="str">
        <f>IF(ISNUMBER(SEARCH("일1",$H211)),1,"")</f>
      </c>
      <c r="R211" s="85" t="str">
        <f>IF(ISNUMBER(SEARCH("일2",$H211)),1,"")</f>
      </c>
      <c r="S211" s="85" t="str">
        <f>IF(ISNUMBER(SEARCH("일3",$H211)),1,"")</f>
      </c>
      <c r="T211" s="85" t="n">
        <f>SUM(I211:S211)</f>
        <v>0</v>
      </c>
      <c r="U211" s="175" t="str"/>
    </row>
    <row r="212" ht="23" customHeight="1">
      <c r="A212" s="84" t="n">
        <v>18</v>
      </c>
      <c r="B212" s="171" t="str"/>
      <c r="C212" s="171" t="str"/>
      <c r="D212" s="171" t="str"/>
      <c r="E212" s="172" t="str"/>
      <c r="F212" s="172" t="str"/>
      <c r="G212" s="173" t="str"/>
      <c r="H212" s="174" t="str"/>
      <c r="I212" s="85" t="str">
        <f>IF(ISNUMBER(SEARCH("월",$H212)),1,"")</f>
      </c>
      <c r="J212" s="85" t="str">
        <f>IF(ISNUMBER(SEARCH("화",$H212)),1,"")</f>
      </c>
      <c r="K212" s="85" t="str">
        <f>IF(ISNUMBER(SEARCH("수",$H212)),1,"")</f>
      </c>
      <c r="L212" s="85" t="str">
        <f>IF(ISNUMBER(SEARCH("목",$H212)),1,"")</f>
      </c>
      <c r="M212" s="85" t="str">
        <f>IF(ISNUMBER(SEARCH("금",$H212)),1,"")</f>
      </c>
      <c r="N212" s="85" t="str">
        <f>IF(ISNUMBER(SEARCH("토1",$H212)),1,"")</f>
      </c>
      <c r="O212" s="85" t="str">
        <f>IF(ISNUMBER(SEARCH("토2",$H212)),1,"")</f>
      </c>
      <c r="P212" s="85" t="str">
        <f>IF(ISNUMBER(SEARCH("토3",$H212)),1,"")</f>
      </c>
      <c r="Q212" s="85" t="str">
        <f>IF(ISNUMBER(SEARCH("일1",$H212)),1,"")</f>
      </c>
      <c r="R212" s="85" t="str">
        <f>IF(ISNUMBER(SEARCH("일2",$H212)),1,"")</f>
      </c>
      <c r="S212" s="85" t="str">
        <f>IF(ISNUMBER(SEARCH("일3",$H212)),1,"")</f>
      </c>
      <c r="T212" s="85" t="n">
        <f>SUM(I212:S212)</f>
        <v>0</v>
      </c>
      <c r="U212" s="175" t="str"/>
    </row>
    <row r="213" ht="23" customHeight="1">
      <c r="A213" s="84" t="n">
        <v>19</v>
      </c>
      <c r="B213" s="171" t="str"/>
      <c r="C213" s="171" t="str"/>
      <c r="D213" s="171" t="str"/>
      <c r="E213" s="172" t="str"/>
      <c r="F213" s="172" t="str"/>
      <c r="G213" s="173" t="str"/>
      <c r="H213" s="174" t="str"/>
      <c r="I213" s="85" t="str">
        <f>IF(ISNUMBER(SEARCH("월",$H213)),1,"")</f>
      </c>
      <c r="J213" s="85" t="str">
        <f>IF(ISNUMBER(SEARCH("화",$H213)),1,"")</f>
      </c>
      <c r="K213" s="85" t="str">
        <f>IF(ISNUMBER(SEARCH("수",$H213)),1,"")</f>
      </c>
      <c r="L213" s="85" t="str">
        <f>IF(ISNUMBER(SEARCH("목",$H213)),1,"")</f>
      </c>
      <c r="M213" s="85" t="str">
        <f>IF(ISNUMBER(SEARCH("금",$H213)),1,"")</f>
      </c>
      <c r="N213" s="85" t="str">
        <f>IF(ISNUMBER(SEARCH("토1",$H213)),1,"")</f>
      </c>
      <c r="O213" s="85" t="str">
        <f>IF(ISNUMBER(SEARCH("토2",$H213)),1,"")</f>
      </c>
      <c r="P213" s="85" t="str">
        <f>IF(ISNUMBER(SEARCH("토3",$H213)),1,"")</f>
      </c>
      <c r="Q213" s="85" t="str">
        <f>IF(ISNUMBER(SEARCH("일1",$H213)),1,"")</f>
      </c>
      <c r="R213" s="85" t="str">
        <f>IF(ISNUMBER(SEARCH("일2",$H213)),1,"")</f>
      </c>
      <c r="S213" s="85" t="str">
        <f>IF(ISNUMBER(SEARCH("일3",$H213)),1,"")</f>
      </c>
      <c r="T213" s="85" t="n">
        <f>SUM(I213:S213)</f>
        <v>0</v>
      </c>
      <c r="U213" s="175" t="str"/>
    </row>
    <row r="214" ht="23" customHeight="1">
      <c r="A214" s="84" t="n">
        <v>20</v>
      </c>
      <c r="B214" s="171" t="str"/>
      <c r="C214" s="171" t="str"/>
      <c r="D214" s="171" t="str"/>
      <c r="E214" s="172" t="str"/>
      <c r="F214" s="172" t="str"/>
      <c r="G214" s="173" t="str"/>
      <c r="H214" s="174" t="str"/>
      <c r="I214" s="85" t="str">
        <f>IF(ISNUMBER(SEARCH("월",$H214)),1,"")</f>
      </c>
      <c r="J214" s="85" t="str">
        <f>IF(ISNUMBER(SEARCH("화",$H214)),1,"")</f>
      </c>
      <c r="K214" s="85" t="str">
        <f>IF(ISNUMBER(SEARCH("수",$H214)),1,"")</f>
      </c>
      <c r="L214" s="85" t="str">
        <f>IF(ISNUMBER(SEARCH("목",$H214)),1,"")</f>
      </c>
      <c r="M214" s="85" t="str">
        <f>IF(ISNUMBER(SEARCH("금",$H214)),1,"")</f>
      </c>
      <c r="N214" s="85" t="str">
        <f>IF(ISNUMBER(SEARCH("토1",$H214)),1,"")</f>
      </c>
      <c r="O214" s="85" t="str">
        <f>IF(ISNUMBER(SEARCH("토2",$H214)),1,"")</f>
      </c>
      <c r="P214" s="85" t="str">
        <f>IF(ISNUMBER(SEARCH("토3",$H214)),1,"")</f>
      </c>
      <c r="Q214" s="85" t="str">
        <f>IF(ISNUMBER(SEARCH("일1",$H214)),1,"")</f>
      </c>
      <c r="R214" s="85" t="str">
        <f>IF(ISNUMBER(SEARCH("일2",$H214)),1,"")</f>
      </c>
      <c r="S214" s="85" t="str">
        <f>IF(ISNUMBER(SEARCH("일3",$H214)),1,"")</f>
      </c>
      <c r="T214" s="85" t="n">
        <f>SUM(I214:S214)</f>
        <v>0</v>
      </c>
      <c r="U214" s="175" t="str"/>
    </row>
  </sheetData>
  <sheetProtection password="8F90" sheet="1" objects="1" scenarios="1" formatCells="1" formatColumns="1" formatRows="1" insertColumns="1" insertRows="1" insertHyperlinks="1" deleteColumns="1" deleteRows="1" selectLockedCells="1" sort="1" autoFilter="1" pivotTables="1" selectUnlockedCells="0"/>
  <mergeCells>
    <mergeCell ref="A1:U1"/>
    <mergeCell ref="A2:I2"/>
    <mergeCell ref="J2:U2"/>
    <mergeCell ref="A5:U5"/>
    <mergeCell ref="A26:U26"/>
    <mergeCell ref="A47:U47"/>
    <mergeCell ref="A68:U68"/>
    <mergeCell ref="A89:U89"/>
    <mergeCell ref="A110:U110"/>
    <mergeCell ref="A131:U131"/>
    <mergeCell ref="A152:U152"/>
    <mergeCell ref="A173:U173"/>
    <mergeCell ref="A194:U194"/>
  </mergeCells>
  <conditionalFormatting sqref="I6:S214">
    <cfRule type="expression" dxfId="0" priority="1">
      <formula>I6=1</formula>
    </cfRule>
  </conditionalFormatting>
  <dataValidations count="200">
    <dataValidation type="list" sqref="D6">
      <formula1>"1,2,3,검정고시,졸업생,기타"</formula1>
    </dataValidation>
    <dataValidation type="list" sqref="D7">
      <formula1>"1,2,3,검정고시,졸업생,기타"</formula1>
    </dataValidation>
    <dataValidation type="list" sqref="D8">
      <formula1>"1,2,3,검정고시,졸업생,기타"</formula1>
    </dataValidation>
    <dataValidation type="list" sqref="D9">
      <formula1>"1,2,3,검정고시,졸업생,기타"</formula1>
    </dataValidation>
    <dataValidation type="list" sqref="D10">
      <formula1>"1,2,3,검정고시,졸업생,기타"</formula1>
    </dataValidation>
    <dataValidation type="list" sqref="D11">
      <formula1>"1,2,3,검정고시,졸업생,기타"</formula1>
    </dataValidation>
    <dataValidation type="list" sqref="D12">
      <formula1>"1,2,3,검정고시,졸업생,기타"</formula1>
    </dataValidation>
    <dataValidation type="list" sqref="D13">
      <formula1>"1,2,3,검정고시,졸업생,기타"</formula1>
    </dataValidation>
    <dataValidation type="list" sqref="D14">
      <formula1>"1,2,3,검정고시,졸업생,기타"</formula1>
    </dataValidation>
    <dataValidation type="list" sqref="D15">
      <formula1>"1,2,3,검정고시,졸업생,기타"</formula1>
    </dataValidation>
    <dataValidation type="list" sqref="D16">
      <formula1>"1,2,3,검정고시,졸업생,기타"</formula1>
    </dataValidation>
    <dataValidation type="list" sqref="D17">
      <formula1>"1,2,3,검정고시,졸업생,기타"</formula1>
    </dataValidation>
    <dataValidation type="list" sqref="D18">
      <formula1>"1,2,3,검정고시,졸업생,기타"</formula1>
    </dataValidation>
    <dataValidation type="list" sqref="D19">
      <formula1>"1,2,3,검정고시,졸업생,기타"</formula1>
    </dataValidation>
    <dataValidation type="list" sqref="D20">
      <formula1>"1,2,3,검정고시,졸업생,기타"</formula1>
    </dataValidation>
    <dataValidation type="list" sqref="D21">
      <formula1>"1,2,3,검정고시,졸업생,기타"</formula1>
    </dataValidation>
    <dataValidation type="list" sqref="D22">
      <formula1>"1,2,3,검정고시,졸업생,기타"</formula1>
    </dataValidation>
    <dataValidation type="list" sqref="D23">
      <formula1>"1,2,3,검정고시,졸업생,기타"</formula1>
    </dataValidation>
    <dataValidation type="list" sqref="D24">
      <formula1>"1,2,3,검정고시,졸업생,기타"</formula1>
    </dataValidation>
    <dataValidation type="list" sqref="D25">
      <formula1>"1,2,3,검정고시,졸업생,기타"</formula1>
    </dataValidation>
    <dataValidation type="list" sqref="D27">
      <formula1>"1,2,3,검정고시,졸업생,기타"</formula1>
    </dataValidation>
    <dataValidation type="list" sqref="D28">
      <formula1>"1,2,3,검정고시,졸업생,기타"</formula1>
    </dataValidation>
    <dataValidation type="list" sqref="D29">
      <formula1>"1,2,3,검정고시,졸업생,기타"</formula1>
    </dataValidation>
    <dataValidation type="list" sqref="D30">
      <formula1>"1,2,3,검정고시,졸업생,기타"</formula1>
    </dataValidation>
    <dataValidation type="list" sqref="D31">
      <formula1>"1,2,3,검정고시,졸업생,기타"</formula1>
    </dataValidation>
    <dataValidation type="list" sqref="D32">
      <formula1>"1,2,3,검정고시,졸업생,기타"</formula1>
    </dataValidation>
    <dataValidation type="list" sqref="D33">
      <formula1>"1,2,3,검정고시,졸업생,기타"</formula1>
    </dataValidation>
    <dataValidation type="list" sqref="D34">
      <formula1>"1,2,3,검정고시,졸업생,기타"</formula1>
    </dataValidation>
    <dataValidation type="list" sqref="D35">
      <formula1>"1,2,3,검정고시,졸업생,기타"</formula1>
    </dataValidation>
    <dataValidation type="list" sqref="D36">
      <formula1>"1,2,3,검정고시,졸업생,기타"</formula1>
    </dataValidation>
    <dataValidation type="list" sqref="D37">
      <formula1>"1,2,3,검정고시,졸업생,기타"</formula1>
    </dataValidation>
    <dataValidation type="list" sqref="D38">
      <formula1>"1,2,3,검정고시,졸업생,기타"</formula1>
    </dataValidation>
    <dataValidation type="list" sqref="D39">
      <formula1>"1,2,3,검정고시,졸업생,기타"</formula1>
    </dataValidation>
    <dataValidation type="list" sqref="D40">
      <formula1>"1,2,3,검정고시,졸업생,기타"</formula1>
    </dataValidation>
    <dataValidation type="list" sqref="D41">
      <formula1>"1,2,3,검정고시,졸업생,기타"</formula1>
    </dataValidation>
    <dataValidation type="list" sqref="D42">
      <formula1>"1,2,3,검정고시,졸업생,기타"</formula1>
    </dataValidation>
    <dataValidation type="list" sqref="D43">
      <formula1>"1,2,3,검정고시,졸업생,기타"</formula1>
    </dataValidation>
    <dataValidation type="list" sqref="D44">
      <formula1>"1,2,3,검정고시,졸업생,기타"</formula1>
    </dataValidation>
    <dataValidation type="list" sqref="D45">
      <formula1>"1,2,3,검정고시,졸업생,기타"</formula1>
    </dataValidation>
    <dataValidation type="list" sqref="D46">
      <formula1>"1,2,3,검정고시,졸업생,기타"</formula1>
    </dataValidation>
    <dataValidation type="list" sqref="D48">
      <formula1>"1,2,3,검정고시,졸업생,기타"</formula1>
    </dataValidation>
    <dataValidation type="list" sqref="D49">
      <formula1>"1,2,3,검정고시,졸업생,기타"</formula1>
    </dataValidation>
    <dataValidation type="list" sqref="D50">
      <formula1>"1,2,3,검정고시,졸업생,기타"</formula1>
    </dataValidation>
    <dataValidation type="list" sqref="D51">
      <formula1>"1,2,3,검정고시,졸업생,기타"</formula1>
    </dataValidation>
    <dataValidation type="list" sqref="D52">
      <formula1>"1,2,3,검정고시,졸업생,기타"</formula1>
    </dataValidation>
    <dataValidation type="list" sqref="D53">
      <formula1>"1,2,3,검정고시,졸업생,기타"</formula1>
    </dataValidation>
    <dataValidation type="list" sqref="D54">
      <formula1>"1,2,3,검정고시,졸업생,기타"</formula1>
    </dataValidation>
    <dataValidation type="list" sqref="D55">
      <formula1>"1,2,3,검정고시,졸업생,기타"</formula1>
    </dataValidation>
    <dataValidation type="list" sqref="D56">
      <formula1>"1,2,3,검정고시,졸업생,기타"</formula1>
    </dataValidation>
    <dataValidation type="list" sqref="D57">
      <formula1>"1,2,3,검정고시,졸업생,기타"</formula1>
    </dataValidation>
    <dataValidation type="list" sqref="D58">
      <formula1>"1,2,3,검정고시,졸업생,기타"</formula1>
    </dataValidation>
    <dataValidation type="list" sqref="D59">
      <formula1>"1,2,3,검정고시,졸업생,기타"</formula1>
    </dataValidation>
    <dataValidation type="list" sqref="D60">
      <formula1>"1,2,3,검정고시,졸업생,기타"</formula1>
    </dataValidation>
    <dataValidation type="list" sqref="D61">
      <formula1>"1,2,3,검정고시,졸업생,기타"</formula1>
    </dataValidation>
    <dataValidation type="list" sqref="D62">
      <formula1>"1,2,3,검정고시,졸업생,기타"</formula1>
    </dataValidation>
    <dataValidation type="list" sqref="D63">
      <formula1>"1,2,3,검정고시,졸업생,기타"</formula1>
    </dataValidation>
    <dataValidation type="list" sqref="D64">
      <formula1>"1,2,3,검정고시,졸업생,기타"</formula1>
    </dataValidation>
    <dataValidation type="list" sqref="D65">
      <formula1>"1,2,3,검정고시,졸업생,기타"</formula1>
    </dataValidation>
    <dataValidation type="list" sqref="D66">
      <formula1>"1,2,3,검정고시,졸업생,기타"</formula1>
    </dataValidation>
    <dataValidation type="list" sqref="D67">
      <formula1>"1,2,3,검정고시,졸업생,기타"</formula1>
    </dataValidation>
    <dataValidation type="list" sqref="D69">
      <formula1>"1,2,3,검정고시,졸업생,기타"</formula1>
    </dataValidation>
    <dataValidation type="list" sqref="D70">
      <formula1>"1,2,3,검정고시,졸업생,기타"</formula1>
    </dataValidation>
    <dataValidation type="list" sqref="D71">
      <formula1>"1,2,3,검정고시,졸업생,기타"</formula1>
    </dataValidation>
    <dataValidation type="list" sqref="D72">
      <formula1>"1,2,3,검정고시,졸업생,기타"</formula1>
    </dataValidation>
    <dataValidation type="list" sqref="D73">
      <formula1>"1,2,3,검정고시,졸업생,기타"</formula1>
    </dataValidation>
    <dataValidation type="list" sqref="D74">
      <formula1>"1,2,3,검정고시,졸업생,기타"</formula1>
    </dataValidation>
    <dataValidation type="list" sqref="D75">
      <formula1>"1,2,3,검정고시,졸업생,기타"</formula1>
    </dataValidation>
    <dataValidation type="list" sqref="D76">
      <formula1>"1,2,3,검정고시,졸업생,기타"</formula1>
    </dataValidation>
    <dataValidation type="list" sqref="D77">
      <formula1>"1,2,3,검정고시,졸업생,기타"</formula1>
    </dataValidation>
    <dataValidation type="list" sqref="D78">
      <formula1>"1,2,3,검정고시,졸업생,기타"</formula1>
    </dataValidation>
    <dataValidation type="list" sqref="D79">
      <formula1>"1,2,3,검정고시,졸업생,기타"</formula1>
    </dataValidation>
    <dataValidation type="list" sqref="D80">
      <formula1>"1,2,3,검정고시,졸업생,기타"</formula1>
    </dataValidation>
    <dataValidation type="list" sqref="D81">
      <formula1>"1,2,3,검정고시,졸업생,기타"</formula1>
    </dataValidation>
    <dataValidation type="list" sqref="D82">
      <formula1>"1,2,3,검정고시,졸업생,기타"</formula1>
    </dataValidation>
    <dataValidation type="list" sqref="D83">
      <formula1>"1,2,3,검정고시,졸업생,기타"</formula1>
    </dataValidation>
    <dataValidation type="list" sqref="D84">
      <formula1>"1,2,3,검정고시,졸업생,기타"</formula1>
    </dataValidation>
    <dataValidation type="list" sqref="D85">
      <formula1>"1,2,3,검정고시,졸업생,기타"</formula1>
    </dataValidation>
    <dataValidation type="list" sqref="D86">
      <formula1>"1,2,3,검정고시,졸업생,기타"</formula1>
    </dataValidation>
    <dataValidation type="list" sqref="D87">
      <formula1>"1,2,3,검정고시,졸업생,기타"</formula1>
    </dataValidation>
    <dataValidation type="list" sqref="D88">
      <formula1>"1,2,3,검정고시,졸업생,기타"</formula1>
    </dataValidation>
    <dataValidation type="list" sqref="D90">
      <formula1>"1,2,3,검정고시,졸업생,기타"</formula1>
    </dataValidation>
    <dataValidation type="list" sqref="D91">
      <formula1>"1,2,3,검정고시,졸업생,기타"</formula1>
    </dataValidation>
    <dataValidation type="list" sqref="D92">
      <formula1>"1,2,3,검정고시,졸업생,기타"</formula1>
    </dataValidation>
    <dataValidation type="list" sqref="D93">
      <formula1>"1,2,3,검정고시,졸업생,기타"</formula1>
    </dataValidation>
    <dataValidation type="list" sqref="D94">
      <formula1>"1,2,3,검정고시,졸업생,기타"</formula1>
    </dataValidation>
    <dataValidation type="list" sqref="D95">
      <formula1>"1,2,3,검정고시,졸업생,기타"</formula1>
    </dataValidation>
    <dataValidation type="list" sqref="D96">
      <formula1>"1,2,3,검정고시,졸업생,기타"</formula1>
    </dataValidation>
    <dataValidation type="list" sqref="D97">
      <formula1>"1,2,3,검정고시,졸업생,기타"</formula1>
    </dataValidation>
    <dataValidation type="list" sqref="D98">
      <formula1>"1,2,3,검정고시,졸업생,기타"</formula1>
    </dataValidation>
    <dataValidation type="list" sqref="D99">
      <formula1>"1,2,3,검정고시,졸업생,기타"</formula1>
    </dataValidation>
    <dataValidation type="list" sqref="D100">
      <formula1>"1,2,3,검정고시,졸업생,기타"</formula1>
    </dataValidation>
    <dataValidation type="list" sqref="D101">
      <formula1>"1,2,3,검정고시,졸업생,기타"</formula1>
    </dataValidation>
    <dataValidation type="list" sqref="D102">
      <formula1>"1,2,3,검정고시,졸업생,기타"</formula1>
    </dataValidation>
    <dataValidation type="list" sqref="D103">
      <formula1>"1,2,3,검정고시,졸업생,기타"</formula1>
    </dataValidation>
    <dataValidation type="list" sqref="D104">
      <formula1>"1,2,3,검정고시,졸업생,기타"</formula1>
    </dataValidation>
    <dataValidation type="list" sqref="D105">
      <formula1>"1,2,3,검정고시,졸업생,기타"</formula1>
    </dataValidation>
    <dataValidation type="list" sqref="D106">
      <formula1>"1,2,3,검정고시,졸업생,기타"</formula1>
    </dataValidation>
    <dataValidation type="list" sqref="D107">
      <formula1>"1,2,3,검정고시,졸업생,기타"</formula1>
    </dataValidation>
    <dataValidation type="list" sqref="D108">
      <formula1>"1,2,3,검정고시,졸업생,기타"</formula1>
    </dataValidation>
    <dataValidation type="list" sqref="D109">
      <formula1>"1,2,3,검정고시,졸업생,기타"</formula1>
    </dataValidation>
    <dataValidation type="list" sqref="D111">
      <formula1>"1,2,3,검정고시,졸업생,기타"</formula1>
    </dataValidation>
    <dataValidation type="list" sqref="D112">
      <formula1>"1,2,3,검정고시,졸업생,기타"</formula1>
    </dataValidation>
    <dataValidation type="list" sqref="D113">
      <formula1>"1,2,3,검정고시,졸업생,기타"</formula1>
    </dataValidation>
    <dataValidation type="list" sqref="D114">
      <formula1>"1,2,3,검정고시,졸업생,기타"</formula1>
    </dataValidation>
    <dataValidation type="list" sqref="D115">
      <formula1>"1,2,3,검정고시,졸업생,기타"</formula1>
    </dataValidation>
    <dataValidation type="list" sqref="D116">
      <formula1>"1,2,3,검정고시,졸업생,기타"</formula1>
    </dataValidation>
    <dataValidation type="list" sqref="D117">
      <formula1>"1,2,3,검정고시,졸업생,기타"</formula1>
    </dataValidation>
    <dataValidation type="list" sqref="D118">
      <formula1>"1,2,3,검정고시,졸업생,기타"</formula1>
    </dataValidation>
    <dataValidation type="list" sqref="D119">
      <formula1>"1,2,3,검정고시,졸업생,기타"</formula1>
    </dataValidation>
    <dataValidation type="list" sqref="D120">
      <formula1>"1,2,3,검정고시,졸업생,기타"</formula1>
    </dataValidation>
    <dataValidation type="list" sqref="D121">
      <formula1>"1,2,3,검정고시,졸업생,기타"</formula1>
    </dataValidation>
    <dataValidation type="list" sqref="D122">
      <formula1>"1,2,3,검정고시,졸업생,기타"</formula1>
    </dataValidation>
    <dataValidation type="list" sqref="D123">
      <formula1>"1,2,3,검정고시,졸업생,기타"</formula1>
    </dataValidation>
    <dataValidation type="list" sqref="D124">
      <formula1>"1,2,3,검정고시,졸업생,기타"</formula1>
    </dataValidation>
    <dataValidation type="list" sqref="D125">
      <formula1>"1,2,3,검정고시,졸업생,기타"</formula1>
    </dataValidation>
    <dataValidation type="list" sqref="D126">
      <formula1>"1,2,3,검정고시,졸업생,기타"</formula1>
    </dataValidation>
    <dataValidation type="list" sqref="D127">
      <formula1>"1,2,3,검정고시,졸업생,기타"</formula1>
    </dataValidation>
    <dataValidation type="list" sqref="D128">
      <formula1>"1,2,3,검정고시,졸업생,기타"</formula1>
    </dataValidation>
    <dataValidation type="list" sqref="D129">
      <formula1>"1,2,3,검정고시,졸업생,기타"</formula1>
    </dataValidation>
    <dataValidation type="list" sqref="D130">
      <formula1>"1,2,3,검정고시,졸업생,기타"</formula1>
    </dataValidation>
    <dataValidation type="list" sqref="D132">
      <formula1>"1,2,3,검정고시,졸업생,기타"</formula1>
    </dataValidation>
    <dataValidation type="list" sqref="D133">
      <formula1>"1,2,3,검정고시,졸업생,기타"</formula1>
    </dataValidation>
    <dataValidation type="list" sqref="D134">
      <formula1>"1,2,3,검정고시,졸업생,기타"</formula1>
    </dataValidation>
    <dataValidation type="list" sqref="D135">
      <formula1>"1,2,3,검정고시,졸업생,기타"</formula1>
    </dataValidation>
    <dataValidation type="list" sqref="D136">
      <formula1>"1,2,3,검정고시,졸업생,기타"</formula1>
    </dataValidation>
    <dataValidation type="list" sqref="D137">
      <formula1>"1,2,3,검정고시,졸업생,기타"</formula1>
    </dataValidation>
    <dataValidation type="list" sqref="D138">
      <formula1>"1,2,3,검정고시,졸업생,기타"</formula1>
    </dataValidation>
    <dataValidation type="list" sqref="D139">
      <formula1>"1,2,3,검정고시,졸업생,기타"</formula1>
    </dataValidation>
    <dataValidation type="list" sqref="D140">
      <formula1>"1,2,3,검정고시,졸업생,기타"</formula1>
    </dataValidation>
    <dataValidation type="list" sqref="D141">
      <formula1>"1,2,3,검정고시,졸업생,기타"</formula1>
    </dataValidation>
    <dataValidation type="list" sqref="D142">
      <formula1>"1,2,3,검정고시,졸업생,기타"</formula1>
    </dataValidation>
    <dataValidation type="list" sqref="D143">
      <formula1>"1,2,3,검정고시,졸업생,기타"</formula1>
    </dataValidation>
    <dataValidation type="list" sqref="D144">
      <formula1>"1,2,3,검정고시,졸업생,기타"</formula1>
    </dataValidation>
    <dataValidation type="list" sqref="D145">
      <formula1>"1,2,3,검정고시,졸업생,기타"</formula1>
    </dataValidation>
    <dataValidation type="list" sqref="D146">
      <formula1>"1,2,3,검정고시,졸업생,기타"</formula1>
    </dataValidation>
    <dataValidation type="list" sqref="D147">
      <formula1>"1,2,3,검정고시,졸업생,기타"</formula1>
    </dataValidation>
    <dataValidation type="list" sqref="D148">
      <formula1>"1,2,3,검정고시,졸업생,기타"</formula1>
    </dataValidation>
    <dataValidation type="list" sqref="D149">
      <formula1>"1,2,3,검정고시,졸업생,기타"</formula1>
    </dataValidation>
    <dataValidation type="list" sqref="D150">
      <formula1>"1,2,3,검정고시,졸업생,기타"</formula1>
    </dataValidation>
    <dataValidation type="list" sqref="D151">
      <formula1>"1,2,3,검정고시,졸업생,기타"</formula1>
    </dataValidation>
    <dataValidation type="list" sqref="D153">
      <formula1>"1,2,3,검정고시,졸업생,기타"</formula1>
    </dataValidation>
    <dataValidation type="list" sqref="D154">
      <formula1>"1,2,3,검정고시,졸업생,기타"</formula1>
    </dataValidation>
    <dataValidation type="list" sqref="D155">
      <formula1>"1,2,3,검정고시,졸업생,기타"</formula1>
    </dataValidation>
    <dataValidation type="list" sqref="D156">
      <formula1>"1,2,3,검정고시,졸업생,기타"</formula1>
    </dataValidation>
    <dataValidation type="list" sqref="D157">
      <formula1>"1,2,3,검정고시,졸업생,기타"</formula1>
    </dataValidation>
    <dataValidation type="list" sqref="D158">
      <formula1>"1,2,3,검정고시,졸업생,기타"</formula1>
    </dataValidation>
    <dataValidation type="list" sqref="D159">
      <formula1>"1,2,3,검정고시,졸업생,기타"</formula1>
    </dataValidation>
    <dataValidation type="list" sqref="D160">
      <formula1>"1,2,3,검정고시,졸업생,기타"</formula1>
    </dataValidation>
    <dataValidation type="list" sqref="D161">
      <formula1>"1,2,3,검정고시,졸업생,기타"</formula1>
    </dataValidation>
    <dataValidation type="list" sqref="D162">
      <formula1>"1,2,3,검정고시,졸업생,기타"</formula1>
    </dataValidation>
    <dataValidation type="list" sqref="D163">
      <formula1>"1,2,3,검정고시,졸업생,기타"</formula1>
    </dataValidation>
    <dataValidation type="list" sqref="D164">
      <formula1>"1,2,3,검정고시,졸업생,기타"</formula1>
    </dataValidation>
    <dataValidation type="list" sqref="D165">
      <formula1>"1,2,3,검정고시,졸업생,기타"</formula1>
    </dataValidation>
    <dataValidation type="list" sqref="D166">
      <formula1>"1,2,3,검정고시,졸업생,기타"</formula1>
    </dataValidation>
    <dataValidation type="list" sqref="D167">
      <formula1>"1,2,3,검정고시,졸업생,기타"</formula1>
    </dataValidation>
    <dataValidation type="list" sqref="D168">
      <formula1>"1,2,3,검정고시,졸업생,기타"</formula1>
    </dataValidation>
    <dataValidation type="list" sqref="D169">
      <formula1>"1,2,3,검정고시,졸업생,기타"</formula1>
    </dataValidation>
    <dataValidation type="list" sqref="D170">
      <formula1>"1,2,3,검정고시,졸업생,기타"</formula1>
    </dataValidation>
    <dataValidation type="list" sqref="D171">
      <formula1>"1,2,3,검정고시,졸업생,기타"</formula1>
    </dataValidation>
    <dataValidation type="list" sqref="D172">
      <formula1>"1,2,3,검정고시,졸업생,기타"</formula1>
    </dataValidation>
    <dataValidation type="list" sqref="D174">
      <formula1>"1,2,3,검정고시,졸업생,기타"</formula1>
    </dataValidation>
    <dataValidation type="list" sqref="D175">
      <formula1>"1,2,3,검정고시,졸업생,기타"</formula1>
    </dataValidation>
    <dataValidation type="list" sqref="D176">
      <formula1>"1,2,3,검정고시,졸업생,기타"</formula1>
    </dataValidation>
    <dataValidation type="list" sqref="D177">
      <formula1>"1,2,3,검정고시,졸업생,기타"</formula1>
    </dataValidation>
    <dataValidation type="list" sqref="D178">
      <formula1>"1,2,3,검정고시,졸업생,기타"</formula1>
    </dataValidation>
    <dataValidation type="list" sqref="D179">
      <formula1>"1,2,3,검정고시,졸업생,기타"</formula1>
    </dataValidation>
    <dataValidation type="list" sqref="D180">
      <formula1>"1,2,3,검정고시,졸업생,기타"</formula1>
    </dataValidation>
    <dataValidation type="list" sqref="D181">
      <formula1>"1,2,3,검정고시,졸업생,기타"</formula1>
    </dataValidation>
    <dataValidation type="list" sqref="D182">
      <formula1>"1,2,3,검정고시,졸업생,기타"</formula1>
    </dataValidation>
    <dataValidation type="list" sqref="D183">
      <formula1>"1,2,3,검정고시,졸업생,기타"</formula1>
    </dataValidation>
    <dataValidation type="list" sqref="D184">
      <formula1>"1,2,3,검정고시,졸업생,기타"</formula1>
    </dataValidation>
    <dataValidation type="list" sqref="D185">
      <formula1>"1,2,3,검정고시,졸업생,기타"</formula1>
    </dataValidation>
    <dataValidation type="list" sqref="D186">
      <formula1>"1,2,3,검정고시,졸업생,기타"</formula1>
    </dataValidation>
    <dataValidation type="list" sqref="D187">
      <formula1>"1,2,3,검정고시,졸업생,기타"</formula1>
    </dataValidation>
    <dataValidation type="list" sqref="D188">
      <formula1>"1,2,3,검정고시,졸업생,기타"</formula1>
    </dataValidation>
    <dataValidation type="list" sqref="D189">
      <formula1>"1,2,3,검정고시,졸업생,기타"</formula1>
    </dataValidation>
    <dataValidation type="list" sqref="D190">
      <formula1>"1,2,3,검정고시,졸업생,기타"</formula1>
    </dataValidation>
    <dataValidation type="list" sqref="D191">
      <formula1>"1,2,3,검정고시,졸업생,기타"</formula1>
    </dataValidation>
    <dataValidation type="list" sqref="D192">
      <formula1>"1,2,3,검정고시,졸업생,기타"</formula1>
    </dataValidation>
    <dataValidation type="list" sqref="D193">
      <formula1>"1,2,3,검정고시,졸업생,기타"</formula1>
    </dataValidation>
    <dataValidation type="list" sqref="D195">
      <formula1>"1,2,3,검정고시,졸업생,기타"</formula1>
    </dataValidation>
    <dataValidation type="list" sqref="D196">
      <formula1>"1,2,3,검정고시,졸업생,기타"</formula1>
    </dataValidation>
    <dataValidation type="list" sqref="D197">
      <formula1>"1,2,3,검정고시,졸업생,기타"</formula1>
    </dataValidation>
    <dataValidation type="list" sqref="D198">
      <formula1>"1,2,3,검정고시,졸업생,기타"</formula1>
    </dataValidation>
    <dataValidation type="list" sqref="D199">
      <formula1>"1,2,3,검정고시,졸업생,기타"</formula1>
    </dataValidation>
    <dataValidation type="list" sqref="D200">
      <formula1>"1,2,3,검정고시,졸업생,기타"</formula1>
    </dataValidation>
    <dataValidation type="list" sqref="D201">
      <formula1>"1,2,3,검정고시,졸업생,기타"</formula1>
    </dataValidation>
    <dataValidation type="list" sqref="D202">
      <formula1>"1,2,3,검정고시,졸업생,기타"</formula1>
    </dataValidation>
    <dataValidation type="list" sqref="D203">
      <formula1>"1,2,3,검정고시,졸업생,기타"</formula1>
    </dataValidation>
    <dataValidation type="list" sqref="D204">
      <formula1>"1,2,3,검정고시,졸업생,기타"</formula1>
    </dataValidation>
    <dataValidation type="list" sqref="D205">
      <formula1>"1,2,3,검정고시,졸업생,기타"</formula1>
    </dataValidation>
    <dataValidation type="list" sqref="D206">
      <formula1>"1,2,3,검정고시,졸업생,기타"</formula1>
    </dataValidation>
    <dataValidation type="list" sqref="D207">
      <formula1>"1,2,3,검정고시,졸업생,기타"</formula1>
    </dataValidation>
    <dataValidation type="list" sqref="D208">
      <formula1>"1,2,3,검정고시,졸업생,기타"</formula1>
    </dataValidation>
    <dataValidation type="list" sqref="D209">
      <formula1>"1,2,3,검정고시,졸업생,기타"</formula1>
    </dataValidation>
    <dataValidation type="list" sqref="D210">
      <formula1>"1,2,3,검정고시,졸업생,기타"</formula1>
    </dataValidation>
    <dataValidation type="list" sqref="D211">
      <formula1>"1,2,3,검정고시,졸업생,기타"</formula1>
    </dataValidation>
    <dataValidation type="list" sqref="D212">
      <formula1>"1,2,3,검정고시,졸업생,기타"</formula1>
    </dataValidation>
    <dataValidation type="list" sqref="D213">
      <formula1>"1,2,3,검정고시,졸업생,기타"</formula1>
    </dataValidation>
    <dataValidation type="list" sqref="D214">
      <formula1>"1,2,3,검정고시,졸업생,기타"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FormatPr defaultRowHeight="15"/>
  <cols>
    <col min="1" max="1" width="5" hidden="0" customWidth="1"/>
    <col min="2" max="2" width="10" hidden="0" customWidth="1"/>
    <col min="3" max="3" width="15" hidden="0" customWidth="1"/>
    <col min="4" max="4" width="8" hidden="0" customWidth="1"/>
    <col min="5" max="5" width="16" hidden="0" customWidth="1"/>
    <col min="6" max="6" width="19" hidden="0" customWidth="1"/>
    <col min="7" max="7" width="11" hidden="0" customWidth="1"/>
    <col min="8" max="8" width="20" hidden="0" customWidth="1"/>
    <col min="9" max="9" width="5.5" hidden="0" customWidth="1"/>
    <col min="10" max="10" width="5.5" hidden="0" customWidth="1"/>
    <col min="11" max="11" width="5.5" hidden="0" customWidth="1"/>
    <col min="12" max="12" width="5.5" hidden="0" customWidth="1"/>
    <col min="13" max="13" width="5.5" hidden="0" customWidth="1"/>
    <col min="14" max="14" width="6.5" hidden="0" customWidth="1"/>
    <col min="15" max="15" width="6.5" hidden="0" customWidth="1"/>
    <col min="16" max="16" width="6.5" hidden="0" customWidth="1"/>
    <col min="17" max="17" width="6.5" hidden="0" customWidth="1"/>
    <col min="18" max="18" width="6.5" hidden="0" customWidth="1"/>
    <col min="19" max="19" width="6.5" hidden="0" customWidth="1"/>
    <col min="20" max="20" width="8" hidden="0" customWidth="1"/>
    <col min="21" max="21" width="20" hidden="0" customWidth="1"/>
  </cols>
  <sheetData>
    <row r="1" ht="30" customHeight="1">
      <c r="A1" s="99" t="str">
        <v>작성예시 — 아래 형태를 참고해서 종합입력 시트에 작성하세요</v>
      </c>
      <c r="B1" s="99"/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</row>
    <row r="2">
      <c r="A2" s="110" t="str">
        <v>캠퍼스: 부천애니하이 입시본원</v>
      </c>
      <c r="B2" s="110"/>
      <c r="C2" s="110"/>
      <c r="D2" s="110"/>
      <c r="E2" s="110"/>
      <c r="F2" s="110"/>
      <c r="G2" s="110"/>
      <c r="H2" s="110"/>
      <c r="I2" s="110"/>
      <c r="J2" s="112" t="str">
        <v>학부모 연락처는 부: 또는 모: 를 전화번호 앞에 붙여 작성</v>
      </c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</row>
    <row r="4" ht="30" customHeight="1">
      <c r="A4" s="31" t="str">
        <v>No</v>
      </c>
      <c r="B4" s="32" t="str">
        <v>이름</v>
      </c>
      <c r="C4" s="32" t="str">
        <v>학교</v>
      </c>
      <c r="D4" s="32" t="str">
        <v>학년</v>
      </c>
      <c r="E4" s="32" t="str">
        <v>학생 전화번호</v>
      </c>
      <c r="F4" s="32" t="str">
        <v>학부모 전화번호</v>
      </c>
      <c r="G4" s="32" t="str">
        <v>등록일</v>
      </c>
      <c r="H4" s="32" t="str">
        <v>수업요일</v>
      </c>
      <c r="I4" s="32" t="str">
        <v>월</v>
      </c>
      <c r="J4" s="32" t="str">
        <v>화</v>
      </c>
      <c r="K4" s="32" t="str">
        <v>수</v>
      </c>
      <c r="L4" s="32" t="str">
        <v>목</v>
      </c>
      <c r="M4" s="32" t="str">
        <v>금</v>
      </c>
      <c r="N4" s="32" t="str">
        <v>토(1)</v>
      </c>
      <c r="O4" s="32" t="str">
        <v>토(2)</v>
      </c>
      <c r="P4" s="32" t="str">
        <v>토(3)</v>
      </c>
      <c r="Q4" s="32" t="str">
        <v>일(1)</v>
      </c>
      <c r="R4" s="32" t="str">
        <v>일(2)</v>
      </c>
      <c r="S4" s="32" t="str">
        <v>일(3)</v>
      </c>
      <c r="T4" s="32" t="str">
        <v>총횟수</v>
      </c>
      <c r="U4" s="33" t="str">
        <v>비고</v>
      </c>
    </row>
    <row r="5" ht="27" customHeight="1">
      <c r="A5" s="56" t="str">
        <v>입시기초반</v>
      </c>
      <c r="B5" s="57"/>
      <c r="C5" s="57"/>
      <c r="D5" s="57"/>
      <c r="E5" s="57"/>
      <c r="F5" s="57"/>
      <c r="G5" s="57"/>
      <c r="H5" s="57"/>
      <c r="I5" s="57"/>
      <c r="J5" s="57"/>
      <c r="K5" s="57"/>
      <c r="L5" s="57"/>
      <c r="M5" s="57"/>
      <c r="N5" s="57"/>
      <c r="O5" s="57"/>
      <c r="P5" s="57"/>
      <c r="Q5" s="57"/>
      <c r="R5" s="57"/>
      <c r="S5" s="57"/>
      <c r="T5" s="57"/>
      <c r="U5" s="58"/>
    </row>
    <row r="6">
      <c r="A6" s="84" t="n">
        <v>1</v>
      </c>
      <c r="B6" s="85" t="str">
        <v>김가인</v>
      </c>
      <c r="C6" s="85" t="str">
        <v>송내고</v>
      </c>
      <c r="D6" s="85" t="str">
        <v>1</v>
      </c>
      <c r="E6" s="90" t="str">
        <v>010-2037-1091</v>
      </c>
      <c r="F6" s="90" t="str">
        <v>부:010-7053-1137</v>
      </c>
      <c r="G6" s="92" t="n">
        <v>46027</v>
      </c>
      <c r="H6" s="94" t="str">
        <v>월화수목금토1토2</v>
      </c>
      <c r="I6" s="85" t="n">
        <f>IF(ISNUMBER(SEARCH("월",$H6)),1,"")</f>
        <v>1</v>
      </c>
      <c r="J6" s="85" t="n">
        <f>IF(ISNUMBER(SEARCH("화",$H6)),1,"")</f>
        <v>1</v>
      </c>
      <c r="K6" s="85" t="n">
        <f>IF(ISNUMBER(SEARCH("수",$H6)),1,"")</f>
        <v>1</v>
      </c>
      <c r="L6" s="85" t="n">
        <f>IF(ISNUMBER(SEARCH("목",$H6)),1,"")</f>
        <v>1</v>
      </c>
      <c r="M6" s="85" t="n">
        <f>IF(ISNUMBER(SEARCH("금",$H6)),1,"")</f>
        <v>1</v>
      </c>
      <c r="N6" s="85" t="n">
        <f>IF(ISNUMBER(SEARCH("토1",$H6)),1,"")</f>
        <v>1</v>
      </c>
      <c r="O6" s="85" t="n">
        <f>IF(ISNUMBER(SEARCH("토2",$H6)),1,"")</f>
        <v>1</v>
      </c>
      <c r="P6" s="85" t="str">
        <f>IF(ISNUMBER(SEARCH("토3",$H6)),1,"")</f>
      </c>
      <c r="Q6" s="85" t="str">
        <f>IF(ISNUMBER(SEARCH("일1",$H6)),1,"")</f>
      </c>
      <c r="R6" s="85" t="str">
        <f>IF(ISNUMBER(SEARCH("일2",$H6)),1,"")</f>
      </c>
      <c r="S6" s="85" t="str">
        <f>IF(ISNUMBER(SEARCH("일3",$H6)),1,"")</f>
      </c>
      <c r="T6" s="85" t="n">
        <f>SUM(I6:S6)</f>
        <v>7</v>
      </c>
      <c r="U6" s="88" t="str">
        <v>보강 가능</v>
      </c>
    </row>
    <row r="7">
      <c r="A7" s="84" t="n">
        <v>2</v>
      </c>
      <c r="B7" s="85" t="str">
        <v>이라진</v>
      </c>
      <c r="C7" s="85" t="str">
        <v>부명고</v>
      </c>
      <c r="D7" s="85" t="str">
        <v>2</v>
      </c>
      <c r="E7" s="90" t="str">
        <v>010-2074-1182</v>
      </c>
      <c r="F7" s="90" t="str">
        <v>모:010-7106-1274</v>
      </c>
      <c r="G7" s="92" t="n">
        <v>46032</v>
      </c>
      <c r="H7" s="94" t="str">
        <v>화목금토1토2일1일2</v>
      </c>
      <c r="I7" s="85" t="str">
        <f>IF(ISNUMBER(SEARCH("월",$H7)),1,"")</f>
      </c>
      <c r="J7" s="85" t="n">
        <f>IF(ISNUMBER(SEARCH("화",$H7)),1,"")</f>
        <v>1</v>
      </c>
      <c r="K7" s="85" t="str">
        <f>IF(ISNUMBER(SEARCH("수",$H7)),1,"")</f>
      </c>
      <c r="L7" s="85" t="n">
        <f>IF(ISNUMBER(SEARCH("목",$H7)),1,"")</f>
        <v>1</v>
      </c>
      <c r="M7" s="85" t="n">
        <f>IF(ISNUMBER(SEARCH("금",$H7)),1,"")</f>
        <v>1</v>
      </c>
      <c r="N7" s="85" t="n">
        <f>IF(ISNUMBER(SEARCH("토1",$H7)),1,"")</f>
        <v>1</v>
      </c>
      <c r="O7" s="85" t="n">
        <f>IF(ISNUMBER(SEARCH("토2",$H7)),1,"")</f>
        <v>1</v>
      </c>
      <c r="P7" s="85" t="str">
        <f>IF(ISNUMBER(SEARCH("토3",$H7)),1,"")</f>
      </c>
      <c r="Q7" s="85" t="n">
        <f>IF(ISNUMBER(SEARCH("일1",$H7)),1,"")</f>
        <v>1</v>
      </c>
      <c r="R7" s="85" t="n">
        <f>IF(ISNUMBER(SEARCH("일2",$H7)),1,"")</f>
        <v>1</v>
      </c>
      <c r="S7" s="85" t="str">
        <f>IF(ISNUMBER(SEARCH("일3",$H7)),1,"")</f>
      </c>
      <c r="T7" s="85" t="n">
        <f>SUM(I7:S7)</f>
        <v>7</v>
      </c>
      <c r="U7" s="88" t="str"/>
    </row>
    <row r="8">
      <c r="A8" s="84" t="n">
        <v>3</v>
      </c>
      <c r="B8" s="85" t="str">
        <v>박도서</v>
      </c>
      <c r="C8" s="85" t="str">
        <v>중원고</v>
      </c>
      <c r="D8" s="85" t="str">
        <v>3</v>
      </c>
      <c r="E8" s="90" t="str">
        <v>010-2111-1273</v>
      </c>
      <c r="F8" s="90" t="str">
        <v>부:010-7159-1411</v>
      </c>
      <c r="G8" s="92" t="n">
        <v>46037</v>
      </c>
      <c r="H8" s="94" t="str">
        <v>수목금토1토2</v>
      </c>
      <c r="I8" s="85" t="str">
        <f>IF(ISNUMBER(SEARCH("월",$H8)),1,"")</f>
      </c>
      <c r="J8" s="85" t="str">
        <f>IF(ISNUMBER(SEARCH("화",$H8)),1,"")</f>
      </c>
      <c r="K8" s="85" t="n">
        <f>IF(ISNUMBER(SEARCH("수",$H8)),1,"")</f>
        <v>1</v>
      </c>
      <c r="L8" s="85" t="n">
        <f>IF(ISNUMBER(SEARCH("목",$H8)),1,"")</f>
        <v>1</v>
      </c>
      <c r="M8" s="85" t="n">
        <f>IF(ISNUMBER(SEARCH("금",$H8)),1,"")</f>
        <v>1</v>
      </c>
      <c r="N8" s="85" t="n">
        <f>IF(ISNUMBER(SEARCH("토1",$H8)),1,"")</f>
        <v>1</v>
      </c>
      <c r="O8" s="85" t="n">
        <f>IF(ISNUMBER(SEARCH("토2",$H8)),1,"")</f>
        <v>1</v>
      </c>
      <c r="P8" s="85" t="str">
        <f>IF(ISNUMBER(SEARCH("토3",$H8)),1,"")</f>
      </c>
      <c r="Q8" s="85" t="str">
        <f>IF(ISNUMBER(SEARCH("일1",$H8)),1,"")</f>
      </c>
      <c r="R8" s="85" t="str">
        <f>IF(ISNUMBER(SEARCH("일2",$H8)),1,"")</f>
      </c>
      <c r="S8" s="85" t="str">
        <f>IF(ISNUMBER(SEARCH("일3",$H8)),1,"")</f>
      </c>
      <c r="T8" s="85" t="n">
        <f>SUM(I8:S8)</f>
        <v>5</v>
      </c>
      <c r="U8" s="88" t="str"/>
    </row>
    <row r="9" ht="27" customHeight="1">
      <c r="A9" s="56" t="str">
        <v>기초심화반</v>
      </c>
      <c r="B9" s="57"/>
      <c r="C9" s="57"/>
      <c r="D9" s="57"/>
      <c r="E9" s="57"/>
      <c r="F9" s="57"/>
      <c r="G9" s="57"/>
      <c r="H9" s="57"/>
      <c r="I9" s="57"/>
      <c r="J9" s="57"/>
      <c r="K9" s="57"/>
      <c r="L9" s="57"/>
      <c r="M9" s="57"/>
      <c r="N9" s="57"/>
      <c r="O9" s="57"/>
      <c r="P9" s="57"/>
      <c r="Q9" s="57"/>
      <c r="R9" s="57"/>
      <c r="S9" s="57"/>
      <c r="T9" s="57"/>
      <c r="U9" s="58"/>
    </row>
    <row r="10">
      <c r="A10" s="84" t="n">
        <v>1</v>
      </c>
      <c r="B10" s="85" t="str">
        <v>한예원</v>
      </c>
      <c r="C10" s="85" t="str">
        <v>도당고</v>
      </c>
      <c r="D10" s="85" t="str">
        <v>2</v>
      </c>
      <c r="E10" s="90" t="str">
        <v>010-2407-2001</v>
      </c>
      <c r="F10" s="90" t="str">
        <v>부:010-7583-2507</v>
      </c>
      <c r="G10" s="92" t="n">
        <v>46077</v>
      </c>
      <c r="H10" s="94" t="str">
        <v>월화수목금토1</v>
      </c>
      <c r="I10" s="85" t="n">
        <f>IF(ISNUMBER(SEARCH("월",$H10)),1,"")</f>
        <v>1</v>
      </c>
      <c r="J10" s="85" t="n">
        <f>IF(ISNUMBER(SEARCH("화",$H10)),1,"")</f>
        <v>1</v>
      </c>
      <c r="K10" s="85" t="n">
        <f>IF(ISNUMBER(SEARCH("수",$H10)),1,"")</f>
        <v>1</v>
      </c>
      <c r="L10" s="85" t="n">
        <f>IF(ISNUMBER(SEARCH("목",$H10)),1,"")</f>
        <v>1</v>
      </c>
      <c r="M10" s="85" t="n">
        <f>IF(ISNUMBER(SEARCH("금",$H10)),1,"")</f>
        <v>1</v>
      </c>
      <c r="N10" s="85" t="n">
        <f>IF(ISNUMBER(SEARCH("토1",$H10)),1,"")</f>
        <v>1</v>
      </c>
      <c r="O10" s="85" t="str">
        <f>IF(ISNUMBER(SEARCH("토2",$H10)),1,"")</f>
      </c>
      <c r="P10" s="85" t="str">
        <f>IF(ISNUMBER(SEARCH("토3",$H10)),1,"")</f>
      </c>
      <c r="Q10" s="85" t="str">
        <f>IF(ISNUMBER(SEARCH("일1",$H10)),1,"")</f>
      </c>
      <c r="R10" s="85" t="str">
        <f>IF(ISNUMBER(SEARCH("일2",$H10)),1,"")</f>
      </c>
      <c r="S10" s="85" t="str">
        <f>IF(ISNUMBER(SEARCH("일3",$H10)),1,"")</f>
      </c>
      <c r="T10" s="85" t="n">
        <f>SUM(I10:S10)</f>
        <v>6</v>
      </c>
      <c r="U10" s="88" t="str"/>
    </row>
    <row r="11">
      <c r="A11" s="84" t="n">
        <v>2</v>
      </c>
      <c r="B11" s="85" t="str">
        <v>오수준</v>
      </c>
      <c r="C11" s="85" t="str">
        <v>소명여고</v>
      </c>
      <c r="D11" s="85" t="str">
        <v>3</v>
      </c>
      <c r="E11" s="90" t="str">
        <v>010-2444-2092</v>
      </c>
      <c r="F11" s="90" t="str">
        <v>모:010-7636-2644</v>
      </c>
      <c r="G11" s="92" t="n">
        <v>46082</v>
      </c>
      <c r="H11" s="94" t="str">
        <v>화목금토1토2</v>
      </c>
      <c r="I11" s="85" t="str">
        <f>IF(ISNUMBER(SEARCH("월",$H11)),1,"")</f>
      </c>
      <c r="J11" s="85" t="n">
        <f>IF(ISNUMBER(SEARCH("화",$H11)),1,"")</f>
        <v>1</v>
      </c>
      <c r="K11" s="85" t="str">
        <f>IF(ISNUMBER(SEARCH("수",$H11)),1,"")</f>
      </c>
      <c r="L11" s="85" t="n">
        <f>IF(ISNUMBER(SEARCH("목",$H11)),1,"")</f>
        <v>1</v>
      </c>
      <c r="M11" s="85" t="n">
        <f>IF(ISNUMBER(SEARCH("금",$H11)),1,"")</f>
        <v>1</v>
      </c>
      <c r="N11" s="85" t="n">
        <f>IF(ISNUMBER(SEARCH("토1",$H11)),1,"")</f>
        <v>1</v>
      </c>
      <c r="O11" s="85" t="n">
        <f>IF(ISNUMBER(SEARCH("토2",$H11)),1,"")</f>
        <v>1</v>
      </c>
      <c r="P11" s="85" t="str">
        <f>IF(ISNUMBER(SEARCH("토3",$H11)),1,"")</f>
      </c>
      <c r="Q11" s="85" t="str">
        <f>IF(ISNUMBER(SEARCH("일1",$H11)),1,"")</f>
      </c>
      <c r="R11" s="85" t="str">
        <f>IF(ISNUMBER(SEARCH("일2",$H11)),1,"")</f>
      </c>
      <c r="S11" s="85" t="str">
        <f>IF(ISNUMBER(SEARCH("일3",$H11)),1,"")</f>
      </c>
      <c r="T11" s="85" t="n">
        <f>SUM(I11:S11)</f>
        <v>5</v>
      </c>
      <c r="U11" s="88" t="str"/>
    </row>
    <row r="12">
      <c r="A12" s="84" t="n">
        <v>3</v>
      </c>
      <c r="B12" s="85" t="str">
        <v>권다경</v>
      </c>
      <c r="C12" s="85" t="str">
        <v>중원고</v>
      </c>
      <c r="D12" s="85" t="str">
        <v>검정고시</v>
      </c>
      <c r="E12" s="90" t="str">
        <v>010-2518-2274</v>
      </c>
      <c r="F12" s="90" t="str">
        <v>부:010-7742-2918</v>
      </c>
      <c r="G12" s="92" t="n">
        <v>46097</v>
      </c>
      <c r="H12" s="94" t="str">
        <v>수목토1토2</v>
      </c>
      <c r="I12" s="85" t="str">
        <f>IF(ISNUMBER(SEARCH("월",$H12)),1,"")</f>
      </c>
      <c r="J12" s="85" t="str">
        <f>IF(ISNUMBER(SEARCH("화",$H12)),1,"")</f>
      </c>
      <c r="K12" s="85" t="n">
        <f>IF(ISNUMBER(SEARCH("수",$H12)),1,"")</f>
        <v>1</v>
      </c>
      <c r="L12" s="85" t="n">
        <f>IF(ISNUMBER(SEARCH("목",$H12)),1,"")</f>
        <v>1</v>
      </c>
      <c r="M12" s="85" t="str">
        <f>IF(ISNUMBER(SEARCH("금",$H12)),1,"")</f>
      </c>
      <c r="N12" s="85" t="n">
        <f>IF(ISNUMBER(SEARCH("토1",$H12)),1,"")</f>
        <v>1</v>
      </c>
      <c r="O12" s="85" t="n">
        <f>IF(ISNUMBER(SEARCH("토2",$H12)),1,"")</f>
        <v>1</v>
      </c>
      <c r="P12" s="85" t="str">
        <f>IF(ISNUMBER(SEARCH("토3",$H12)),1,"")</f>
      </c>
      <c r="Q12" s="85" t="str">
        <f>IF(ISNUMBER(SEARCH("일1",$H12)),1,"")</f>
      </c>
      <c r="R12" s="85" t="str">
        <f>IF(ISNUMBER(SEARCH("일2",$H12)),1,"")</f>
      </c>
      <c r="S12" s="85" t="str">
        <f>IF(ISNUMBER(SEARCH("일3",$H12)),1,"")</f>
      </c>
      <c r="T12" s="85" t="n">
        <f>SUM(I12:S12)</f>
        <v>4</v>
      </c>
      <c r="U12" s="88" t="str"/>
    </row>
    <row r="14">
      <c r="A14" s="115" t="str">
        <v>예: 화목토2일1 → 화 / 목 / 토(2) / 일(1) 자동 체크 · 토요일/일요일은 반드시 타임 번호를 붙이세요.</v>
      </c>
      <c r="B14" s="115"/>
      <c r="C14" s="115"/>
      <c r="D14" s="115"/>
      <c r="E14" s="115"/>
      <c r="F14" s="115"/>
      <c r="G14" s="115"/>
      <c r="H14" s="115"/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</row>
  </sheetData>
  <sheetProtection password="8F90" sheet="1" objects="1" scenarios="1" formatCells="1" formatColumns="1" formatRows="1" insertColumns="1" insertRows="1" insertHyperlinks="1" deleteColumns="1" deleteRows="1" selectLockedCells="1" sort="1" autoFilter="1" pivotTables="1" selectUnlockedCells="0"/>
  <mergeCells>
    <mergeCell ref="A1:U1"/>
    <mergeCell ref="A2:I2"/>
    <mergeCell ref="J2:U2"/>
    <mergeCell ref="A5:U5"/>
    <mergeCell ref="A9:U9"/>
    <mergeCell ref="A14:U14"/>
  </mergeCells>
  <conditionalFormatting sqref="I6:S13">
    <cfRule type="expression" dxfId="1" priority="1">
      <formula>I6=1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FormatPr defaultRowHeight="15"/>
  <cols>
    <col min="1" max="1" width="20" hidden="0" customWidth="1"/>
    <col min="2" max="2" width="88" hidden="0" customWidth="1"/>
  </cols>
  <sheetData>
    <row r="1" ht="30" customHeight="1">
      <c r="A1" s="99" t="str">
        <v>출석부 종합입력 양식 — 사용안내 및 주의사항</v>
      </c>
      <c r="B1" s="99"/>
      <c r="C1" s="99"/>
      <c r="D1" s="99"/>
      <c r="E1" s="99"/>
      <c r="F1" s="99"/>
    </row>
    <row r="3" ht="28" customHeight="1">
      <c r="A3" s="121" t="str">
        <v>구분</v>
      </c>
      <c r="B3" s="122" t="str">
        <v>내용</v>
      </c>
    </row>
    <row r="4" ht="28" customHeight="1">
      <c r="A4" s="140" t="str">
        <v>1. 캠퍼스명</v>
      </c>
      <c r="B4" s="141" t="str">
        <v>종합입력 시트 2행의 '캠퍼스:' 뒤에 캠퍼스명을 입력하세요.</v>
      </c>
    </row>
    <row r="5" ht="28" customHeight="1">
      <c r="A5" s="142" t="str">
        <v>2. 반명</v>
      </c>
      <c r="B5" s="143" t="str">
        <v>큰 주황색 반 구분 바에 실제 반명을 입력하세요. 반명 바를 삭제하거나 병합을 풀지 마세요.</v>
      </c>
    </row>
    <row r="6" ht="28" customHeight="1">
      <c r="A6" s="142" t="str">
        <v>3. 학생정보</v>
      </c>
      <c r="B6" s="143" t="str">
        <v>이름·학교·학년·학생 전화번호·학부모 전화번호·등록일·수업요일·비고만 입력하세요.</v>
      </c>
    </row>
    <row r="7" ht="28" customHeight="1">
      <c r="A7" s="142" t="str">
        <v>4. 학부모 연락처</v>
      </c>
      <c r="B7" s="143" t="str">
        <v>아빠는 '부:010-0000-0000', 엄마는 '모:010-0000-0000' 형식으로 작성하세요.</v>
      </c>
    </row>
    <row r="8" ht="28" customHeight="1">
      <c r="A8" s="142" t="str">
        <v>5. 수업요일</v>
      </c>
      <c r="B8" s="143" t="str">
        <v>평일은 월/화/수/목/금, 주말은 반드시 토1·토2·토3 / 일1·일2·일3 형식으로 입력하세요.</v>
      </c>
    </row>
    <row r="9" ht="28" customHeight="1">
      <c r="A9" s="142" t="str">
        <v>6. 올바른 예</v>
      </c>
      <c r="B9" s="143" t="str">
        <v>화목토2일1 / 월수금토1토3 / 토1토2토3일2</v>
      </c>
    </row>
    <row r="10" ht="28" customHeight="1">
      <c r="A10" s="142" t="str">
        <v>7. 잘못된 예</v>
      </c>
      <c r="B10" s="143" t="str">
        <v>토 / 토토 / 일일 / 토요일2 — 타임 번호가 없거나 정해진 형식이 아니면 안 됩니다.</v>
      </c>
    </row>
    <row r="11" ht="28" customHeight="1">
      <c r="A11" s="142" t="str">
        <v>8. 자동수식</v>
      </c>
      <c r="B11" s="143" t="str">
        <v>I:S 요일 체크칸과 T 총횟수는 자동 계산됩니다. 직접 입력하거나 지우지 마세요.</v>
      </c>
    </row>
    <row r="12" ht="28" customHeight="1">
      <c r="A12" s="142" t="str">
        <v>9. 전화번호</v>
      </c>
      <c r="B12" s="143" t="str">
        <v>전화번호는 문자 형식으로 저장됩니다. 앞자리 0을 유지하기 위해 셀 형식을 변경하지 마세요.</v>
      </c>
    </row>
    <row r="13" ht="28" customHeight="1">
      <c r="A13" s="142" t="str">
        <v>10. 공란 행</v>
      </c>
      <c r="B13" s="143" t="str">
        <v>사용하지 않는 학생행은 이름을 비워두세요. No가 보여도 이름이 비어 있으면 학생으로 인식하지 않습니다.</v>
      </c>
    </row>
    <row r="14" ht="28" customHeight="1">
      <c r="A14" s="142" t="str">
        <v>11. 반 사용</v>
      </c>
      <c r="B14" s="143" t="str">
        <v>기본 10개 반, 반별 20명까지 입력할 수 있습니다. 필요한 반만 사용하고 남는 반은 비워두세요.</v>
      </c>
    </row>
    <row r="15" ht="28" customHeight="1">
      <c r="A15" s="142" t="str">
        <v>12. 파일 형식</v>
      </c>
      <c r="B15" s="143" t="str">
        <v>파일은 반드시 .xlsx 형식으로 저장하세요. CSV 또는 다른 형식으로 변환하지 마세요.</v>
      </c>
    </row>
    <row r="16" ht="28" customHeight="1">
      <c r="A16" s="142" t="str">
        <v>13. 금지사항</v>
      </c>
      <c r="B16" s="143" t="str">
        <v>열 순서 변경, 헤더명 변경, 행/열 삽입·삭제, 셀 병합 해제, 자동수식 수정, 시트명 변경을 하지 마세요.</v>
      </c>
    </row>
    <row r="17" ht="28" customHeight="1">
      <c r="A17" s="142" t="str">
        <v>14. CORE 업로드</v>
      </c>
      <c r="B17" s="143" t="str">
        <v>CORE는 '종합입력' 시트와 큰 반 구분 바를 기준으로 반과 학생을 인식합니다.</v>
      </c>
    </row>
    <row r="18" ht="28" customHeight="1">
      <c r="A18" s="142" t="str">
        <v>15. 재원 기준</v>
      </c>
      <c r="B18" s="143" t="str">
        <v>이 파일에 입력된 학생은 모두 재원생으로 판단합니다. 휴원/퇴원 상태 칸은 사용하지 않습니다.</v>
      </c>
    </row>
    <row r="19" ht="28" customHeight="1">
      <c r="A19" s="144" t="str">
        <v>16. 보호 기능</v>
      </c>
      <c r="B19" s="145" t="str">
        <v>입력 가능한 칸을 제외한 서식·수식·시트 구조는 보호되어 있습니다. 보호 해제 후 수정하면 CORE 인식이 깨질 수 있습니다.</v>
      </c>
    </row>
    <row r="21" ht="38" customHeight="1">
      <c r="A21" s="166" t="str">
        <v>중요: 반 구분 바·자동 체크 수식·총횟수 수식·헤더 순서를 변경하면 CORE 업로드 인식이 정상 작동하지 않을 수 있습니다.</v>
      </c>
      <c r="B21" s="166"/>
      <c r="C21" s="166"/>
      <c r="D21" s="166"/>
      <c r="E21" s="166"/>
      <c r="F21" s="166"/>
    </row>
  </sheetData>
  <sheetProtection password="8F90" sheet="1" objects="1" scenarios="1" formatCells="1" formatColumns="1" formatRows="1" insertColumns="1" insertRows="1" insertHyperlinks="1" deleteColumns="1" deleteRows="1" selectLockedCells="1" sort="1" autoFilter="1" pivotTables="1" selectUnlockedCells="0"/>
  <mergeCells>
    <mergeCell ref="A1:F1"/>
    <mergeCell ref="A21:F21"/>
  </mergeCells>
  <pageMargins left="0.7" right="0.7" top="0.75" bottom="0.75" header="0.3" footer="0.3"/>
</worksheet>
</file>